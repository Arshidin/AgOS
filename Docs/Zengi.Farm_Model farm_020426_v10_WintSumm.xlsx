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4.xml" ContentType="application/vnd.openxmlformats-officedocument.spreadsheetml.comments+xml"/>
  <Override PartName="/xl/tables/table3.xml" ContentType="application/vnd.openxmlformats-officedocument.spreadsheetml.table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aima\OneDrive\Desktop\Dala Camp\13. Типовые модели ферм\"/>
    </mc:Choice>
  </mc:AlternateContent>
  <xr:revisionPtr revIDLastSave="0" documentId="13_ncr:1_{72B78FA2-3B92-4805-8A5C-066CB7877C71}" xr6:coauthVersionLast="47" xr6:coauthVersionMax="47" xr10:uidLastSave="{00000000-0000-0000-0000-000000000000}"/>
  <bookViews>
    <workbookView xWindow="12" yWindow="24" windowWidth="23028" windowHeight="12336" tabRatio="896" firstSheet="1" activeTab="1" xr2:uid="{00000000-000D-0000-FFFF-FFFF00000000}"/>
  </bookViews>
  <sheets>
    <sheet name="Output" sheetId="1" r:id="rId1"/>
    <sheet name="Input" sheetId="13" r:id="rId2"/>
    <sheet name="Feeding Rations" sheetId="12" r:id="rId3"/>
    <sheet name="Operating Model" sheetId="3" r:id="rId4"/>
    <sheet name="Cattle Feeding Cycle" sheetId="4" r:id="rId5"/>
    <sheet name="Loans" sheetId="5" r:id="rId6"/>
    <sheet name="Staff" sheetId="7" r:id="rId7"/>
    <sheet name="CAPEX" sheetId="14" r:id="rId8"/>
    <sheet name="OPEX " sheetId="9" r:id="rId9"/>
    <sheet name="WACC" sheetId="11" r:id="rId10"/>
    <sheet name="Справочник" sheetId="15" r:id="rId11"/>
  </sheets>
  <definedNames>
    <definedName name="_">#REF!</definedName>
    <definedName name="__">#REF!</definedName>
    <definedName name="____">#REF!</definedName>
    <definedName name="_______A70000">#REF!</definedName>
    <definedName name="_______A80000">#REF!</definedName>
    <definedName name="_______sh1">#REF!</definedName>
    <definedName name="_______SP14">#REF!</definedName>
    <definedName name="_______SP15">#REF!</definedName>
    <definedName name="_______SP16">#REF!</definedName>
    <definedName name="_______SP17">#REF!</definedName>
    <definedName name="_______SP18">#REF!</definedName>
    <definedName name="_______SP19">#REF!</definedName>
    <definedName name="_______SP2">#REF!</definedName>
    <definedName name="_______SP20">#REF!</definedName>
    <definedName name="_______SP3">#REF!</definedName>
    <definedName name="_______SP4">#REF!</definedName>
    <definedName name="_______SP5">#REF!</definedName>
    <definedName name="_______SP7">#REF!</definedName>
    <definedName name="_______SP8">#REF!</definedName>
    <definedName name="_______SP9">#REF!</definedName>
    <definedName name="______A70000">#REF!</definedName>
    <definedName name="______A80000">#REF!</definedName>
    <definedName name="______DAT1">#REF!</definedName>
    <definedName name="______DAT10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END1">#REF!</definedName>
    <definedName name="______END2">#REF!</definedName>
    <definedName name="______END4">#REF!</definedName>
    <definedName name="______END6">#REF!</definedName>
    <definedName name="______END7">#REF!</definedName>
    <definedName name="______IV65900">#REF!</definedName>
    <definedName name="______IV66000">#REF!</definedName>
    <definedName name="______IV69000">#REF!</definedName>
    <definedName name="______IV70000">#REF!</definedName>
    <definedName name="______JA1">#REF!</definedName>
    <definedName name="______KA1">#REF!</definedName>
    <definedName name="______LA1">#REF!</definedName>
    <definedName name="______lp280202">#REF!</definedName>
    <definedName name="______MIF1">#REF!</definedName>
    <definedName name="______MIF2">#REF!</definedName>
    <definedName name="______MIF3">#REF!</definedName>
    <definedName name="______MO33">#REF!</definedName>
    <definedName name="______MO34">#REF!</definedName>
    <definedName name="______MO35">#REF!</definedName>
    <definedName name="______MO36">#REF!</definedName>
    <definedName name="______MO37">#REF!</definedName>
    <definedName name="______MO38">#REF!</definedName>
    <definedName name="______MO39">#REF!</definedName>
    <definedName name="______MO40">#REF!</definedName>
    <definedName name="______MO41">#REF!</definedName>
    <definedName name="______MO42">#REF!</definedName>
    <definedName name="______MO43">#REF!</definedName>
    <definedName name="______MO44">#REF!</definedName>
    <definedName name="______MO45">#REF!</definedName>
    <definedName name="______MO46">#REF!</definedName>
    <definedName name="______MO47">#REF!</definedName>
    <definedName name="______MO48">#REF!</definedName>
    <definedName name="______MO49">#REF!</definedName>
    <definedName name="______MO50">#REF!</definedName>
    <definedName name="______MO51">#REF!</definedName>
    <definedName name="______MO52">#REF!</definedName>
    <definedName name="______MO53">#REF!</definedName>
    <definedName name="______MO54">#REF!</definedName>
    <definedName name="______MO55">#REF!</definedName>
    <definedName name="______MO56">#REF!</definedName>
    <definedName name="______MO57">#REF!</definedName>
    <definedName name="______MO58">#REF!</definedName>
    <definedName name="______MO59">#REF!</definedName>
    <definedName name="______MO60">#REF!</definedName>
    <definedName name="______MO61">#REF!</definedName>
    <definedName name="______MO62">#REF!</definedName>
    <definedName name="______MO63">#REF!</definedName>
    <definedName name="______MO64">#REF!</definedName>
    <definedName name="______MO65">#REF!</definedName>
    <definedName name="______MO66">#REF!</definedName>
    <definedName name="______MO67">#REF!</definedName>
    <definedName name="______MO68">#REF!</definedName>
    <definedName name="______MO69">#REF!</definedName>
    <definedName name="______MO70">#REF!</definedName>
    <definedName name="______MO71">#REF!</definedName>
    <definedName name="______MO72">#REF!</definedName>
    <definedName name="______MO73">#REF!</definedName>
    <definedName name="______MO74">#REF!</definedName>
    <definedName name="______MO75">#REF!</definedName>
    <definedName name="______MO76">#REF!</definedName>
    <definedName name="______MO77">#REF!</definedName>
    <definedName name="______MO78">#REF!</definedName>
    <definedName name="______MO79">#REF!</definedName>
    <definedName name="______MO80">#REF!</definedName>
    <definedName name="______MO81">#REF!</definedName>
    <definedName name="______MO82">#REF!</definedName>
    <definedName name="______NBS1">#REF!</definedName>
    <definedName name="______NBS10">#REF!</definedName>
    <definedName name="______NBS11">#REF!</definedName>
    <definedName name="______NBS12">#REF!</definedName>
    <definedName name="______NBS13">#REF!</definedName>
    <definedName name="______NBS14">#REF!</definedName>
    <definedName name="______NBS15">#REF!</definedName>
    <definedName name="______NBS16">#REF!</definedName>
    <definedName name="______NBS17">#REF!</definedName>
    <definedName name="______NBS18">#REF!</definedName>
    <definedName name="______NBS19">#REF!</definedName>
    <definedName name="______NBS2">#REF!</definedName>
    <definedName name="______NBS20">#REF!</definedName>
    <definedName name="______NBS21">#REF!</definedName>
    <definedName name="______NBS22">#REF!</definedName>
    <definedName name="______NBS23">#REF!</definedName>
    <definedName name="______NBS24">#REF!</definedName>
    <definedName name="______NBS25">#REF!</definedName>
    <definedName name="______NBS26">#REF!</definedName>
    <definedName name="______NBS3">#REF!</definedName>
    <definedName name="______NBS4">#REF!</definedName>
    <definedName name="______NBS5">#REF!</definedName>
    <definedName name="______NBS6">#REF!</definedName>
    <definedName name="______NBS7">#REF!</definedName>
    <definedName name="______NBS8">#REF!</definedName>
    <definedName name="______NBS9">#REF!</definedName>
    <definedName name="______NCF1">#REF!</definedName>
    <definedName name="______NCF10">#REF!</definedName>
    <definedName name="______NCF11">#REF!</definedName>
    <definedName name="______NCF12">#REF!</definedName>
    <definedName name="______NCF13">#REF!</definedName>
    <definedName name="______NCF14">#REF!</definedName>
    <definedName name="______NCF15">#REF!</definedName>
    <definedName name="______NCF16">#REF!</definedName>
    <definedName name="______NCF2">#REF!</definedName>
    <definedName name="______NCF3">#REF!</definedName>
    <definedName name="______NCF4">#REF!</definedName>
    <definedName name="______NCF5">#REF!</definedName>
    <definedName name="______NCF6">#REF!</definedName>
    <definedName name="______NCF7">#REF!</definedName>
    <definedName name="______NCF8">#REF!</definedName>
    <definedName name="______NCF9">#REF!</definedName>
    <definedName name="______NIS1">#REF!</definedName>
    <definedName name="______NIS10">#REF!</definedName>
    <definedName name="______NIS11">#REF!</definedName>
    <definedName name="______NIS12">#REF!</definedName>
    <definedName name="______NIS2">#REF!</definedName>
    <definedName name="______NIS3">#REF!</definedName>
    <definedName name="______NIS4">#REF!</definedName>
    <definedName name="______NIS5">#REF!</definedName>
    <definedName name="______NIS6">#REF!</definedName>
    <definedName name="______NIS7">#REF!</definedName>
    <definedName name="______NIS8">#REF!</definedName>
    <definedName name="______NIS9">#REF!</definedName>
    <definedName name="______RA1">#REF!</definedName>
    <definedName name="______SBS1">#REF!</definedName>
    <definedName name="______SBS10">#REF!</definedName>
    <definedName name="______SBS11">#REF!</definedName>
    <definedName name="______SBS12">#REF!</definedName>
    <definedName name="______SBS13">#REF!</definedName>
    <definedName name="______SBS14">#REF!</definedName>
    <definedName name="______SBS15">#REF!</definedName>
    <definedName name="______SBS16">#REF!</definedName>
    <definedName name="______SBS17">#REF!</definedName>
    <definedName name="______SBS18">#REF!</definedName>
    <definedName name="______SBS19">#REF!</definedName>
    <definedName name="______SBS2">#REF!</definedName>
    <definedName name="______SBS20">#REF!</definedName>
    <definedName name="______SBS21">#REF!</definedName>
    <definedName name="______SBS22">#REF!</definedName>
    <definedName name="______SBS23">#REF!</definedName>
    <definedName name="______SBS24">#REF!</definedName>
    <definedName name="______SBS25">#REF!</definedName>
    <definedName name="______SBS26">#REF!</definedName>
    <definedName name="______SBS3">#REF!</definedName>
    <definedName name="______SBS4">#REF!</definedName>
    <definedName name="______SBS5">#REF!</definedName>
    <definedName name="______SBS6">#REF!</definedName>
    <definedName name="______SBS7">#REF!</definedName>
    <definedName name="______SBS8">#REF!</definedName>
    <definedName name="______SBS9">#REF!</definedName>
    <definedName name="______SCF1">#REF!</definedName>
    <definedName name="______SCF10">#REF!</definedName>
    <definedName name="______SCF11">#REF!</definedName>
    <definedName name="______SCF12">#REF!</definedName>
    <definedName name="______SCF13">#REF!</definedName>
    <definedName name="______SCF14">#REF!</definedName>
    <definedName name="______SCF15">#REF!</definedName>
    <definedName name="______SCF16">#REF!</definedName>
    <definedName name="______SCF2">#REF!</definedName>
    <definedName name="______SCF3">#REF!</definedName>
    <definedName name="______SCF4">#REF!</definedName>
    <definedName name="______SCF5">#REF!</definedName>
    <definedName name="______SCF6">#REF!</definedName>
    <definedName name="______SCF7">#REF!</definedName>
    <definedName name="______SCF8">#REF!</definedName>
    <definedName name="______SCF9">#REF!</definedName>
    <definedName name="______sh1">#REF!</definedName>
    <definedName name="______SIS1">#REF!</definedName>
    <definedName name="______SIS10">#REF!</definedName>
    <definedName name="______SIS11">#REF!</definedName>
    <definedName name="______SIS12">#REF!</definedName>
    <definedName name="______SIS2">#REF!</definedName>
    <definedName name="______SIS3">#REF!</definedName>
    <definedName name="______SIS4">#REF!</definedName>
    <definedName name="______SIS5">#REF!</definedName>
    <definedName name="______SIS6">#REF!</definedName>
    <definedName name="______SIS7">#REF!</definedName>
    <definedName name="______SIS8">#REF!</definedName>
    <definedName name="______SIS9">#REF!</definedName>
    <definedName name="______sul1">#REF!</definedName>
    <definedName name="_____a1">#REF!</definedName>
    <definedName name="_____a100">#REF!</definedName>
    <definedName name="_____a12">#REF!</definedName>
    <definedName name="_____a2">#REF!</definedName>
    <definedName name="_____A70000">#REF!</definedName>
    <definedName name="_____A80000">#REF!</definedName>
    <definedName name="_____cur2">#REF!</definedName>
    <definedName name="_____DAT1">#REF!</definedName>
    <definedName name="_____DAT10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END1">#REF!</definedName>
    <definedName name="_____END2">#REF!</definedName>
    <definedName name="_____END4">#REF!</definedName>
    <definedName name="_____END6">#REF!</definedName>
    <definedName name="_____END7">#REF!</definedName>
    <definedName name="_____fdf1">#REF!</definedName>
    <definedName name="_____IV65900">#REF!</definedName>
    <definedName name="_____IV66000">#REF!</definedName>
    <definedName name="_____IV69000">#REF!</definedName>
    <definedName name="_____IV70000">#REF!</definedName>
    <definedName name="_____JA1">#REF!</definedName>
    <definedName name="_____KA1">#REF!</definedName>
    <definedName name="_____LA1">#REF!</definedName>
    <definedName name="_____Ldg1">#REF!</definedName>
    <definedName name="_____Ldg10">#REF!</definedName>
    <definedName name="_____Ldg11">#REF!</definedName>
    <definedName name="_____Ldg12">#REF!</definedName>
    <definedName name="_____Ldg2">#REF!</definedName>
    <definedName name="_____Ldg3">#REF!</definedName>
    <definedName name="_____Ldg4">#REF!</definedName>
    <definedName name="_____Ldg5">#REF!</definedName>
    <definedName name="_____Ldg6">#REF!</definedName>
    <definedName name="_____Ldg7">#REF!</definedName>
    <definedName name="_____Ldg8">#REF!</definedName>
    <definedName name="_____Ldg9">#REF!</definedName>
    <definedName name="_____LHR01">#REF!</definedName>
    <definedName name="_____LHR02">#REF!</definedName>
    <definedName name="_____LHR03">#REF!</definedName>
    <definedName name="_____LHR04">#REF!</definedName>
    <definedName name="_____LHR05">#REF!</definedName>
    <definedName name="_____LHR06">#REF!</definedName>
    <definedName name="_____LHR07">#REF!</definedName>
    <definedName name="_____LHR08">#REF!</definedName>
    <definedName name="_____LHR09">#REF!</definedName>
    <definedName name="_____LHR10">#REF!</definedName>
    <definedName name="_____LHR11">#REF!</definedName>
    <definedName name="_____LHR12">#REF!</definedName>
    <definedName name="_____LHR13">#REF!</definedName>
    <definedName name="_____LHR14">#REF!</definedName>
    <definedName name="_____LHR15">#REF!</definedName>
    <definedName name="_____LHR16">#REF!</definedName>
    <definedName name="_____LHR17">#REF!</definedName>
    <definedName name="_____LHR18">#REF!</definedName>
    <definedName name="_____LHR19">#REF!</definedName>
    <definedName name="_____LHR20">#REF!</definedName>
    <definedName name="_____LHR21">#REF!</definedName>
    <definedName name="_____LHR22">#REF!</definedName>
    <definedName name="_____LHR23">#REF!</definedName>
    <definedName name="_____LHR24">#REF!</definedName>
    <definedName name="_____LHR25">#REF!</definedName>
    <definedName name="_____LHR26">#REF!</definedName>
    <definedName name="_____LHR27">#REF!</definedName>
    <definedName name="_____LHR28">#REF!</definedName>
    <definedName name="_____LHR29">#REF!</definedName>
    <definedName name="_____LHR30">#REF!</definedName>
    <definedName name="_____LHR31">#REF!</definedName>
    <definedName name="_____LHR32">#REF!</definedName>
    <definedName name="_____LHR33">#REF!</definedName>
    <definedName name="_____LHR34">#REF!</definedName>
    <definedName name="_____LIR01">#REF!</definedName>
    <definedName name="_____LIR02">#REF!</definedName>
    <definedName name="_____LIR03">#REF!</definedName>
    <definedName name="_____LIR04">#REF!</definedName>
    <definedName name="_____LIR05">#REF!</definedName>
    <definedName name="_____LIR06">#REF!</definedName>
    <definedName name="_____LIR07">#REF!</definedName>
    <definedName name="_____LIR08">#REF!</definedName>
    <definedName name="_____LIR09">#REF!</definedName>
    <definedName name="_____LIR10">#REF!</definedName>
    <definedName name="_____LIR11">#REF!</definedName>
    <definedName name="_____LIR12">#REF!</definedName>
    <definedName name="_____LIR13">#REF!</definedName>
    <definedName name="_____LIR14">#REF!</definedName>
    <definedName name="_____LIR15">#REF!</definedName>
    <definedName name="_____LIR16">#REF!</definedName>
    <definedName name="_____LIR17">#REF!</definedName>
    <definedName name="_____LIR18">#REF!</definedName>
    <definedName name="_____LIR19">#REF!</definedName>
    <definedName name="_____LIR20">#REF!</definedName>
    <definedName name="_____LIR21">#REF!</definedName>
    <definedName name="_____LIR22">#REF!</definedName>
    <definedName name="_____LIR23">#REF!</definedName>
    <definedName name="_____LIR24">#REF!</definedName>
    <definedName name="_____LIR25">#REF!</definedName>
    <definedName name="_____LIR26">#REF!</definedName>
    <definedName name="_____LIR27">#REF!</definedName>
    <definedName name="_____LIR28">#REF!</definedName>
    <definedName name="_____LIR29">#REF!</definedName>
    <definedName name="_____LIR30">#REF!</definedName>
    <definedName name="_____LIR31">#REF!</definedName>
    <definedName name="_____LIR32">#REF!</definedName>
    <definedName name="_____LIR33">#REF!</definedName>
    <definedName name="_____lp280202">#REF!</definedName>
    <definedName name="_____LTR01">#REF!</definedName>
    <definedName name="_____LTR02">#REF!</definedName>
    <definedName name="_____LTR03">#REF!</definedName>
    <definedName name="_____LTR04">#REF!</definedName>
    <definedName name="_____LTR05">#REF!</definedName>
    <definedName name="_____LTR06">#REF!</definedName>
    <definedName name="_____LTR07">#REF!</definedName>
    <definedName name="_____LTR08">#REF!</definedName>
    <definedName name="_____LTR09">#REF!</definedName>
    <definedName name="_____LTR10">#REF!</definedName>
    <definedName name="_____LTR11">#REF!</definedName>
    <definedName name="_____LTR12">#REF!</definedName>
    <definedName name="_____LTR13">#REF!</definedName>
    <definedName name="_____LTR14">#REF!</definedName>
    <definedName name="_____LTR15">#REF!</definedName>
    <definedName name="_____LTR16">#REF!</definedName>
    <definedName name="_____LTR17">#REF!</definedName>
    <definedName name="_____LTR18">#REF!</definedName>
    <definedName name="_____LTR19">#REF!</definedName>
    <definedName name="_____LTR20">#REF!</definedName>
    <definedName name="_____LTR21">#REF!</definedName>
    <definedName name="_____LTR22">#REF!</definedName>
    <definedName name="_____LTR23">#REF!</definedName>
    <definedName name="_____LTR24">#REF!</definedName>
    <definedName name="_____LTR25">#REF!</definedName>
    <definedName name="_____LTR26">#REF!</definedName>
    <definedName name="_____LTR27">#REF!</definedName>
    <definedName name="_____Max2">#REF!</definedName>
    <definedName name="_____MIF1">#REF!</definedName>
    <definedName name="_____MIF2">#REF!</definedName>
    <definedName name="_____MIF3">#REF!</definedName>
    <definedName name="_____MO33">#REF!</definedName>
    <definedName name="_____MO34">#REF!</definedName>
    <definedName name="_____MO35">#REF!</definedName>
    <definedName name="_____MO36">#REF!</definedName>
    <definedName name="_____MO37">#REF!</definedName>
    <definedName name="_____MO38">#REF!</definedName>
    <definedName name="_____MO39">#REF!</definedName>
    <definedName name="_____MO40">#REF!</definedName>
    <definedName name="_____MO41">#REF!</definedName>
    <definedName name="_____MO42">#REF!</definedName>
    <definedName name="_____MO43">#REF!</definedName>
    <definedName name="_____MO44">#REF!</definedName>
    <definedName name="_____MO45">#REF!</definedName>
    <definedName name="_____MO46">#REF!</definedName>
    <definedName name="_____MO47">#REF!</definedName>
    <definedName name="_____MO48">#REF!</definedName>
    <definedName name="_____MO49">#REF!</definedName>
    <definedName name="_____MO50">#REF!</definedName>
    <definedName name="_____MO51">#REF!</definedName>
    <definedName name="_____MO52">#REF!</definedName>
    <definedName name="_____MO53">#REF!</definedName>
    <definedName name="_____MO54">#REF!</definedName>
    <definedName name="_____MO55">#REF!</definedName>
    <definedName name="_____MO56">#REF!</definedName>
    <definedName name="_____MO57">#REF!</definedName>
    <definedName name="_____MO58">#REF!</definedName>
    <definedName name="_____MO59">#REF!</definedName>
    <definedName name="_____MO60">#REF!</definedName>
    <definedName name="_____MO61">#REF!</definedName>
    <definedName name="_____MO62">#REF!</definedName>
    <definedName name="_____MO63">#REF!</definedName>
    <definedName name="_____MO64">#REF!</definedName>
    <definedName name="_____MO65">#REF!</definedName>
    <definedName name="_____MO66">#REF!</definedName>
    <definedName name="_____MO67">#REF!</definedName>
    <definedName name="_____MO68">#REF!</definedName>
    <definedName name="_____MO69">#REF!</definedName>
    <definedName name="_____MO70">#REF!</definedName>
    <definedName name="_____MO71">#REF!</definedName>
    <definedName name="_____MO72">#REF!</definedName>
    <definedName name="_____MO73">#REF!</definedName>
    <definedName name="_____MO74">#REF!</definedName>
    <definedName name="_____MO75">#REF!</definedName>
    <definedName name="_____MO76">#REF!</definedName>
    <definedName name="_____MO77">#REF!</definedName>
    <definedName name="_____MO78">#REF!</definedName>
    <definedName name="_____MO79">#REF!</definedName>
    <definedName name="_____MO80">#REF!</definedName>
    <definedName name="_____MO81">#REF!</definedName>
    <definedName name="_____MO82">#REF!</definedName>
    <definedName name="_____NBS1">#REF!</definedName>
    <definedName name="_____NBS10">#REF!</definedName>
    <definedName name="_____NBS11">#REF!</definedName>
    <definedName name="_____NBS12">#REF!</definedName>
    <definedName name="_____NBS13">#REF!</definedName>
    <definedName name="_____NBS14">#REF!</definedName>
    <definedName name="_____NBS15">#REF!</definedName>
    <definedName name="_____NBS16">#REF!</definedName>
    <definedName name="_____NBS17">#REF!</definedName>
    <definedName name="_____NBS18">#REF!</definedName>
    <definedName name="_____NBS19">#REF!</definedName>
    <definedName name="_____NBS2">#REF!</definedName>
    <definedName name="_____NBS20">#REF!</definedName>
    <definedName name="_____NBS21">#REF!</definedName>
    <definedName name="_____NBS22">#REF!</definedName>
    <definedName name="_____NBS23">#REF!</definedName>
    <definedName name="_____NBS24">#REF!</definedName>
    <definedName name="_____NBS25">#REF!</definedName>
    <definedName name="_____NBS26">#REF!</definedName>
    <definedName name="_____NBS3">#REF!</definedName>
    <definedName name="_____NBS4">#REF!</definedName>
    <definedName name="_____NBS5">#REF!</definedName>
    <definedName name="_____NBS6">#REF!</definedName>
    <definedName name="_____NBS7">#REF!</definedName>
    <definedName name="_____NBS8">#REF!</definedName>
    <definedName name="_____NBS9">#REF!</definedName>
    <definedName name="_____NCF1">#REF!</definedName>
    <definedName name="_____NCF10">#REF!</definedName>
    <definedName name="_____NCF11">#REF!</definedName>
    <definedName name="_____NCF12">#REF!</definedName>
    <definedName name="_____NCF13">#REF!</definedName>
    <definedName name="_____NCF14">#REF!</definedName>
    <definedName name="_____NCF15">#REF!</definedName>
    <definedName name="_____NCF16">#REF!</definedName>
    <definedName name="_____NCF2">#REF!</definedName>
    <definedName name="_____NCF3">#REF!</definedName>
    <definedName name="_____NCF4">#REF!</definedName>
    <definedName name="_____NCF5">#REF!</definedName>
    <definedName name="_____NCF6">#REF!</definedName>
    <definedName name="_____NCF7">#REF!</definedName>
    <definedName name="_____NCF8">#REF!</definedName>
    <definedName name="_____NCF9">#REF!</definedName>
    <definedName name="_____NIS1">#REF!</definedName>
    <definedName name="_____NIS10">#REF!</definedName>
    <definedName name="_____NIS11">#REF!</definedName>
    <definedName name="_____NIS12">#REF!</definedName>
    <definedName name="_____NIS2">#REF!</definedName>
    <definedName name="_____NIS3">#REF!</definedName>
    <definedName name="_____NIS4">#REF!</definedName>
    <definedName name="_____NIS5">#REF!</definedName>
    <definedName name="_____NIS6">#REF!</definedName>
    <definedName name="_____NIS7">#REF!</definedName>
    <definedName name="_____NIS8">#REF!</definedName>
    <definedName name="_____NIS9">#REF!</definedName>
    <definedName name="_____Per1">#REF!</definedName>
    <definedName name="_____Per10">#REF!</definedName>
    <definedName name="_____Per11">#REF!</definedName>
    <definedName name="_____Per12">#REF!</definedName>
    <definedName name="_____Per2">#REF!</definedName>
    <definedName name="_____Per3">#REF!</definedName>
    <definedName name="_____Per4">#REF!</definedName>
    <definedName name="_____Per5">#REF!</definedName>
    <definedName name="_____Per6">#REF!</definedName>
    <definedName name="_____Per7">#REF!</definedName>
    <definedName name="_____Per8">#REF!</definedName>
    <definedName name="_____Per9">#REF!</definedName>
    <definedName name="_____RA1">#REF!</definedName>
    <definedName name="_____ref1">#REF!</definedName>
    <definedName name="_____ref2">#REF!</definedName>
    <definedName name="_____s3">#REF!</definedName>
    <definedName name="_____SBS1">#REF!</definedName>
    <definedName name="_____SBS10">#REF!</definedName>
    <definedName name="_____SBS11">#REF!</definedName>
    <definedName name="_____SBS12">#REF!</definedName>
    <definedName name="_____SBS13">#REF!</definedName>
    <definedName name="_____SBS14">#REF!</definedName>
    <definedName name="_____SBS15">#REF!</definedName>
    <definedName name="_____SBS16">#REF!</definedName>
    <definedName name="_____SBS17">#REF!</definedName>
    <definedName name="_____SBS18">#REF!</definedName>
    <definedName name="_____SBS19">#REF!</definedName>
    <definedName name="_____SBS2">#REF!</definedName>
    <definedName name="_____SBS20">#REF!</definedName>
    <definedName name="_____SBS21">#REF!</definedName>
    <definedName name="_____SBS22">#REF!</definedName>
    <definedName name="_____SBS23">#REF!</definedName>
    <definedName name="_____SBS24">#REF!</definedName>
    <definedName name="_____SBS25">#REF!</definedName>
    <definedName name="_____SBS26">#REF!</definedName>
    <definedName name="_____SBS3">#REF!</definedName>
    <definedName name="_____SBS4">#REF!</definedName>
    <definedName name="_____SBS5">#REF!</definedName>
    <definedName name="_____SBS6">#REF!</definedName>
    <definedName name="_____SBS7">#REF!</definedName>
    <definedName name="_____SBS8">#REF!</definedName>
    <definedName name="_____SBS9">#REF!</definedName>
    <definedName name="_____SCF1">#REF!</definedName>
    <definedName name="_____SCF10">#REF!</definedName>
    <definedName name="_____SCF11">#REF!</definedName>
    <definedName name="_____SCF12">#REF!</definedName>
    <definedName name="_____SCF13">#REF!</definedName>
    <definedName name="_____SCF14">#REF!</definedName>
    <definedName name="_____SCF15">#REF!</definedName>
    <definedName name="_____SCF16">#REF!</definedName>
    <definedName name="_____SCF2">#REF!</definedName>
    <definedName name="_____SCF3">#REF!</definedName>
    <definedName name="_____SCF4">#REF!</definedName>
    <definedName name="_____SCF5">#REF!</definedName>
    <definedName name="_____SCF6">#REF!</definedName>
    <definedName name="_____SCF7">#REF!</definedName>
    <definedName name="_____SCF8">#REF!</definedName>
    <definedName name="_____SCF9">#REF!</definedName>
    <definedName name="_____sh1">#REF!</definedName>
    <definedName name="_____SIS1">#REF!</definedName>
    <definedName name="_____SIS10">#REF!</definedName>
    <definedName name="_____SIS11">#REF!</definedName>
    <definedName name="_____SIS12">#REF!</definedName>
    <definedName name="_____SIS2">#REF!</definedName>
    <definedName name="_____SIS3">#REF!</definedName>
    <definedName name="_____SIS4">#REF!</definedName>
    <definedName name="_____SIS5">#REF!</definedName>
    <definedName name="_____SIS6">#REF!</definedName>
    <definedName name="_____SIS7">#REF!</definedName>
    <definedName name="_____SIS8">#REF!</definedName>
    <definedName name="_____SIS9">#REF!</definedName>
    <definedName name="_____SP1">#REF!</definedName>
    <definedName name="_____SP10">#REF!</definedName>
    <definedName name="_____SP11">#REF!</definedName>
    <definedName name="_____SP12">#REF!</definedName>
    <definedName name="_____SP13">#REF!</definedName>
    <definedName name="_____SP14">#REF!</definedName>
    <definedName name="_____SP15">#REF!</definedName>
    <definedName name="_____SP16">#REF!</definedName>
    <definedName name="_____SP17">#REF!</definedName>
    <definedName name="_____SP18">#REF!</definedName>
    <definedName name="_____SP19">#REF!</definedName>
    <definedName name="_____SP2">#REF!</definedName>
    <definedName name="_____SP20">#REF!</definedName>
    <definedName name="_____SP3">#REF!</definedName>
    <definedName name="_____SP4">#REF!</definedName>
    <definedName name="_____SP5">#REF!</definedName>
    <definedName name="_____SP7">#REF!</definedName>
    <definedName name="_____SP8">#REF!</definedName>
    <definedName name="_____SP9">#REF!</definedName>
    <definedName name="_____sul1">#REF!</definedName>
    <definedName name="_____wes940">#REF!</definedName>
    <definedName name="____a1">#REF!</definedName>
    <definedName name="____a100">#REF!</definedName>
    <definedName name="____a12">#REF!</definedName>
    <definedName name="____a2">#REF!</definedName>
    <definedName name="____A70000">#REF!</definedName>
    <definedName name="____A80000">#REF!</definedName>
    <definedName name="____cur2">#REF!</definedName>
    <definedName name="____DAT1">#REF!</definedName>
    <definedName name="____DAT10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END1">#REF!</definedName>
    <definedName name="____END2">#REF!</definedName>
    <definedName name="____END4">#REF!</definedName>
    <definedName name="____END6">#REF!</definedName>
    <definedName name="____END7">#REF!</definedName>
    <definedName name="____fdf1">#REF!</definedName>
    <definedName name="____IV65900">#REF!</definedName>
    <definedName name="____IV66000">#REF!</definedName>
    <definedName name="____IV69000">#REF!</definedName>
    <definedName name="____IV70000">#REF!</definedName>
    <definedName name="____JA1">#REF!</definedName>
    <definedName name="____KA1">#REF!</definedName>
    <definedName name="____LA1">#REF!</definedName>
    <definedName name="____Ldg1">#REF!</definedName>
    <definedName name="____Ldg10">#REF!</definedName>
    <definedName name="____Ldg11">#REF!</definedName>
    <definedName name="____Ldg12">#REF!</definedName>
    <definedName name="____Ldg2">#REF!</definedName>
    <definedName name="____Ldg3">#REF!</definedName>
    <definedName name="____Ldg4">#REF!</definedName>
    <definedName name="____Ldg5">#REF!</definedName>
    <definedName name="____Ldg6">#REF!</definedName>
    <definedName name="____Ldg7">#REF!</definedName>
    <definedName name="____Ldg8">#REF!</definedName>
    <definedName name="____Ldg9">#REF!</definedName>
    <definedName name="____LHR01">#REF!</definedName>
    <definedName name="____LHR02">#REF!</definedName>
    <definedName name="____LHR03">#REF!</definedName>
    <definedName name="____LHR04">#REF!</definedName>
    <definedName name="____LHR05">#REF!</definedName>
    <definedName name="____LHR06">#REF!</definedName>
    <definedName name="____LHR07">#REF!</definedName>
    <definedName name="____LHR08">#REF!</definedName>
    <definedName name="____LHR09">#REF!</definedName>
    <definedName name="____LHR10">#REF!</definedName>
    <definedName name="____LHR11">#REF!</definedName>
    <definedName name="____LHR12">#REF!</definedName>
    <definedName name="____LHR13">#REF!</definedName>
    <definedName name="____LHR14">#REF!</definedName>
    <definedName name="____LHR15">#REF!</definedName>
    <definedName name="____LHR16">#REF!</definedName>
    <definedName name="____LHR17">#REF!</definedName>
    <definedName name="____LHR18">#REF!</definedName>
    <definedName name="____LHR19">#REF!</definedName>
    <definedName name="____LHR20">#REF!</definedName>
    <definedName name="____LHR21">#REF!</definedName>
    <definedName name="____LHR22">#REF!</definedName>
    <definedName name="____LHR23">#REF!</definedName>
    <definedName name="____LHR24">#REF!</definedName>
    <definedName name="____LHR25">#REF!</definedName>
    <definedName name="____LHR26">#REF!</definedName>
    <definedName name="____LHR27">#REF!</definedName>
    <definedName name="____LHR28">#REF!</definedName>
    <definedName name="____LHR29">#REF!</definedName>
    <definedName name="____LHR30">#REF!</definedName>
    <definedName name="____LHR31">#REF!</definedName>
    <definedName name="____LHR32">#REF!</definedName>
    <definedName name="____LHR33">#REF!</definedName>
    <definedName name="____LHR34">#REF!</definedName>
    <definedName name="____LIR01">#REF!</definedName>
    <definedName name="____LIR02">#REF!</definedName>
    <definedName name="____LIR03">#REF!</definedName>
    <definedName name="____LIR04">#REF!</definedName>
    <definedName name="____LIR05">#REF!</definedName>
    <definedName name="____LIR06">#REF!</definedName>
    <definedName name="____LIR07">#REF!</definedName>
    <definedName name="____LIR08">#REF!</definedName>
    <definedName name="____LIR09">#REF!</definedName>
    <definedName name="____LIR10">#REF!</definedName>
    <definedName name="____LIR11">#REF!</definedName>
    <definedName name="____LIR12">#REF!</definedName>
    <definedName name="____LIR13">#REF!</definedName>
    <definedName name="____LIR14">#REF!</definedName>
    <definedName name="____LIR15">#REF!</definedName>
    <definedName name="____LIR16">#REF!</definedName>
    <definedName name="____LIR17">#REF!</definedName>
    <definedName name="____LIR18">#REF!</definedName>
    <definedName name="____LIR19">#REF!</definedName>
    <definedName name="____LIR20">#REF!</definedName>
    <definedName name="____LIR21">#REF!</definedName>
    <definedName name="____LIR22">#REF!</definedName>
    <definedName name="____LIR23">#REF!</definedName>
    <definedName name="____LIR24">#REF!</definedName>
    <definedName name="____LIR25">#REF!</definedName>
    <definedName name="____LIR26">#REF!</definedName>
    <definedName name="____LIR27">#REF!</definedName>
    <definedName name="____LIR28">#REF!</definedName>
    <definedName name="____LIR29">#REF!</definedName>
    <definedName name="____LIR30">#REF!</definedName>
    <definedName name="____LIR31">#REF!</definedName>
    <definedName name="____LIR32">#REF!</definedName>
    <definedName name="____LIR33">#REF!</definedName>
    <definedName name="____lp280202">#REF!</definedName>
    <definedName name="____LTR01">#REF!</definedName>
    <definedName name="____LTR02">#REF!</definedName>
    <definedName name="____LTR03">#REF!</definedName>
    <definedName name="____LTR04">#REF!</definedName>
    <definedName name="____LTR05">#REF!</definedName>
    <definedName name="____LTR06">#REF!</definedName>
    <definedName name="____LTR07">#REF!</definedName>
    <definedName name="____LTR08">#REF!</definedName>
    <definedName name="____LTR09">#REF!</definedName>
    <definedName name="____LTR10">#REF!</definedName>
    <definedName name="____LTR11">#REF!</definedName>
    <definedName name="____LTR12">#REF!</definedName>
    <definedName name="____LTR13">#REF!</definedName>
    <definedName name="____LTR14">#REF!</definedName>
    <definedName name="____LTR15">#REF!</definedName>
    <definedName name="____LTR16">#REF!</definedName>
    <definedName name="____LTR17">#REF!</definedName>
    <definedName name="____LTR18">#REF!</definedName>
    <definedName name="____LTR19">#REF!</definedName>
    <definedName name="____LTR20">#REF!</definedName>
    <definedName name="____LTR21">#REF!</definedName>
    <definedName name="____LTR22">#REF!</definedName>
    <definedName name="____LTR23">#REF!</definedName>
    <definedName name="____LTR24">#REF!</definedName>
    <definedName name="____LTR25">#REF!</definedName>
    <definedName name="____LTR26">#REF!</definedName>
    <definedName name="____LTR27">#REF!</definedName>
    <definedName name="____Max2">#REF!</definedName>
    <definedName name="____MIF1">#REF!</definedName>
    <definedName name="____MIF2">#REF!</definedName>
    <definedName name="____MIF3">#REF!</definedName>
    <definedName name="____MO33">#REF!</definedName>
    <definedName name="____MO34">#REF!</definedName>
    <definedName name="____MO35">#REF!</definedName>
    <definedName name="____MO36">#REF!</definedName>
    <definedName name="____MO37">#REF!</definedName>
    <definedName name="____MO38">#REF!</definedName>
    <definedName name="____MO39">#REF!</definedName>
    <definedName name="____MO40">#REF!</definedName>
    <definedName name="____MO41">#REF!</definedName>
    <definedName name="____MO42">#REF!</definedName>
    <definedName name="____MO43">#REF!</definedName>
    <definedName name="____MO44">#REF!</definedName>
    <definedName name="____MO45">#REF!</definedName>
    <definedName name="____MO46">#REF!</definedName>
    <definedName name="____MO47">#REF!</definedName>
    <definedName name="____MO48">#REF!</definedName>
    <definedName name="____MO49">#REF!</definedName>
    <definedName name="____MO50">#REF!</definedName>
    <definedName name="____MO51">#REF!</definedName>
    <definedName name="____MO52">#REF!</definedName>
    <definedName name="____MO53">#REF!</definedName>
    <definedName name="____MO54">#REF!</definedName>
    <definedName name="____MO55">#REF!</definedName>
    <definedName name="____MO56">#REF!</definedName>
    <definedName name="____MO57">#REF!</definedName>
    <definedName name="____MO58">#REF!</definedName>
    <definedName name="____MO59">#REF!</definedName>
    <definedName name="____MO60">#REF!</definedName>
    <definedName name="____MO61">#REF!</definedName>
    <definedName name="____MO62">#REF!</definedName>
    <definedName name="____MO63">#REF!</definedName>
    <definedName name="____MO64">#REF!</definedName>
    <definedName name="____MO65">#REF!</definedName>
    <definedName name="____MO66">#REF!</definedName>
    <definedName name="____MO67">#REF!</definedName>
    <definedName name="____MO68">#REF!</definedName>
    <definedName name="____MO69">#REF!</definedName>
    <definedName name="____MO70">#REF!</definedName>
    <definedName name="____MO71">#REF!</definedName>
    <definedName name="____MO72">#REF!</definedName>
    <definedName name="____MO73">#REF!</definedName>
    <definedName name="____MO74">#REF!</definedName>
    <definedName name="____MO75">#REF!</definedName>
    <definedName name="____MO76">#REF!</definedName>
    <definedName name="____MO77">#REF!</definedName>
    <definedName name="____MO78">#REF!</definedName>
    <definedName name="____MO79">#REF!</definedName>
    <definedName name="____MO80">#REF!</definedName>
    <definedName name="____MO81">#REF!</definedName>
    <definedName name="____MO82">#REF!</definedName>
    <definedName name="____NBS1">#REF!</definedName>
    <definedName name="____NBS10">#REF!</definedName>
    <definedName name="____NBS11">#REF!</definedName>
    <definedName name="____NBS12">#REF!</definedName>
    <definedName name="____NBS13">#REF!</definedName>
    <definedName name="____NBS14">#REF!</definedName>
    <definedName name="____NBS15">#REF!</definedName>
    <definedName name="____NBS16">#REF!</definedName>
    <definedName name="____NBS17">#REF!</definedName>
    <definedName name="____NBS18">#REF!</definedName>
    <definedName name="____NBS19">#REF!</definedName>
    <definedName name="____NBS2">#REF!</definedName>
    <definedName name="____NBS20">#REF!</definedName>
    <definedName name="____NBS21">#REF!</definedName>
    <definedName name="____NBS22">#REF!</definedName>
    <definedName name="____NBS23">#REF!</definedName>
    <definedName name="____NBS24">#REF!</definedName>
    <definedName name="____NBS25">#REF!</definedName>
    <definedName name="____NBS26">#REF!</definedName>
    <definedName name="____NBS3">#REF!</definedName>
    <definedName name="____NBS4">#REF!</definedName>
    <definedName name="____NBS5">#REF!</definedName>
    <definedName name="____NBS6">#REF!</definedName>
    <definedName name="____NBS7">#REF!</definedName>
    <definedName name="____NBS8">#REF!</definedName>
    <definedName name="____NBS9">#REF!</definedName>
    <definedName name="____NCF1">#REF!</definedName>
    <definedName name="____NCF10">#REF!</definedName>
    <definedName name="____NCF11">#REF!</definedName>
    <definedName name="____NCF12">#REF!</definedName>
    <definedName name="____NCF13">#REF!</definedName>
    <definedName name="____NCF14">#REF!</definedName>
    <definedName name="____NCF15">#REF!</definedName>
    <definedName name="____NCF16">#REF!</definedName>
    <definedName name="____NCF2">#REF!</definedName>
    <definedName name="____NCF3">#REF!</definedName>
    <definedName name="____NCF4">#REF!</definedName>
    <definedName name="____NCF5">#REF!</definedName>
    <definedName name="____NCF6">#REF!</definedName>
    <definedName name="____NCF7">#REF!</definedName>
    <definedName name="____NCF8">#REF!</definedName>
    <definedName name="____NCF9">#REF!</definedName>
    <definedName name="____NIS1">#REF!</definedName>
    <definedName name="____NIS10">#REF!</definedName>
    <definedName name="____NIS11">#REF!</definedName>
    <definedName name="____NIS12">#REF!</definedName>
    <definedName name="____NIS2">#REF!</definedName>
    <definedName name="____NIS3">#REF!</definedName>
    <definedName name="____NIS4">#REF!</definedName>
    <definedName name="____NIS5">#REF!</definedName>
    <definedName name="____NIS6">#REF!</definedName>
    <definedName name="____NIS7">#REF!</definedName>
    <definedName name="____NIS8">#REF!</definedName>
    <definedName name="____NIS9">#REF!</definedName>
    <definedName name="____Per1">#REF!</definedName>
    <definedName name="____Per10">#REF!</definedName>
    <definedName name="____Per11">#REF!</definedName>
    <definedName name="____Per12">#REF!</definedName>
    <definedName name="____Per2">#REF!</definedName>
    <definedName name="____Per3">#REF!</definedName>
    <definedName name="____Per4">#REF!</definedName>
    <definedName name="____Per5">#REF!</definedName>
    <definedName name="____Per6">#REF!</definedName>
    <definedName name="____Per7">#REF!</definedName>
    <definedName name="____Per8">#REF!</definedName>
    <definedName name="____Per9">#REF!</definedName>
    <definedName name="____RA1">#REF!</definedName>
    <definedName name="____ref1">#REF!</definedName>
    <definedName name="____ref2">#REF!</definedName>
    <definedName name="____s3">#REF!</definedName>
    <definedName name="____SBS1">#REF!</definedName>
    <definedName name="____SBS10">#REF!</definedName>
    <definedName name="____SBS11">#REF!</definedName>
    <definedName name="____SBS12">#REF!</definedName>
    <definedName name="____SBS13">#REF!</definedName>
    <definedName name="____SBS14">#REF!</definedName>
    <definedName name="____SBS15">#REF!</definedName>
    <definedName name="____SBS16">#REF!</definedName>
    <definedName name="____SBS17">#REF!</definedName>
    <definedName name="____SBS18">#REF!</definedName>
    <definedName name="____SBS19">#REF!</definedName>
    <definedName name="____SBS2">#REF!</definedName>
    <definedName name="____SBS20">#REF!</definedName>
    <definedName name="____SBS21">#REF!</definedName>
    <definedName name="____SBS22">#REF!</definedName>
    <definedName name="____SBS23">#REF!</definedName>
    <definedName name="____SBS24">#REF!</definedName>
    <definedName name="____SBS25">#REF!</definedName>
    <definedName name="____SBS26">#REF!</definedName>
    <definedName name="____SBS3">#REF!</definedName>
    <definedName name="____SBS4">#REF!</definedName>
    <definedName name="____SBS5">#REF!</definedName>
    <definedName name="____SBS6">#REF!</definedName>
    <definedName name="____SBS7">#REF!</definedName>
    <definedName name="____SBS8">#REF!</definedName>
    <definedName name="____SBS9">#REF!</definedName>
    <definedName name="____SCF1">#REF!</definedName>
    <definedName name="____SCF10">#REF!</definedName>
    <definedName name="____SCF11">#REF!</definedName>
    <definedName name="____SCF12">#REF!</definedName>
    <definedName name="____SCF13">#REF!</definedName>
    <definedName name="____SCF14">#REF!</definedName>
    <definedName name="____SCF15">#REF!</definedName>
    <definedName name="____SCF16">#REF!</definedName>
    <definedName name="____SCF2">#REF!</definedName>
    <definedName name="____SCF3">#REF!</definedName>
    <definedName name="____SCF4">#REF!</definedName>
    <definedName name="____SCF5">#REF!</definedName>
    <definedName name="____SCF6">#REF!</definedName>
    <definedName name="____SCF7">#REF!</definedName>
    <definedName name="____SCF8">#REF!</definedName>
    <definedName name="____SCF9">#REF!</definedName>
    <definedName name="____sh1">#REF!</definedName>
    <definedName name="____SIS1">#REF!</definedName>
    <definedName name="____SIS10">#REF!</definedName>
    <definedName name="____SIS11">#REF!</definedName>
    <definedName name="____SIS12">#REF!</definedName>
    <definedName name="____SIS2">#REF!</definedName>
    <definedName name="____SIS3">#REF!</definedName>
    <definedName name="____SIS4">#REF!</definedName>
    <definedName name="____SIS5">#REF!</definedName>
    <definedName name="____SIS6">#REF!</definedName>
    <definedName name="____SIS7">#REF!</definedName>
    <definedName name="____SIS8">#REF!</definedName>
    <definedName name="____SIS9">#REF!</definedName>
    <definedName name="____SP1">#REF!</definedName>
    <definedName name="____SP10">#REF!</definedName>
    <definedName name="____SP11">#REF!</definedName>
    <definedName name="____SP12">#REF!</definedName>
    <definedName name="____SP13">#REF!</definedName>
    <definedName name="____SP14">#REF!</definedName>
    <definedName name="____SP15">#REF!</definedName>
    <definedName name="____SP16">#REF!</definedName>
    <definedName name="____SP17">#REF!</definedName>
    <definedName name="____SP18">#REF!</definedName>
    <definedName name="____SP19">#REF!</definedName>
    <definedName name="____SP2">#REF!</definedName>
    <definedName name="____SP20">#REF!</definedName>
    <definedName name="____SP3">#REF!</definedName>
    <definedName name="____SP4">#REF!</definedName>
    <definedName name="____SP5">#REF!</definedName>
    <definedName name="____SP7">#REF!</definedName>
    <definedName name="____SP8">#REF!</definedName>
    <definedName name="____SP9">#REF!</definedName>
    <definedName name="____sul1">#REF!</definedName>
    <definedName name="____wes940">#REF!</definedName>
    <definedName name="___1">#REF!</definedName>
    <definedName name="___a1">#REF!</definedName>
    <definedName name="___a100">#REF!</definedName>
    <definedName name="___a12">#REF!</definedName>
    <definedName name="___a2">#REF!</definedName>
    <definedName name="___A70000">#REF!</definedName>
    <definedName name="___A80000">#REF!</definedName>
    <definedName name="___cur2">#REF!</definedName>
    <definedName name="___DAT1">#REF!</definedName>
    <definedName name="___DAT10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END1">#REF!</definedName>
    <definedName name="___END2">#REF!</definedName>
    <definedName name="___END4">#REF!</definedName>
    <definedName name="___END6">#REF!</definedName>
    <definedName name="___END7">#REF!</definedName>
    <definedName name="___fdf1">#REF!</definedName>
    <definedName name="___INDEX_SHEET___ASAP_Utilities">#REF!</definedName>
    <definedName name="___INP1">#REF!</definedName>
    <definedName name="___INP10">#REF!</definedName>
    <definedName name="___INP11">#REF!</definedName>
    <definedName name="___INP12">#REF!</definedName>
    <definedName name="___INP13">#REF!</definedName>
    <definedName name="___INP14">#REF!</definedName>
    <definedName name="___INP15">#REF!</definedName>
    <definedName name="___INP16">#REF!</definedName>
    <definedName name="___INP17">#REF!</definedName>
    <definedName name="___INP18">#REF!</definedName>
    <definedName name="___INP19">#REF!</definedName>
    <definedName name="___INP2">#REF!</definedName>
    <definedName name="___INP20">#REF!</definedName>
    <definedName name="___INP21">#REF!</definedName>
    <definedName name="___INP22">#REF!</definedName>
    <definedName name="___INP23">#REF!</definedName>
    <definedName name="___INP24">#REF!</definedName>
    <definedName name="___INP25">#REF!</definedName>
    <definedName name="___INP26">#REF!</definedName>
    <definedName name="___INP27">#REF!</definedName>
    <definedName name="___INP28">#REF!</definedName>
    <definedName name="___INP29">#REF!</definedName>
    <definedName name="___INP3">#REF!</definedName>
    <definedName name="___INP30">#REF!</definedName>
    <definedName name="___INP31">#REF!</definedName>
    <definedName name="___INP32">#REF!</definedName>
    <definedName name="___INP33">#REF!</definedName>
    <definedName name="___INP37">#REF!</definedName>
    <definedName name="___INP38">#REF!</definedName>
    <definedName name="___INP39">#REF!</definedName>
    <definedName name="___INP4">#REF!</definedName>
    <definedName name="___INP40">#REF!</definedName>
    <definedName name="___INP41">#REF!</definedName>
    <definedName name="___INP42">#REF!</definedName>
    <definedName name="___INP43">#REF!</definedName>
    <definedName name="___INP44">#REF!</definedName>
    <definedName name="___INP45">#REF!</definedName>
    <definedName name="___INP46">#REF!</definedName>
    <definedName name="___INP47">#REF!</definedName>
    <definedName name="___INP48">#REF!</definedName>
    <definedName name="___INP49">#REF!</definedName>
    <definedName name="___INP5">#REF!</definedName>
    <definedName name="___INP50">#REF!</definedName>
    <definedName name="___INP51">#REF!</definedName>
    <definedName name="___INP52">#REF!</definedName>
    <definedName name="___INP53">#REF!</definedName>
    <definedName name="___INP54">#REF!</definedName>
    <definedName name="___INP55">#REF!</definedName>
    <definedName name="___INP56">#REF!</definedName>
    <definedName name="___INP57">#REF!</definedName>
    <definedName name="___INP58">#REF!</definedName>
    <definedName name="___INP59">#REF!</definedName>
    <definedName name="___INP6">#REF!</definedName>
    <definedName name="___INP60">#REF!</definedName>
    <definedName name="___INP61">#REF!</definedName>
    <definedName name="___INP62">#REF!</definedName>
    <definedName name="___INP63">#REF!</definedName>
    <definedName name="___INP64">#REF!</definedName>
    <definedName name="___INP65">#REF!</definedName>
    <definedName name="___INP66">#REF!</definedName>
    <definedName name="___INP67">#REF!</definedName>
    <definedName name="___INP68">#REF!</definedName>
    <definedName name="___INP69">#REF!</definedName>
    <definedName name="___INP7">#REF!</definedName>
    <definedName name="___INP70">#REF!</definedName>
    <definedName name="___INP71">#REF!</definedName>
    <definedName name="___INP72">#REF!</definedName>
    <definedName name="___INP73">#REF!</definedName>
    <definedName name="___INP74">#REF!</definedName>
    <definedName name="___INP75">#REF!</definedName>
    <definedName name="___INP76">#REF!</definedName>
    <definedName name="___INP77">#REF!</definedName>
    <definedName name="___INP78">#REF!</definedName>
    <definedName name="___INP79">#REF!</definedName>
    <definedName name="___INP8">#REF!</definedName>
    <definedName name="___INP80">#REF!</definedName>
    <definedName name="___INP81">#REF!</definedName>
    <definedName name="___INP82">#REF!</definedName>
    <definedName name="___INP9">#REF!</definedName>
    <definedName name="___IV65900">#REF!</definedName>
    <definedName name="___IV66000">#REF!</definedName>
    <definedName name="___IV69000">#REF!</definedName>
    <definedName name="___IV70000">#REF!</definedName>
    <definedName name="___JA1">#REF!</definedName>
    <definedName name="___KA1">#REF!</definedName>
    <definedName name="___LA1">#REF!</definedName>
    <definedName name="___Ldg1">#REF!</definedName>
    <definedName name="___Ldg10">#REF!</definedName>
    <definedName name="___Ldg11">#REF!</definedName>
    <definedName name="___Ldg12">#REF!</definedName>
    <definedName name="___Ldg2">#REF!</definedName>
    <definedName name="___Ldg3">#REF!</definedName>
    <definedName name="___Ldg4">#REF!</definedName>
    <definedName name="___Ldg5">#REF!</definedName>
    <definedName name="___Ldg6">#REF!</definedName>
    <definedName name="___Ldg7">#REF!</definedName>
    <definedName name="___Ldg8">#REF!</definedName>
    <definedName name="___Ldg9">#REF!</definedName>
    <definedName name="___LHR01">#REF!</definedName>
    <definedName name="___LHR02">#REF!</definedName>
    <definedName name="___LHR03">#REF!</definedName>
    <definedName name="___LHR04">#REF!</definedName>
    <definedName name="___LHR05">#REF!</definedName>
    <definedName name="___LHR06">#REF!</definedName>
    <definedName name="___LHR07">#REF!</definedName>
    <definedName name="___LHR08">#REF!</definedName>
    <definedName name="___LHR09">#REF!</definedName>
    <definedName name="___LHR10">#REF!</definedName>
    <definedName name="___LHR11">#REF!</definedName>
    <definedName name="___LHR12">#REF!</definedName>
    <definedName name="___LHR13">#REF!</definedName>
    <definedName name="___LHR14">#REF!</definedName>
    <definedName name="___LHR15">#REF!</definedName>
    <definedName name="___LHR16">#REF!</definedName>
    <definedName name="___LHR17">#REF!</definedName>
    <definedName name="___LHR18">#REF!</definedName>
    <definedName name="___LHR19">#REF!</definedName>
    <definedName name="___LHR20">#REF!</definedName>
    <definedName name="___LHR21">#REF!</definedName>
    <definedName name="___LHR22">#REF!</definedName>
    <definedName name="___LHR23">#REF!</definedName>
    <definedName name="___LHR24">#REF!</definedName>
    <definedName name="___LHR25">#REF!</definedName>
    <definedName name="___LHR26">#REF!</definedName>
    <definedName name="___LHR27">#REF!</definedName>
    <definedName name="___LHR28">#REF!</definedName>
    <definedName name="___LHR29">#REF!</definedName>
    <definedName name="___LHR30">#REF!</definedName>
    <definedName name="___LHR31">#REF!</definedName>
    <definedName name="___LHR32">#REF!</definedName>
    <definedName name="___LHR33">#REF!</definedName>
    <definedName name="___LHR34">#REF!</definedName>
    <definedName name="___LIR01">#REF!</definedName>
    <definedName name="___LIR02">#REF!</definedName>
    <definedName name="___LIR03">#REF!</definedName>
    <definedName name="___LIR04">#REF!</definedName>
    <definedName name="___LIR05">#REF!</definedName>
    <definedName name="___LIR06">#REF!</definedName>
    <definedName name="___LIR07">#REF!</definedName>
    <definedName name="___LIR08">#REF!</definedName>
    <definedName name="___LIR09">#REF!</definedName>
    <definedName name="___LIR10">#REF!</definedName>
    <definedName name="___LIR11">#REF!</definedName>
    <definedName name="___LIR12">#REF!</definedName>
    <definedName name="___LIR13">#REF!</definedName>
    <definedName name="___LIR14">#REF!</definedName>
    <definedName name="___LIR15">#REF!</definedName>
    <definedName name="___LIR16">#REF!</definedName>
    <definedName name="___LIR17">#REF!</definedName>
    <definedName name="___LIR18">#REF!</definedName>
    <definedName name="___LIR19">#REF!</definedName>
    <definedName name="___LIR20">#REF!</definedName>
    <definedName name="___LIR21">#REF!</definedName>
    <definedName name="___LIR22">#REF!</definedName>
    <definedName name="___LIR23">#REF!</definedName>
    <definedName name="___LIR24">#REF!</definedName>
    <definedName name="___LIR25">#REF!</definedName>
    <definedName name="___LIR26">#REF!</definedName>
    <definedName name="___LIR27">#REF!</definedName>
    <definedName name="___LIR28">#REF!</definedName>
    <definedName name="___LIR29">#REF!</definedName>
    <definedName name="___LIR30">#REF!</definedName>
    <definedName name="___LIR31">#REF!</definedName>
    <definedName name="___LIR32">#REF!</definedName>
    <definedName name="___LIR33">#REF!</definedName>
    <definedName name="___lp280202">#REF!</definedName>
    <definedName name="___LTR01">#REF!</definedName>
    <definedName name="___LTR02">#REF!</definedName>
    <definedName name="___LTR03">#REF!</definedName>
    <definedName name="___LTR04">#REF!</definedName>
    <definedName name="___LTR05">#REF!</definedName>
    <definedName name="___LTR06">#REF!</definedName>
    <definedName name="___LTR07">#REF!</definedName>
    <definedName name="___LTR08">#REF!</definedName>
    <definedName name="___LTR09">#REF!</definedName>
    <definedName name="___LTR10">#REF!</definedName>
    <definedName name="___LTR11">#REF!</definedName>
    <definedName name="___LTR12">#REF!</definedName>
    <definedName name="___LTR13">#REF!</definedName>
    <definedName name="___LTR14">#REF!</definedName>
    <definedName name="___LTR15">#REF!</definedName>
    <definedName name="___LTR16">#REF!</definedName>
    <definedName name="___LTR17">#REF!</definedName>
    <definedName name="___LTR18">#REF!</definedName>
    <definedName name="___LTR19">#REF!</definedName>
    <definedName name="___LTR20">#REF!</definedName>
    <definedName name="___LTR21">#REF!</definedName>
    <definedName name="___LTR22">#REF!</definedName>
    <definedName name="___LTR23">#REF!</definedName>
    <definedName name="___LTR24">#REF!</definedName>
    <definedName name="___LTR25">#REF!</definedName>
    <definedName name="___LTR26">#REF!</definedName>
    <definedName name="___LTR27">#REF!</definedName>
    <definedName name="___Max2">#REF!</definedName>
    <definedName name="___MIF1">#REF!</definedName>
    <definedName name="___MIF2">#REF!</definedName>
    <definedName name="___MIF3">#REF!</definedName>
    <definedName name="___MO33">#REF!</definedName>
    <definedName name="___MO34">#REF!</definedName>
    <definedName name="___MO35">#REF!</definedName>
    <definedName name="___MO36">#REF!</definedName>
    <definedName name="___MO37">#REF!</definedName>
    <definedName name="___MO38">#REF!</definedName>
    <definedName name="___MO39">#REF!</definedName>
    <definedName name="___MO40">#REF!</definedName>
    <definedName name="___MO41">#REF!</definedName>
    <definedName name="___MO42">#REF!</definedName>
    <definedName name="___MO43">#REF!</definedName>
    <definedName name="___MO44">#REF!</definedName>
    <definedName name="___MO45">#REF!</definedName>
    <definedName name="___MO46">#REF!</definedName>
    <definedName name="___MO47">#REF!</definedName>
    <definedName name="___MO48">#REF!</definedName>
    <definedName name="___MO49">#REF!</definedName>
    <definedName name="___MO50">#REF!</definedName>
    <definedName name="___MO51">#REF!</definedName>
    <definedName name="___MO52">#REF!</definedName>
    <definedName name="___MO53">#REF!</definedName>
    <definedName name="___MO54">#REF!</definedName>
    <definedName name="___MO55">#REF!</definedName>
    <definedName name="___MO56">#REF!</definedName>
    <definedName name="___MO57">#REF!</definedName>
    <definedName name="___MO58">#REF!</definedName>
    <definedName name="___MO59">#REF!</definedName>
    <definedName name="___MO60">#REF!</definedName>
    <definedName name="___MO61">#REF!</definedName>
    <definedName name="___MO62">#REF!</definedName>
    <definedName name="___MO63">#REF!</definedName>
    <definedName name="___MO64">#REF!</definedName>
    <definedName name="___MO65">#REF!</definedName>
    <definedName name="___MO66">#REF!</definedName>
    <definedName name="___MO67">#REF!</definedName>
    <definedName name="___MO68">#REF!</definedName>
    <definedName name="___MO69">#REF!</definedName>
    <definedName name="___MO70">#REF!</definedName>
    <definedName name="___MO71">#REF!</definedName>
    <definedName name="___MO72">#REF!</definedName>
    <definedName name="___MO73">#REF!</definedName>
    <definedName name="___MO74">#REF!</definedName>
    <definedName name="___MO75">#REF!</definedName>
    <definedName name="___MO76">#REF!</definedName>
    <definedName name="___MO77">#REF!</definedName>
    <definedName name="___MO78">#REF!</definedName>
    <definedName name="___MO79">#REF!</definedName>
    <definedName name="___MO80">#REF!</definedName>
    <definedName name="___MO81">#REF!</definedName>
    <definedName name="___MO82">#REF!</definedName>
    <definedName name="___NBS1">#REF!</definedName>
    <definedName name="___NBS10">#REF!</definedName>
    <definedName name="___NBS11">#REF!</definedName>
    <definedName name="___NBS12">#REF!</definedName>
    <definedName name="___NBS13">#REF!</definedName>
    <definedName name="___NBS14">#REF!</definedName>
    <definedName name="___NBS15">#REF!</definedName>
    <definedName name="___NBS16">#REF!</definedName>
    <definedName name="___NBS17">#REF!</definedName>
    <definedName name="___NBS18">#REF!</definedName>
    <definedName name="___NBS19">#REF!</definedName>
    <definedName name="___NBS2">#REF!</definedName>
    <definedName name="___NBS20">#REF!</definedName>
    <definedName name="___NBS21">#REF!</definedName>
    <definedName name="___NBS22">#REF!</definedName>
    <definedName name="___NBS23">#REF!</definedName>
    <definedName name="___NBS24">#REF!</definedName>
    <definedName name="___NBS25">#REF!</definedName>
    <definedName name="___NBS26">#REF!</definedName>
    <definedName name="___NBS3">#REF!</definedName>
    <definedName name="___NBS4">#REF!</definedName>
    <definedName name="___NBS5">#REF!</definedName>
    <definedName name="___NBS6">#REF!</definedName>
    <definedName name="___NBS7">#REF!</definedName>
    <definedName name="___NBS8">#REF!</definedName>
    <definedName name="___NBS9">#REF!</definedName>
    <definedName name="___NCF1">#REF!</definedName>
    <definedName name="___NCF10">#REF!</definedName>
    <definedName name="___NCF11">#REF!</definedName>
    <definedName name="___NCF12">#REF!</definedName>
    <definedName name="___NCF13">#REF!</definedName>
    <definedName name="___NCF14">#REF!</definedName>
    <definedName name="___NCF15">#REF!</definedName>
    <definedName name="___NCF16">#REF!</definedName>
    <definedName name="___NCF2">#REF!</definedName>
    <definedName name="___NCF3">#REF!</definedName>
    <definedName name="___NCF4">#REF!</definedName>
    <definedName name="___NCF5">#REF!</definedName>
    <definedName name="___NCF6">#REF!</definedName>
    <definedName name="___NCF7">#REF!</definedName>
    <definedName name="___NCF8">#REF!</definedName>
    <definedName name="___NCF9">#REF!</definedName>
    <definedName name="___NIS1">#REF!</definedName>
    <definedName name="___NIS10">#REF!</definedName>
    <definedName name="___NIS11">#REF!</definedName>
    <definedName name="___NIS12">#REF!</definedName>
    <definedName name="___NIS2">#REF!</definedName>
    <definedName name="___NIS3">#REF!</definedName>
    <definedName name="___NIS4">#REF!</definedName>
    <definedName name="___NIS5">#REF!</definedName>
    <definedName name="___NIS6">#REF!</definedName>
    <definedName name="___NIS7">#REF!</definedName>
    <definedName name="___NIS8">#REF!</definedName>
    <definedName name="___NIS9">#REF!</definedName>
    <definedName name="___old1">#REF!</definedName>
    <definedName name="___old2">#REF!</definedName>
    <definedName name="___Per1">#REF!</definedName>
    <definedName name="___Per10">#REF!</definedName>
    <definedName name="___Per11">#REF!</definedName>
    <definedName name="___Per12">#REF!</definedName>
    <definedName name="___Per2">#REF!</definedName>
    <definedName name="___Per3">#REF!</definedName>
    <definedName name="___Per4">#REF!</definedName>
    <definedName name="___Per5">#REF!</definedName>
    <definedName name="___Per6">#REF!</definedName>
    <definedName name="___Per7">#REF!</definedName>
    <definedName name="___Per8">#REF!</definedName>
    <definedName name="___Per9">#REF!</definedName>
    <definedName name="___RA1">#REF!</definedName>
    <definedName name="___ref1">#REF!</definedName>
    <definedName name="___ref2">#REF!</definedName>
    <definedName name="___RSE2">#REF!</definedName>
    <definedName name="___s3">#REF!</definedName>
    <definedName name="___SBS1">#REF!</definedName>
    <definedName name="___SBS10">#REF!</definedName>
    <definedName name="___SBS11">#REF!</definedName>
    <definedName name="___SBS12">#REF!</definedName>
    <definedName name="___SBS13">#REF!</definedName>
    <definedName name="___SBS14">#REF!</definedName>
    <definedName name="___SBS15">#REF!</definedName>
    <definedName name="___SBS16">#REF!</definedName>
    <definedName name="___SBS17">#REF!</definedName>
    <definedName name="___SBS18">#REF!</definedName>
    <definedName name="___SBS19">#REF!</definedName>
    <definedName name="___SBS2">#REF!</definedName>
    <definedName name="___SBS20">#REF!</definedName>
    <definedName name="___SBS21">#REF!</definedName>
    <definedName name="___SBS22">#REF!</definedName>
    <definedName name="___SBS23">#REF!</definedName>
    <definedName name="___SBS24">#REF!</definedName>
    <definedName name="___SBS25">#REF!</definedName>
    <definedName name="___SBS26">#REF!</definedName>
    <definedName name="___SBS3">#REF!</definedName>
    <definedName name="___SBS4">#REF!</definedName>
    <definedName name="___SBS5">#REF!</definedName>
    <definedName name="___SBS6">#REF!</definedName>
    <definedName name="___SBS7">#REF!</definedName>
    <definedName name="___SBS8">#REF!</definedName>
    <definedName name="___SBS9">#REF!</definedName>
    <definedName name="___SCF1">#REF!</definedName>
    <definedName name="___SCF10">#REF!</definedName>
    <definedName name="___SCF11">#REF!</definedName>
    <definedName name="___SCF12">#REF!</definedName>
    <definedName name="___SCF13">#REF!</definedName>
    <definedName name="___SCF14">#REF!</definedName>
    <definedName name="___SCF15">#REF!</definedName>
    <definedName name="___SCF16">#REF!</definedName>
    <definedName name="___SCF2">#REF!</definedName>
    <definedName name="___SCF3">#REF!</definedName>
    <definedName name="___SCF4">#REF!</definedName>
    <definedName name="___SCF5">#REF!</definedName>
    <definedName name="___SCF6">#REF!</definedName>
    <definedName name="___SCF7">#REF!</definedName>
    <definedName name="___SCF8">#REF!</definedName>
    <definedName name="___SCF9">#REF!</definedName>
    <definedName name="___sh1">#REF!</definedName>
    <definedName name="___SIS1">#REF!</definedName>
    <definedName name="___SIS10">#REF!</definedName>
    <definedName name="___SIS11">#REF!</definedName>
    <definedName name="___SIS12">#REF!</definedName>
    <definedName name="___SIS2">#REF!</definedName>
    <definedName name="___SIS3">#REF!</definedName>
    <definedName name="___SIS4">#REF!</definedName>
    <definedName name="___SIS5">#REF!</definedName>
    <definedName name="___SIS6">#REF!</definedName>
    <definedName name="___SIS7">#REF!</definedName>
    <definedName name="___SIS8">#REF!</definedName>
    <definedName name="___SIS9">#REF!</definedName>
    <definedName name="___SP10">#REF!</definedName>
    <definedName name="___SP11">#REF!</definedName>
    <definedName name="___SP12">#REF!</definedName>
    <definedName name="___SP13">#REF!</definedName>
    <definedName name="___SP14">#REF!</definedName>
    <definedName name="___SP15">#REF!</definedName>
    <definedName name="___SP16">#REF!</definedName>
    <definedName name="___SP17">#REF!</definedName>
    <definedName name="___SP18">#REF!</definedName>
    <definedName name="___SP19">#REF!</definedName>
    <definedName name="___SP2">#REF!</definedName>
    <definedName name="___SP20">#REF!</definedName>
    <definedName name="___SP3">#REF!</definedName>
    <definedName name="___SP4">#REF!</definedName>
    <definedName name="___SP5">#REF!</definedName>
    <definedName name="___SP7">#REF!</definedName>
    <definedName name="___SP8">#REF!</definedName>
    <definedName name="___SP9">#REF!</definedName>
    <definedName name="___sul1">#REF!</definedName>
    <definedName name="___wes940">#REF!</definedName>
    <definedName name="__1">#REF!</definedName>
    <definedName name="__1__123Graph_ACHART_3">#REF!</definedName>
    <definedName name="__123G">#REF!</definedName>
    <definedName name="__123Graph_A">#REF!</definedName>
    <definedName name="__123Graph_ACHART1">#REF!</definedName>
    <definedName name="__123Graph_ACHART3">#REF!</definedName>
    <definedName name="__123Graph_ACHART5">#REF!</definedName>
    <definedName name="__123Graph_AOILIPR">#REF!</definedName>
    <definedName name="__123Graph_B">#REF!</definedName>
    <definedName name="__123Graph_LBL_A">#REF!</definedName>
    <definedName name="__123Graph_LBL_B">#REF!</definedName>
    <definedName name="__123Graph_X">#REF!</definedName>
    <definedName name="__123Graph_XOILIPR">#REF!</definedName>
    <definedName name="__123пкфзр_ссрфке">#REF!</definedName>
    <definedName name="__2__123Graph_BCHART_3">#REF!</definedName>
    <definedName name="__3__123Graph_CCHART_3">#REF!</definedName>
    <definedName name="__5450_01">#REF!</definedName>
    <definedName name="__5456_n">#REF!</definedName>
    <definedName name="__a1">#REF!</definedName>
    <definedName name="__a100">#REF!</definedName>
    <definedName name="__a11">#REF!</definedName>
    <definedName name="__a12">#REF!</definedName>
    <definedName name="__a2">#REF!</definedName>
    <definedName name="__A70000">#REF!</definedName>
    <definedName name="__A80000">#REF!</definedName>
    <definedName name="__bookmark_1">#REF!</definedName>
    <definedName name="__cur2">#REF!</definedName>
    <definedName name="__DAT1">#REF!</definedName>
    <definedName name="__DAT10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ND1">#REF!</definedName>
    <definedName name="__END2">#REF!</definedName>
    <definedName name="__END4">#REF!</definedName>
    <definedName name="__END6">#REF!</definedName>
    <definedName name="__END7">#REF!</definedName>
    <definedName name="__fdf1">#REF!</definedName>
    <definedName name="__INP1">#REF!</definedName>
    <definedName name="__INP10">#REF!</definedName>
    <definedName name="__INP11">#REF!</definedName>
    <definedName name="__INP12">#REF!</definedName>
    <definedName name="__INP13">#REF!</definedName>
    <definedName name="__INP14">#REF!</definedName>
    <definedName name="__INP15">#REF!</definedName>
    <definedName name="__INP16">#REF!</definedName>
    <definedName name="__INP17">#REF!</definedName>
    <definedName name="__INP18">#REF!</definedName>
    <definedName name="__INP19">#REF!</definedName>
    <definedName name="__INP2">#REF!</definedName>
    <definedName name="__INP20">#REF!</definedName>
    <definedName name="__INP21">#REF!</definedName>
    <definedName name="__INP22">#REF!</definedName>
    <definedName name="__INP23">#REF!</definedName>
    <definedName name="__INP24">#REF!</definedName>
    <definedName name="__INP25">#REF!</definedName>
    <definedName name="__INP26">#REF!</definedName>
    <definedName name="__INP27">#REF!</definedName>
    <definedName name="__INP28">#REF!</definedName>
    <definedName name="__INP29">#REF!</definedName>
    <definedName name="__INP3">#REF!</definedName>
    <definedName name="__INP30">#REF!</definedName>
    <definedName name="__INP31">#REF!</definedName>
    <definedName name="__INP32">#REF!</definedName>
    <definedName name="__INP33">#REF!</definedName>
    <definedName name="__INP37">#REF!</definedName>
    <definedName name="__INP38">#REF!</definedName>
    <definedName name="__INP39">#REF!</definedName>
    <definedName name="__INP4">#REF!</definedName>
    <definedName name="__INP40">#REF!</definedName>
    <definedName name="__INP41">#REF!</definedName>
    <definedName name="__INP42">#REF!</definedName>
    <definedName name="__INP43">#REF!</definedName>
    <definedName name="__INP44">#REF!</definedName>
    <definedName name="__INP45">#REF!</definedName>
    <definedName name="__INP46">#REF!</definedName>
    <definedName name="__INP47">#REF!</definedName>
    <definedName name="__INP48">#REF!</definedName>
    <definedName name="__INP49">#REF!</definedName>
    <definedName name="__INP5">#REF!</definedName>
    <definedName name="__INP50">#REF!</definedName>
    <definedName name="__INP51">#REF!</definedName>
    <definedName name="__INP52">#REF!</definedName>
    <definedName name="__INP53">#REF!</definedName>
    <definedName name="__INP54">#REF!</definedName>
    <definedName name="__INP55">#REF!</definedName>
    <definedName name="__INP56">#REF!</definedName>
    <definedName name="__INP57">#REF!</definedName>
    <definedName name="__INP58">#REF!</definedName>
    <definedName name="__INP59">#REF!</definedName>
    <definedName name="__INP6">#REF!</definedName>
    <definedName name="__INP60">#REF!</definedName>
    <definedName name="__INP61">#REF!</definedName>
    <definedName name="__INP62">#REF!</definedName>
    <definedName name="__INP63">#REF!</definedName>
    <definedName name="__INP64">#REF!</definedName>
    <definedName name="__INP65">#REF!</definedName>
    <definedName name="__INP66">#REF!</definedName>
    <definedName name="__INP67">#REF!</definedName>
    <definedName name="__INP68">#REF!</definedName>
    <definedName name="__INP69">#REF!</definedName>
    <definedName name="__INP7">#REF!</definedName>
    <definedName name="__INP70">#REF!</definedName>
    <definedName name="__INP71">#REF!</definedName>
    <definedName name="__INP72">#REF!</definedName>
    <definedName name="__INP73">#REF!</definedName>
    <definedName name="__INP74">#REF!</definedName>
    <definedName name="__INP75">#REF!</definedName>
    <definedName name="__INP76">#REF!</definedName>
    <definedName name="__INP77">#REF!</definedName>
    <definedName name="__INP78">#REF!</definedName>
    <definedName name="__INP79">#REF!</definedName>
    <definedName name="__INP8">#REF!</definedName>
    <definedName name="__INP80">#REF!</definedName>
    <definedName name="__INP81">#REF!</definedName>
    <definedName name="__INP82">#REF!</definedName>
    <definedName name="__INP9">#REF!</definedName>
    <definedName name="__IV65900">#REF!</definedName>
    <definedName name="__IV66000">#REF!</definedName>
    <definedName name="__IV69000">#REF!</definedName>
    <definedName name="__IV70000">#REF!</definedName>
    <definedName name="__JA1">#REF!</definedName>
    <definedName name="__KA1">#REF!</definedName>
    <definedName name="__LA1">#REF!</definedName>
    <definedName name="__Ldg1">#REF!</definedName>
    <definedName name="__Ldg10">#REF!</definedName>
    <definedName name="__Ldg11">#REF!</definedName>
    <definedName name="__Ldg12">#REF!</definedName>
    <definedName name="__Ldg2">#REF!</definedName>
    <definedName name="__Ldg3">#REF!</definedName>
    <definedName name="__Ldg4">#REF!</definedName>
    <definedName name="__Ldg5">#REF!</definedName>
    <definedName name="__Ldg6">#REF!</definedName>
    <definedName name="__Ldg7">#REF!</definedName>
    <definedName name="__Ldg8">#REF!</definedName>
    <definedName name="__Ldg9">#REF!</definedName>
    <definedName name="__LF_ffffffde__ffffffe6_ki_LFdr1_iNdEx_646">#REF!</definedName>
    <definedName name="__LF_ffffffde_u_fffffffe_a_LFdr1_iNdEx_645">#REF!</definedName>
    <definedName name="__LFA_fffffff0_dam_LFdr1_iNdEx_584">#REF!</definedName>
    <definedName name="__LFAstara_LFdr1_iNdEx_582">#REF!</definedName>
    <definedName name="__LFBak_fffffffd__LFdr1_iNdEx_588">#REF!</definedName>
    <definedName name="__LFBalak_ffffffe6_n_LFdr1_iNdEx_589">#REF!</definedName>
    <definedName name="__LFC_ffffffe6_bray_fffffffd_l_LFdr1_iNdEx_593">#REF!</definedName>
    <definedName name="__LFC_ffffffe6_lilabad_LFdr1_iNdEx_594">#REF!</definedName>
    <definedName name="__LFD_ffffffe6_v_ffffffe6__ffffffe7_i_LFdr1_iNdEx_597">#REF!</definedName>
    <definedName name="__LFF_fffffffc_zuli_LFdr1_iNdEx_598">#REF!</definedName>
    <definedName name="__LFK_ffffffe6_lb_ffffffe6_c_ffffffe6_r_LFdr1_iNdEx_604">#REF!</definedName>
    <definedName name="__LFL_ffffffe6_nk_ffffffe6_ran_LFdr1_iNdEx_608">#REF!</definedName>
    <definedName name="__LFLa_ffffffe7__fffffffd_n_LFdr1_iNdEx_606">#REF!</definedName>
    <definedName name="__LFLerik_LFdr1_iNdEx_607">#REF!</definedName>
    <definedName name="__LFMasall_fffffffd__LFdr1_iNdEx_609">#REF!</definedName>
    <definedName name="__LFNax_ffffffe7__fffffffd_van_LFdr1_iNdEx_612">#REF!</definedName>
    <definedName name="__LFO_fffffff0_uz_LFdr1_iNdEx_614">#REF!</definedName>
    <definedName name="__LFQ_ffffffe6_b_ffffffe6_l_ffffffe6__LFdr1_iNdEx_621">#REF!</definedName>
    <definedName name="__LFQax_LFdr1_iNdEx_615">#REF!</definedName>
    <definedName name="__LFQuba_LFdr1_iNdEx_618">#REF!</definedName>
    <definedName name="__LFQubadl_fffffffd__LFdr1_iNdEx_619">#REF!</definedName>
    <definedName name="__LFQusar_LFdr1_iNdEx_620">#REF!</definedName>
    <definedName name="__LFSiy_ffffffe6_z_ffffffe6_n_LFdr1_iNdEx_626">#REF!</definedName>
    <definedName name="__LFT_ffffffe6_rt_ffffffe6_r_LFdr1_iNdEx_629">#REF!</definedName>
    <definedName name="__LFXa_ffffffe7_maz_LFdr1_iNdEx_632">#REF!</definedName>
    <definedName name="__LFXocal_fffffffd__LFdr1_iNdEx_633">#REF!</definedName>
    <definedName name="__LFXocav_ffffffe6_nd_LFdr1_iNdEx_634">#REF!</definedName>
    <definedName name="__LFYard_fffffffd_ml_fffffffd__LFdr1_iNdEx_636">#REF!</definedName>
    <definedName name="__LFZ_ffffffe6_ngilan_LFdr1_iNdEx_639">#REF!</definedName>
    <definedName name="__LFZaqatala_LFdr1_iNdEx_638">#REF!</definedName>
    <definedName name="__LHR01">#REF!</definedName>
    <definedName name="__LHR02">#REF!</definedName>
    <definedName name="__LHR03">#REF!</definedName>
    <definedName name="__LHR04">#REF!</definedName>
    <definedName name="__LHR05">#REF!</definedName>
    <definedName name="__LHR06">#REF!</definedName>
    <definedName name="__LHR07">#REF!</definedName>
    <definedName name="__LHR08">#REF!</definedName>
    <definedName name="__LHR09">#REF!</definedName>
    <definedName name="__LHR10">#REF!</definedName>
    <definedName name="__LHR11">#REF!</definedName>
    <definedName name="__LHR12">#REF!</definedName>
    <definedName name="__LHR13">#REF!</definedName>
    <definedName name="__LHR14">#REF!</definedName>
    <definedName name="__LHR15">#REF!</definedName>
    <definedName name="__LHR16">#REF!</definedName>
    <definedName name="__LHR17">#REF!</definedName>
    <definedName name="__LHR18">#REF!</definedName>
    <definedName name="__LHR19">#REF!</definedName>
    <definedName name="__LHR20">#REF!</definedName>
    <definedName name="__LHR21">#REF!</definedName>
    <definedName name="__LHR22">#REF!</definedName>
    <definedName name="__LHR23">#REF!</definedName>
    <definedName name="__LHR24">#REF!</definedName>
    <definedName name="__LHR25">#REF!</definedName>
    <definedName name="__LHR26">#REF!</definedName>
    <definedName name="__LHR27">#REF!</definedName>
    <definedName name="__LHR28">#REF!</definedName>
    <definedName name="__LHR29">#REF!</definedName>
    <definedName name="__LHR30">#REF!</definedName>
    <definedName name="__LHR31">#REF!</definedName>
    <definedName name="__LHR32">#REF!</definedName>
    <definedName name="__LHR33">#REF!</definedName>
    <definedName name="__LHR34">#REF!</definedName>
    <definedName name="__LIR01">#REF!</definedName>
    <definedName name="__LIR02">#REF!</definedName>
    <definedName name="__LIR03">#REF!</definedName>
    <definedName name="__LIR04">#REF!</definedName>
    <definedName name="__LIR05">#REF!</definedName>
    <definedName name="__LIR06">#REF!</definedName>
    <definedName name="__LIR07">#REF!</definedName>
    <definedName name="__LIR08">#REF!</definedName>
    <definedName name="__LIR09">#REF!</definedName>
    <definedName name="__LIR10">#REF!</definedName>
    <definedName name="__LIR11">#REF!</definedName>
    <definedName name="__LIR12">#REF!</definedName>
    <definedName name="__LIR13">#REF!</definedName>
    <definedName name="__LIR14">#REF!</definedName>
    <definedName name="__LIR15">#REF!</definedName>
    <definedName name="__LIR16">#REF!</definedName>
    <definedName name="__LIR17">#REF!</definedName>
    <definedName name="__LIR18">#REF!</definedName>
    <definedName name="__LIR19">#REF!</definedName>
    <definedName name="__LIR20">#REF!</definedName>
    <definedName name="__LIR21">#REF!</definedName>
    <definedName name="__LIR22">#REF!</definedName>
    <definedName name="__LIR23">#REF!</definedName>
    <definedName name="__LIR24">#REF!</definedName>
    <definedName name="__LIR25">#REF!</definedName>
    <definedName name="__LIR26">#REF!</definedName>
    <definedName name="__LIR27">#REF!</definedName>
    <definedName name="__LIR28">#REF!</definedName>
    <definedName name="__LIR29">#REF!</definedName>
    <definedName name="__LIR30">#REF!</definedName>
    <definedName name="__LIR31">#REF!</definedName>
    <definedName name="__LIR32">#REF!</definedName>
    <definedName name="__LIR33">#REF!</definedName>
    <definedName name="__lp280202">#REF!</definedName>
    <definedName name="__LTR01">#REF!</definedName>
    <definedName name="__LTR02">#REF!</definedName>
    <definedName name="__LTR03">#REF!</definedName>
    <definedName name="__LTR04">#REF!</definedName>
    <definedName name="__LTR05">#REF!</definedName>
    <definedName name="__LTR06">#REF!</definedName>
    <definedName name="__LTR07">#REF!</definedName>
    <definedName name="__LTR08">#REF!</definedName>
    <definedName name="__LTR09">#REF!</definedName>
    <definedName name="__LTR10">#REF!</definedName>
    <definedName name="__LTR11">#REF!</definedName>
    <definedName name="__LTR12">#REF!</definedName>
    <definedName name="__LTR13">#REF!</definedName>
    <definedName name="__LTR14">#REF!</definedName>
    <definedName name="__LTR15">#REF!</definedName>
    <definedName name="__LTR16">#REF!</definedName>
    <definedName name="__LTR17">#REF!</definedName>
    <definedName name="__LTR18">#REF!</definedName>
    <definedName name="__LTR19">#REF!</definedName>
    <definedName name="__LTR20">#REF!</definedName>
    <definedName name="__LTR21">#REF!</definedName>
    <definedName name="__LTR22">#REF!</definedName>
    <definedName name="__LTR23">#REF!</definedName>
    <definedName name="__LTR24">#REF!</definedName>
    <definedName name="__LTR25">#REF!</definedName>
    <definedName name="__LTR26">#REF!</definedName>
    <definedName name="__LTR27">#REF!</definedName>
    <definedName name="__MAIN__">#REF!</definedName>
    <definedName name="__Max2">#REF!</definedName>
    <definedName name="__MIF1">#REF!</definedName>
    <definedName name="__MIF2">#REF!</definedName>
    <definedName name="__MIF3">#REF!</definedName>
    <definedName name="__MO33">#REF!</definedName>
    <definedName name="__MO34">#REF!</definedName>
    <definedName name="__MO35">#REF!</definedName>
    <definedName name="__MO36">#REF!</definedName>
    <definedName name="__MO37">#REF!</definedName>
    <definedName name="__MO38">#REF!</definedName>
    <definedName name="__MO39">#REF!</definedName>
    <definedName name="__MO40">#REF!</definedName>
    <definedName name="__MO41">#REF!</definedName>
    <definedName name="__MO42">#REF!</definedName>
    <definedName name="__MO43">#REF!</definedName>
    <definedName name="__MO44">#REF!</definedName>
    <definedName name="__MO45">#REF!</definedName>
    <definedName name="__MO46">#REF!</definedName>
    <definedName name="__MO47">#REF!</definedName>
    <definedName name="__MO48">#REF!</definedName>
    <definedName name="__MO49">#REF!</definedName>
    <definedName name="__MO50">#REF!</definedName>
    <definedName name="__MO51">#REF!</definedName>
    <definedName name="__MO52">#REF!</definedName>
    <definedName name="__MO53">#REF!</definedName>
    <definedName name="__MO54">#REF!</definedName>
    <definedName name="__MO55">#REF!</definedName>
    <definedName name="__MO56">#REF!</definedName>
    <definedName name="__MO57">#REF!</definedName>
    <definedName name="__MO58">#REF!</definedName>
    <definedName name="__MO59">#REF!</definedName>
    <definedName name="__MO60">#REF!</definedName>
    <definedName name="__MO61">#REF!</definedName>
    <definedName name="__MO62">#REF!</definedName>
    <definedName name="__MO63">#REF!</definedName>
    <definedName name="__MO64">#REF!</definedName>
    <definedName name="__MO65">#REF!</definedName>
    <definedName name="__MO66">#REF!</definedName>
    <definedName name="__MO67">#REF!</definedName>
    <definedName name="__MO68">#REF!</definedName>
    <definedName name="__MO69">#REF!</definedName>
    <definedName name="__MO70">#REF!</definedName>
    <definedName name="__MO71">#REF!</definedName>
    <definedName name="__MO72">#REF!</definedName>
    <definedName name="__MO73">#REF!</definedName>
    <definedName name="__MO74">#REF!</definedName>
    <definedName name="__MO75">#REF!</definedName>
    <definedName name="__MO76">#REF!</definedName>
    <definedName name="__MO77">#REF!</definedName>
    <definedName name="__MO78">#REF!</definedName>
    <definedName name="__MO79">#REF!</definedName>
    <definedName name="__MO80">#REF!</definedName>
    <definedName name="__MO81">#REF!</definedName>
    <definedName name="__MO82">#REF!</definedName>
    <definedName name="__NBS1">#REF!</definedName>
    <definedName name="__NBS10">#REF!</definedName>
    <definedName name="__NBS11">#REF!</definedName>
    <definedName name="__NBS12">#REF!</definedName>
    <definedName name="__NBS13">#REF!</definedName>
    <definedName name="__NBS14">#REF!</definedName>
    <definedName name="__NBS15">#REF!</definedName>
    <definedName name="__NBS16">#REF!</definedName>
    <definedName name="__NBS17">#REF!</definedName>
    <definedName name="__NBS18">#REF!</definedName>
    <definedName name="__NBS19">#REF!</definedName>
    <definedName name="__NBS2">#REF!</definedName>
    <definedName name="__NBS20">#REF!</definedName>
    <definedName name="__NBS21">#REF!</definedName>
    <definedName name="__NBS22">#REF!</definedName>
    <definedName name="__NBS23">#REF!</definedName>
    <definedName name="__NBS24">#REF!</definedName>
    <definedName name="__NBS25">#REF!</definedName>
    <definedName name="__NBS26">#REF!</definedName>
    <definedName name="__NBS3">#REF!</definedName>
    <definedName name="__NBS4">#REF!</definedName>
    <definedName name="__NBS5">#REF!</definedName>
    <definedName name="__NBS6">#REF!</definedName>
    <definedName name="__NBS7">#REF!</definedName>
    <definedName name="__NBS8">#REF!</definedName>
    <definedName name="__NBS9">#REF!</definedName>
    <definedName name="__NCF1">#REF!</definedName>
    <definedName name="__NCF10">#REF!</definedName>
    <definedName name="__NCF11">#REF!</definedName>
    <definedName name="__NCF12">#REF!</definedName>
    <definedName name="__NCF13">#REF!</definedName>
    <definedName name="__NCF14">#REF!</definedName>
    <definedName name="__NCF15">#REF!</definedName>
    <definedName name="__NCF16">#REF!</definedName>
    <definedName name="__NCF2">#REF!</definedName>
    <definedName name="__NCF3">#REF!</definedName>
    <definedName name="__NCF4">#REF!</definedName>
    <definedName name="__NCF5">#REF!</definedName>
    <definedName name="__NCF6">#REF!</definedName>
    <definedName name="__NCF7">#REF!</definedName>
    <definedName name="__NCF8">#REF!</definedName>
    <definedName name="__NCF9">#REF!</definedName>
    <definedName name="__NIS1">#REF!</definedName>
    <definedName name="__NIS10">#REF!</definedName>
    <definedName name="__NIS11">#REF!</definedName>
    <definedName name="__NIS12">#REF!</definedName>
    <definedName name="__NIS2">#REF!</definedName>
    <definedName name="__NIS3">#REF!</definedName>
    <definedName name="__NIS4">#REF!</definedName>
    <definedName name="__NIS5">#REF!</definedName>
    <definedName name="__NIS6">#REF!</definedName>
    <definedName name="__NIS7">#REF!</definedName>
    <definedName name="__NIS8">#REF!</definedName>
    <definedName name="__NIS9">#REF!</definedName>
    <definedName name="__old1">#REF!</definedName>
    <definedName name="__old2">#REF!</definedName>
    <definedName name="__Per1">#REF!</definedName>
    <definedName name="__Per10">#REF!</definedName>
    <definedName name="__Per11">#REF!</definedName>
    <definedName name="__Per12">#REF!</definedName>
    <definedName name="__Per2">#REF!</definedName>
    <definedName name="__Per3">#REF!</definedName>
    <definedName name="__Per4">#REF!</definedName>
    <definedName name="__Per5">#REF!</definedName>
    <definedName name="__Per6">#REF!</definedName>
    <definedName name="__Per7">#REF!</definedName>
    <definedName name="__Per8">#REF!</definedName>
    <definedName name="__Per9">#REF!</definedName>
    <definedName name="__qry_RF__">#REF!</definedName>
    <definedName name="__RA1">#REF!</definedName>
    <definedName name="__ref1">#REF!</definedName>
    <definedName name="__ref2">#REF!</definedName>
    <definedName name="__RSE2">#REF!</definedName>
    <definedName name="__s3">#REF!</definedName>
    <definedName name="__SBS1">#REF!</definedName>
    <definedName name="__SBS10">#REF!</definedName>
    <definedName name="__SBS11">#REF!</definedName>
    <definedName name="__SBS12">#REF!</definedName>
    <definedName name="__SBS13">#REF!</definedName>
    <definedName name="__SBS14">#REF!</definedName>
    <definedName name="__SBS15">#REF!</definedName>
    <definedName name="__SBS16">#REF!</definedName>
    <definedName name="__SBS17">#REF!</definedName>
    <definedName name="__SBS18">#REF!</definedName>
    <definedName name="__SBS19">#REF!</definedName>
    <definedName name="__SBS2">#REF!</definedName>
    <definedName name="__SBS20">#REF!</definedName>
    <definedName name="__SBS21">#REF!</definedName>
    <definedName name="__SBS22">#REF!</definedName>
    <definedName name="__SBS23">#REF!</definedName>
    <definedName name="__SBS24">#REF!</definedName>
    <definedName name="__SBS25">#REF!</definedName>
    <definedName name="__SBS26">#REF!</definedName>
    <definedName name="__SBS3">#REF!</definedName>
    <definedName name="__SBS4">#REF!</definedName>
    <definedName name="__SBS5">#REF!</definedName>
    <definedName name="__SBS6">#REF!</definedName>
    <definedName name="__SBS7">#REF!</definedName>
    <definedName name="__SBS8">#REF!</definedName>
    <definedName name="__SBS9">#REF!</definedName>
    <definedName name="__SCF1">#REF!</definedName>
    <definedName name="__SCF10">#REF!</definedName>
    <definedName name="__SCF11">#REF!</definedName>
    <definedName name="__SCF12">#REF!</definedName>
    <definedName name="__SCF13">#REF!</definedName>
    <definedName name="__SCF14">#REF!</definedName>
    <definedName name="__SCF15">#REF!</definedName>
    <definedName name="__SCF16">#REF!</definedName>
    <definedName name="__SCF2">#REF!</definedName>
    <definedName name="__SCF3">#REF!</definedName>
    <definedName name="__SCF4">#REF!</definedName>
    <definedName name="__SCF5">#REF!</definedName>
    <definedName name="__SCF6">#REF!</definedName>
    <definedName name="__SCF7">#REF!</definedName>
    <definedName name="__SCF8">#REF!</definedName>
    <definedName name="__SCF9">#REF!</definedName>
    <definedName name="__sh1">#REF!</definedName>
    <definedName name="__SIS1">#REF!</definedName>
    <definedName name="__SIS10">#REF!</definedName>
    <definedName name="__SIS11">#REF!</definedName>
    <definedName name="__SIS12">#REF!</definedName>
    <definedName name="__SIS2">#REF!</definedName>
    <definedName name="__SIS3">#REF!</definedName>
    <definedName name="__SIS4">#REF!</definedName>
    <definedName name="__SIS5">#REF!</definedName>
    <definedName name="__SIS6">#REF!</definedName>
    <definedName name="__SIS7">#REF!</definedName>
    <definedName name="__SIS8">#REF!</definedName>
    <definedName name="__SIS9">#REF!</definedName>
    <definedName name="__SP1">#REF!</definedName>
    <definedName name="__SP10">#REF!</definedName>
    <definedName name="__SP11">#REF!</definedName>
    <definedName name="__SP12">#REF!</definedName>
    <definedName name="__SP13">#REF!</definedName>
    <definedName name="__SP14">#REF!</definedName>
    <definedName name="__SP15">#REF!</definedName>
    <definedName name="__SP16">#REF!</definedName>
    <definedName name="__SP17">#REF!</definedName>
    <definedName name="__SP18">#REF!</definedName>
    <definedName name="__SP19">#REF!</definedName>
    <definedName name="__SP2">#REF!</definedName>
    <definedName name="__SP20">#REF!</definedName>
    <definedName name="__SP3">#REF!</definedName>
    <definedName name="__SP4">#REF!</definedName>
    <definedName name="__SP5">#REF!</definedName>
    <definedName name="__SP7">#REF!</definedName>
    <definedName name="__SP8">#REF!</definedName>
    <definedName name="__SP9">#REF!</definedName>
    <definedName name="__spReport__">#REF!</definedName>
    <definedName name="__spReport3__">#REF!</definedName>
    <definedName name="__sul1">#REF!</definedName>
    <definedName name="__US1">#REF!</definedName>
    <definedName name="__USD2003">#REF!</definedName>
    <definedName name="__USD2004">#REF!</definedName>
    <definedName name="__uyt">#REF!</definedName>
    <definedName name="__wes940">#REF!</definedName>
    <definedName name="_007Vegy_claim_BM">#REF!</definedName>
    <definedName name="_1">#REF!</definedName>
    <definedName name="_1_">#REF!</definedName>
    <definedName name="_1___123Graph_ACHART_4">#REF!</definedName>
    <definedName name="_1__123Graph_AChart_1A">#REF!</definedName>
    <definedName name="_1__123Graph_ACHART_3">#REF!</definedName>
    <definedName name="_1__123Graph_ACONTRAC._OIL">#REF!</definedName>
    <definedName name="_10">#REF!</definedName>
    <definedName name="_11">#REF!</definedName>
    <definedName name="_111">#REF!</definedName>
    <definedName name="_1111111">#REF!</definedName>
    <definedName name="_12">#REF!</definedName>
    <definedName name="_12__123Graph_BCHART_3">#REF!</definedName>
    <definedName name="_12233">#REF!</definedName>
    <definedName name="_123">#REF!</definedName>
    <definedName name="_1233">#REF!</definedName>
    <definedName name="_123Grahp_BCHART3">#REF!</definedName>
    <definedName name="_123Grahp_CCHART3">#REF!</definedName>
    <definedName name="_123Graph_ACART3">#REF!</definedName>
    <definedName name="_123Graph_ACHART13">#REF!</definedName>
    <definedName name="_123Graph_ACHART2">#REF!</definedName>
    <definedName name="_123Graph_ACHART3">#REF!</definedName>
    <definedName name="_123Graph_ACHART4">#REF!</definedName>
    <definedName name="_123Graph_Achart5">#REF!</definedName>
    <definedName name="_123Graph_ACHART6">#REF!</definedName>
    <definedName name="_123Graph_BCHART2">#REF!</definedName>
    <definedName name="_123Graph_BCHART3">#REF!</definedName>
    <definedName name="_123Graph_BCHART33">#REF!</definedName>
    <definedName name="_123Graph_bchart5">#REF!</definedName>
    <definedName name="_123Graph_BCHART6">#REF!</definedName>
    <definedName name="_123graph_bchart8">#REF!</definedName>
    <definedName name="_123Graph_CCHART">#REF!</definedName>
    <definedName name="_123Graph_CCHART2">#REF!</definedName>
    <definedName name="_123Graph_CCHART3">#REF!</definedName>
    <definedName name="_123Graph_CCHART33">#REF!</definedName>
    <definedName name="_123Graph_CCHART4">#REF!</definedName>
    <definedName name="_123Graph_CCHART6">#REF!</definedName>
    <definedName name="_123Graph_chart54">#REF!</definedName>
    <definedName name="_123Graph_DCHART4">#REF!</definedName>
    <definedName name="_124">#REF!</definedName>
    <definedName name="_13">#REF!</definedName>
    <definedName name="_14">#REF!</definedName>
    <definedName name="_15">#REF!</definedName>
    <definedName name="_15_MIF">#REF!</definedName>
    <definedName name="_16">#REF!</definedName>
    <definedName name="_18__123Graph_CCHART_3">#REF!</definedName>
    <definedName name="_1e">#REF!</definedName>
    <definedName name="_1s">#REF!</definedName>
    <definedName name="_2">#REF!</definedName>
    <definedName name="_2___123Graph_XCHART_3">#REF!</definedName>
    <definedName name="_2__123Graph_ACHART_3">#REF!</definedName>
    <definedName name="_2__123Graph_BChart_1A">#REF!</definedName>
    <definedName name="_2__123Graph_BCHART_3">#REF!</definedName>
    <definedName name="_2__123Graph_BCONTRAC._OIL">#REF!</definedName>
    <definedName name="_2131">#REF!</definedName>
    <definedName name="_22">#REF!</definedName>
    <definedName name="_23">#REF!</definedName>
    <definedName name="_234">#REF!</definedName>
    <definedName name="_2e">#REF!</definedName>
    <definedName name="_3">#REF!</definedName>
    <definedName name="_3___123Graph_XCHART_4">#REF!</definedName>
    <definedName name="_3__123Graph_CCHART_3">#REF!</definedName>
    <definedName name="_3__123Graph_CCONTRAC._OIL">#REF!</definedName>
    <definedName name="_3e">#REF!</definedName>
    <definedName name="_4__123Graph_ACHART_4">#REF!</definedName>
    <definedName name="_4__123Graph_BCHART_3">#REF!</definedName>
    <definedName name="_4__123Graph_DCONTRAC._OIL">#REF!</definedName>
    <definedName name="_4050_00">#REF!</definedName>
    <definedName name="_4050_01">#REF!</definedName>
    <definedName name="_4050_n">#REF!</definedName>
    <definedName name="_4052_00">#REF!</definedName>
    <definedName name="_4052_01">#REF!</definedName>
    <definedName name="_4052_n">#REF!</definedName>
    <definedName name="_4100_00">#REF!</definedName>
    <definedName name="_4100_01">#REF!</definedName>
    <definedName name="_4100_n">#REF!</definedName>
    <definedName name="_4101_00">#REF!</definedName>
    <definedName name="_4101_01">#REF!</definedName>
    <definedName name="_4101_n">#REF!</definedName>
    <definedName name="_4150_00">#REF!</definedName>
    <definedName name="_4150_01">#REF!</definedName>
    <definedName name="_4150_n">#REF!</definedName>
    <definedName name="_4151_00">#REF!</definedName>
    <definedName name="_4151_01">#REF!</definedName>
    <definedName name="_4151_0333">#REF!</definedName>
    <definedName name="_4151_n">#REF!</definedName>
    <definedName name="_4152_00">#REF!</definedName>
    <definedName name="_4152_01">#REF!</definedName>
    <definedName name="_4152_n">#REF!</definedName>
    <definedName name="_4155_00">#REF!</definedName>
    <definedName name="_4155_01">#REF!</definedName>
    <definedName name="_4155_n">#REF!</definedName>
    <definedName name="_4250_">#REF!</definedName>
    <definedName name="_4250_00">#REF!</definedName>
    <definedName name="_4250_01">#REF!</definedName>
    <definedName name="_4250_n">#REF!</definedName>
    <definedName name="_4252_00">#REF!</definedName>
    <definedName name="_4252_01">#REF!</definedName>
    <definedName name="_4252_n">#REF!</definedName>
    <definedName name="_4253_00">#REF!</definedName>
    <definedName name="_4253_01">#REF!</definedName>
    <definedName name="_4253_n">#REF!</definedName>
    <definedName name="_4300_n">#REF!</definedName>
    <definedName name="_4302_00">#REF!</definedName>
    <definedName name="_4302_01">#REF!</definedName>
    <definedName name="_4302_n">#REF!</definedName>
    <definedName name="_4400_n">#REF!</definedName>
    <definedName name="_4401_00">#REF!</definedName>
    <definedName name="_4401_01">#REF!</definedName>
    <definedName name="_4401_n">#REF!</definedName>
    <definedName name="_4405_00">#REF!</definedName>
    <definedName name="_4405_01">#REF!</definedName>
    <definedName name="_4405_n">#REF!</definedName>
    <definedName name="_4411_00">#REF!</definedName>
    <definedName name="_4411_01">#REF!</definedName>
    <definedName name="_4411_n">#REF!</definedName>
    <definedName name="_4414_00">#REF!</definedName>
    <definedName name="_4414_01">#REF!</definedName>
    <definedName name="_4414_n">#REF!</definedName>
    <definedName name="_4417_00">#REF!</definedName>
    <definedName name="_4417_01">#REF!</definedName>
    <definedName name="_4417_n">#REF!</definedName>
    <definedName name="_4420_00">#REF!</definedName>
    <definedName name="_4420_01">#REF!</definedName>
    <definedName name="_4420_n">#REF!</definedName>
    <definedName name="_4424_00">#REF!</definedName>
    <definedName name="_4424_01">#REF!</definedName>
    <definedName name="_4424_n">#REF!</definedName>
    <definedName name="_443333">#REF!</definedName>
    <definedName name="_4449_00">#REF!</definedName>
    <definedName name="_4449_01">#REF!</definedName>
    <definedName name="_4449_n">#REF!</definedName>
    <definedName name="_4450_00">#REF!</definedName>
    <definedName name="_4450_01">#REF!</definedName>
    <definedName name="_4450_n">#REF!</definedName>
    <definedName name="_4490_n">#REF!</definedName>
    <definedName name="_4491_00">#REF!</definedName>
    <definedName name="_4491_01">#REF!</definedName>
    <definedName name="_4491_n">#REF!</definedName>
    <definedName name="_4500_n">#REF!</definedName>
    <definedName name="_4510_00">#REF!</definedName>
    <definedName name="_4510_01">#REF!</definedName>
    <definedName name="_4510_l">#REF!</definedName>
    <definedName name="_4510_n">#REF!</definedName>
    <definedName name="_4530_00">#REF!</definedName>
    <definedName name="_4530_01">#REF!</definedName>
    <definedName name="_4530_02">#REF!</definedName>
    <definedName name="_4530_n">#REF!</definedName>
    <definedName name="_4600_n">#REF!</definedName>
    <definedName name="_4601_00">#REF!</definedName>
    <definedName name="_4601_01">#REF!</definedName>
    <definedName name="_4601_n">#REF!</definedName>
    <definedName name="_4603_00">#REF!</definedName>
    <definedName name="_4603_01">#REF!</definedName>
    <definedName name="_4603_n">#REF!</definedName>
    <definedName name="_4604_00">#REF!</definedName>
    <definedName name="_4604_01">#REF!</definedName>
    <definedName name="_4604_n">#REF!</definedName>
    <definedName name="_4606_00">#REF!</definedName>
    <definedName name="_4606_01">#REF!</definedName>
    <definedName name="_4606_n">#REF!</definedName>
    <definedName name="_4607_00">#REF!</definedName>
    <definedName name="_4607_01">#REF!</definedName>
    <definedName name="_4607_n">#REF!</definedName>
    <definedName name="_4608_00">#REF!</definedName>
    <definedName name="_4608_01">#REF!</definedName>
    <definedName name="_4608_n">#REF!</definedName>
    <definedName name="_4700_n">#REF!</definedName>
    <definedName name="_4703_00">#REF!</definedName>
    <definedName name="_4703_01">#REF!</definedName>
    <definedName name="_4703_02">#REF!</definedName>
    <definedName name="_4703_n">#REF!</definedName>
    <definedName name="_4706_00">#REF!</definedName>
    <definedName name="_4706_01">#REF!</definedName>
    <definedName name="_4706_n">#REF!</definedName>
    <definedName name="_4800_n">#REF!</definedName>
    <definedName name="_4801">#REF!</definedName>
    <definedName name="_4801_00">#REF!</definedName>
    <definedName name="_4801_01">#REF!</definedName>
    <definedName name="_4801_n">#REF!</definedName>
    <definedName name="_4802_00">#REF!</definedName>
    <definedName name="_4802_01">#REF!</definedName>
    <definedName name="_4802_n">#REF!</definedName>
    <definedName name="_4850_00">#REF!</definedName>
    <definedName name="_4850_01">#REF!</definedName>
    <definedName name="_4850_n">#REF!</definedName>
    <definedName name="_4852_00">#REF!</definedName>
    <definedName name="_4852_01">#REF!</definedName>
    <definedName name="_4852_n">#REF!</definedName>
    <definedName name="_4853_00">#REF!</definedName>
    <definedName name="_4853_01">#REF!</definedName>
    <definedName name="_4853_n">#REF!</definedName>
    <definedName name="_4900_00">#REF!</definedName>
    <definedName name="_4900_01">#REF!</definedName>
    <definedName name="_4900_n">#REF!</definedName>
    <definedName name="_4902_00">#REF!</definedName>
    <definedName name="_4920_00">#REF!</definedName>
    <definedName name="_4920_01">#REF!</definedName>
    <definedName name="_4920_n">#REF!</definedName>
    <definedName name="_4921_00">#REF!</definedName>
    <definedName name="_4921_01">#REF!</definedName>
    <definedName name="_4921_n">#REF!</definedName>
    <definedName name="_4922_00">#REF!</definedName>
    <definedName name="_4922_01">#REF!</definedName>
    <definedName name="_4922_n">#REF!</definedName>
    <definedName name="_4940_00">#REF!</definedName>
    <definedName name="_4940_01">#REF!</definedName>
    <definedName name="_4940_n">#REF!</definedName>
    <definedName name="_4942_00">#REF!</definedName>
    <definedName name="_4942_01">#REF!</definedName>
    <definedName name="_4942_n">#REF!</definedName>
    <definedName name="_4BY_YEAR">#REF!</definedName>
    <definedName name="_4e">#REF!</definedName>
    <definedName name="_5__123Graph_XCHART_3">#REF!</definedName>
    <definedName name="_5__123Graph_XCONTRAC._OIL">#REF!</definedName>
    <definedName name="_5000">#REF!</definedName>
    <definedName name="_5000_00">#REF!</definedName>
    <definedName name="_5000_01">#REF!</definedName>
    <definedName name="_5000_n">#REF!</definedName>
    <definedName name="_5023_00">#REF!</definedName>
    <definedName name="_5023_01">#REF!</definedName>
    <definedName name="_5023_n">#REF!</definedName>
    <definedName name="_5054_00">#REF!</definedName>
    <definedName name="_5054_01">#REF!</definedName>
    <definedName name="_5054_n">#REF!</definedName>
    <definedName name="_5113_00">#REF!</definedName>
    <definedName name="_5113_01">#REF!</definedName>
    <definedName name="_5113_n">#REF!</definedName>
    <definedName name="_5120_00">#REF!</definedName>
    <definedName name="_5120_01">#REF!</definedName>
    <definedName name="_5120_n">#REF!</definedName>
    <definedName name="_5120n">#REF!</definedName>
    <definedName name="_5123_00">#REF!</definedName>
    <definedName name="_5123_01">#REF!</definedName>
    <definedName name="_5123_n">#REF!</definedName>
    <definedName name="_5124_00">#REF!</definedName>
    <definedName name="_5124_01">#REF!</definedName>
    <definedName name="_5124_n">#REF!</definedName>
    <definedName name="_5200_00">#REF!</definedName>
    <definedName name="_5200_01">#REF!</definedName>
    <definedName name="_5200_n">#REF!</definedName>
    <definedName name="_5203_00">#REF!</definedName>
    <definedName name="_5203_01">#REF!</definedName>
    <definedName name="_5203_n">#REF!</definedName>
    <definedName name="_5211_00">#REF!</definedName>
    <definedName name="_5211_01">#REF!</definedName>
    <definedName name="_5211_n">#REF!</definedName>
    <definedName name="_5215_00">#REF!</definedName>
    <definedName name="_5215_01">#REF!</definedName>
    <definedName name="_5215_n">#REF!</definedName>
    <definedName name="_5217_00">#REF!</definedName>
    <definedName name="_5217_01">#REF!</definedName>
    <definedName name="_5217_n">#REF!</definedName>
    <definedName name="_5221_00">#REF!</definedName>
    <definedName name="_5221_01">#REF!</definedName>
    <definedName name="_5221_n">#REF!</definedName>
    <definedName name="_5223_00">#REF!</definedName>
    <definedName name="_5223_01">#REF!</definedName>
    <definedName name="_5223_n">#REF!</definedName>
    <definedName name="_5229_00">#REF!</definedName>
    <definedName name="_5229_01">#REF!</definedName>
    <definedName name="_5229_n">#REF!</definedName>
    <definedName name="_5302_00">#REF!</definedName>
    <definedName name="_5302_01">#REF!</definedName>
    <definedName name="_5302_n">#REF!</definedName>
    <definedName name="_5400_00">#REF!</definedName>
    <definedName name="_5400_01">#REF!</definedName>
    <definedName name="_5400_n">#REF!</definedName>
    <definedName name="_5402_00">#REF!</definedName>
    <definedName name="_5402_01">#REF!</definedName>
    <definedName name="_5402_n">#REF!</definedName>
    <definedName name="_5450_00">#REF!</definedName>
    <definedName name="_5450_01">#REF!</definedName>
    <definedName name="_5450_n">#REF!</definedName>
    <definedName name="_5451_00">#REF!</definedName>
    <definedName name="_5451_01">#REF!</definedName>
    <definedName name="_5451_n">#REF!</definedName>
    <definedName name="_5452_00">#REF!</definedName>
    <definedName name="_5452_01">#REF!</definedName>
    <definedName name="_5452_n">#REF!</definedName>
    <definedName name="_5455_00">#REF!</definedName>
    <definedName name="_5455_01">#REF!</definedName>
    <definedName name="_5455_n">#REF!</definedName>
    <definedName name="_5456_00">#REF!</definedName>
    <definedName name="_5456_01">#REF!</definedName>
    <definedName name="_5456_n">#REF!</definedName>
    <definedName name="_5458_00">#REF!</definedName>
    <definedName name="_5458_01">#REF!</definedName>
    <definedName name="_5458_n">#REF!</definedName>
    <definedName name="_5459_00">#REF!</definedName>
    <definedName name="_5459_01">#REF!</definedName>
    <definedName name="_5459_n">#REF!</definedName>
    <definedName name="_5500">#REF!</definedName>
    <definedName name="_5500_00">#REF!</definedName>
    <definedName name="_5500_01">#REF!</definedName>
    <definedName name="_5510_00">#REF!</definedName>
    <definedName name="_5510_01">#REF!</definedName>
    <definedName name="_5510_n">#REF!</definedName>
    <definedName name="_5530_00">#REF!</definedName>
    <definedName name="_5530_01">#REF!</definedName>
    <definedName name="_5530_n">#REF!</definedName>
    <definedName name="_5600">#REF!</definedName>
    <definedName name="_5600_00">#REF!</definedName>
    <definedName name="_5600_01">#REF!</definedName>
    <definedName name="_5600_n">#REF!</definedName>
    <definedName name="_5601_00">#REF!</definedName>
    <definedName name="_5601_01">#REF!</definedName>
    <definedName name="_5601_n">#REF!</definedName>
    <definedName name="_5602_00">#REF!</definedName>
    <definedName name="_5602_01">#REF!</definedName>
    <definedName name="_5602_n">#REF!</definedName>
    <definedName name="_5603_00">#REF!</definedName>
    <definedName name="_5603_01">#REF!</definedName>
    <definedName name="_5603_02">#REF!</definedName>
    <definedName name="_5603_n">#REF!</definedName>
    <definedName name="_5604_00">#REF!</definedName>
    <definedName name="_5604_01">#REF!</definedName>
    <definedName name="_5604_n">#REF!</definedName>
    <definedName name="_5607_00">#REF!</definedName>
    <definedName name="_5607_01">#REF!</definedName>
    <definedName name="_5607_n">#REF!</definedName>
    <definedName name="_5608_00">#REF!</definedName>
    <definedName name="_5608_01">#REF!</definedName>
    <definedName name="_5608_n">#REF!</definedName>
    <definedName name="_5700_00">#REF!</definedName>
    <definedName name="_5700_01">#REF!</definedName>
    <definedName name="_5700_n">#REF!</definedName>
    <definedName name="_5703_00">#REF!</definedName>
    <definedName name="_5703_01">#REF!</definedName>
    <definedName name="_5703_n">#REF!</definedName>
    <definedName name="_5706_00">#REF!</definedName>
    <definedName name="_5706_01">#REF!</definedName>
    <definedName name="_5706_n">#REF!</definedName>
    <definedName name="_5720_00">#REF!</definedName>
    <definedName name="_5720_01">#REF!</definedName>
    <definedName name="_5720_n">#REF!</definedName>
    <definedName name="_5721_00">#REF!</definedName>
    <definedName name="_5721_01">#REF!</definedName>
    <definedName name="_5721_n">#REF!</definedName>
    <definedName name="_5722_00">#REF!</definedName>
    <definedName name="_5722_01">#REF!</definedName>
    <definedName name="_5722_n">#REF!</definedName>
    <definedName name="_5723_00">#REF!</definedName>
    <definedName name="_5723_01">#REF!</definedName>
    <definedName name="_5723_n">#REF!</definedName>
    <definedName name="_5724_00">#REF!</definedName>
    <definedName name="_5724_01">#REF!</definedName>
    <definedName name="_5724_n">#REF!</definedName>
    <definedName name="_5725_00">#REF!</definedName>
    <definedName name="_5725_01">#REF!</definedName>
    <definedName name="_5725_n">#REF!</definedName>
    <definedName name="_5726_00">#REF!</definedName>
    <definedName name="_5726_01">#REF!</definedName>
    <definedName name="_5726_n">#REF!</definedName>
    <definedName name="_5727_00">#REF!</definedName>
    <definedName name="_5727_01">#REF!</definedName>
    <definedName name="_5727_n">#REF!</definedName>
    <definedName name="_5728_00">#REF!</definedName>
    <definedName name="_5728_01">#REF!</definedName>
    <definedName name="_5728_n">#REF!</definedName>
    <definedName name="_5729_00">#REF!</definedName>
    <definedName name="_5729_01">#REF!</definedName>
    <definedName name="_5729_n">#REF!</definedName>
    <definedName name="_5740_00">#REF!</definedName>
    <definedName name="_5740_01">#REF!</definedName>
    <definedName name="_5740_n">#REF!</definedName>
    <definedName name="_5741_00">#REF!</definedName>
    <definedName name="_5741_01">#REF!</definedName>
    <definedName name="_5741_n">#REF!</definedName>
    <definedName name="_5742_00">#REF!</definedName>
    <definedName name="_5742_01">#REF!</definedName>
    <definedName name="_5742_n">#REF!</definedName>
    <definedName name="_5743_00">#REF!</definedName>
    <definedName name="_5743_01">#REF!</definedName>
    <definedName name="_5743_n">#REF!</definedName>
    <definedName name="_5744_00">#REF!</definedName>
    <definedName name="_5744_01">#REF!</definedName>
    <definedName name="_5744_n">#REF!</definedName>
    <definedName name="_5745_00">#REF!</definedName>
    <definedName name="_5745_01">#REF!</definedName>
    <definedName name="_5745_n">#REF!</definedName>
    <definedName name="_5746_00">#REF!</definedName>
    <definedName name="_5746_01">#REF!</definedName>
    <definedName name="_5746_n">#REF!</definedName>
    <definedName name="_5747_00">#REF!</definedName>
    <definedName name="_5747_01">#REF!</definedName>
    <definedName name="_5747_n">#REF!</definedName>
    <definedName name="_5748_00">#REF!</definedName>
    <definedName name="_5748_01">#REF!</definedName>
    <definedName name="_5748_n">#REF!</definedName>
    <definedName name="_5760_00">#REF!</definedName>
    <definedName name="_5760_01">#REF!</definedName>
    <definedName name="_5760_n">#REF!</definedName>
    <definedName name="_5761_00">#REF!</definedName>
    <definedName name="_5761_01">#REF!</definedName>
    <definedName name="_5761_n">#REF!</definedName>
    <definedName name="_5762_00">#REF!</definedName>
    <definedName name="_5762_01">#REF!</definedName>
    <definedName name="_5762_n">#REF!</definedName>
    <definedName name="_5763_00">#REF!</definedName>
    <definedName name="_5763_01">#REF!</definedName>
    <definedName name="_5763_n">#REF!</definedName>
    <definedName name="_5764_00">#REF!</definedName>
    <definedName name="_5764_01">#REF!</definedName>
    <definedName name="_5764_n">#REF!</definedName>
    <definedName name="_5765_00">#REF!</definedName>
    <definedName name="_5765_01">#REF!</definedName>
    <definedName name="_5765_n">#REF!</definedName>
    <definedName name="_5766_00">#REF!</definedName>
    <definedName name="_5766_01">#REF!</definedName>
    <definedName name="_5766_n">#REF!</definedName>
    <definedName name="_5767_00">#REF!</definedName>
    <definedName name="_5767_01">#REF!</definedName>
    <definedName name="_5767_n">#REF!</definedName>
    <definedName name="_5768_00">#REF!</definedName>
    <definedName name="_5768_01">#REF!</definedName>
    <definedName name="_5768_n">#REF!</definedName>
    <definedName name="_5769_00">#REF!</definedName>
    <definedName name="_5769_01">#REF!</definedName>
    <definedName name="_5769_n">#REF!</definedName>
    <definedName name="_5780_00">#REF!</definedName>
    <definedName name="_5780_01">#REF!</definedName>
    <definedName name="_5780_n">#REF!</definedName>
    <definedName name="_5781_00">#REF!</definedName>
    <definedName name="_5781_01">#REF!</definedName>
    <definedName name="_5781_n">#REF!</definedName>
    <definedName name="_5782_00">#REF!</definedName>
    <definedName name="_5782_01">#REF!</definedName>
    <definedName name="_5782_n">#REF!</definedName>
    <definedName name="_5783_00">#REF!</definedName>
    <definedName name="_5783_01">#REF!</definedName>
    <definedName name="_5783_n">#REF!</definedName>
    <definedName name="_5787_00">#REF!</definedName>
    <definedName name="_5787_01">#REF!</definedName>
    <definedName name="_5787_n">#REF!</definedName>
    <definedName name="_5788_00">#REF!</definedName>
    <definedName name="_5788_01">#REF!</definedName>
    <definedName name="_5788_n">#REF!</definedName>
    <definedName name="_5800_00">#REF!</definedName>
    <definedName name="_5800_01">#REF!</definedName>
    <definedName name="_5800_n">#REF!</definedName>
    <definedName name="_5801_00">#REF!</definedName>
    <definedName name="_5801_01">#REF!</definedName>
    <definedName name="_5801_n">#REF!</definedName>
    <definedName name="_5802_00">#REF!</definedName>
    <definedName name="_5802_01">#REF!</definedName>
    <definedName name="_5802_n">#REF!</definedName>
    <definedName name="_5850_00">#REF!</definedName>
    <definedName name="_5850_01">#REF!</definedName>
    <definedName name="_5850_n">#REF!</definedName>
    <definedName name="_5852_00">#REF!</definedName>
    <definedName name="_5852_01">#REF!</definedName>
    <definedName name="_5852_n">#REF!</definedName>
    <definedName name="_5900_00">#REF!</definedName>
    <definedName name="_5900_01">#REF!</definedName>
    <definedName name="_5900_n">#REF!</definedName>
    <definedName name="_5920_00">#REF!</definedName>
    <definedName name="_5920_01">#REF!</definedName>
    <definedName name="_5920_n">#REF!</definedName>
    <definedName name="_5921_00">#REF!</definedName>
    <definedName name="_5921_01">#REF!</definedName>
    <definedName name="_5921_n">#REF!</definedName>
    <definedName name="_5922_00">#REF!</definedName>
    <definedName name="_5922_01">#REF!</definedName>
    <definedName name="_5922_n">#REF!</definedName>
    <definedName name="_5940_00">#REF!</definedName>
    <definedName name="_5940_01">#REF!</definedName>
    <definedName name="_5940_n">#REF!</definedName>
    <definedName name="_5942_00">#REF!</definedName>
    <definedName name="_5942_01">#REF!</definedName>
    <definedName name="_5942_n">#REF!</definedName>
    <definedName name="_5999_00">#REF!</definedName>
    <definedName name="_5999_01">#REF!</definedName>
    <definedName name="_5999_n">#REF!</definedName>
    <definedName name="_5e">#REF!</definedName>
    <definedName name="_6">#REF!</definedName>
    <definedName name="_6__123Graph_ACHART_3">#REF!</definedName>
    <definedName name="_6__123Graph_CCHART_3">#REF!</definedName>
    <definedName name="_6__123Graph_XCHART_4">#REF!</definedName>
    <definedName name="_65656r5534535">#REF!</definedName>
    <definedName name="_6e">#REF!</definedName>
    <definedName name="_7">#REF!</definedName>
    <definedName name="_7e">#REF!</definedName>
    <definedName name="_8">#REF!</definedName>
    <definedName name="_83_поставка">#REF!</definedName>
    <definedName name="_84_поставка">#REF!</definedName>
    <definedName name="_85_поставка">#REF!</definedName>
    <definedName name="_86_поставка">#REF!</definedName>
    <definedName name="_87_поставка">#REF!</definedName>
    <definedName name="_88_поставка">#REF!</definedName>
    <definedName name="_89_поставка">#REF!</definedName>
    <definedName name="_8e">#REF!</definedName>
    <definedName name="_9">#REF!</definedName>
    <definedName name="_90_поставка">#REF!</definedName>
    <definedName name="_91_поставка">#REF!</definedName>
    <definedName name="_92_поставка">#REF!</definedName>
    <definedName name="_98">#REF!</definedName>
    <definedName name="_9858_01">#REF!</definedName>
    <definedName name="_a">#REF!</definedName>
    <definedName name="_a_">#REF!</definedName>
    <definedName name="_A_1">#REF!</definedName>
    <definedName name="_a1">#REF!</definedName>
    <definedName name="_a100">#REF!</definedName>
    <definedName name="_a11">#REF!</definedName>
    <definedName name="_a12">#REF!</definedName>
    <definedName name="_a176">#REF!</definedName>
    <definedName name="_a2">#REF!</definedName>
    <definedName name="_A70000">#REF!</definedName>
    <definedName name="_A80000">#REF!</definedName>
    <definedName name="_abc1">#REF!</definedName>
    <definedName name="_abc3">#REF!</definedName>
    <definedName name="_abc4">#REF!</definedName>
    <definedName name="_abc5">#REF!</definedName>
    <definedName name="_ActualSales">#REF!</definedName>
    <definedName name="_ARR17">#REF!</definedName>
    <definedName name="_ARR18">#REF!</definedName>
    <definedName name="_ARR19">#REF!</definedName>
    <definedName name="_ARR2">#REF!</definedName>
    <definedName name="_ARR21">#REF!</definedName>
    <definedName name="_ARR22">#REF!</definedName>
    <definedName name="_ARR23">#REF!</definedName>
    <definedName name="_ARR36">#REF!</definedName>
    <definedName name="_ARR39">#REF!</definedName>
    <definedName name="_ARR4">#REF!</definedName>
    <definedName name="_ARR40">#REF!</definedName>
    <definedName name="_ARR42">#REF!</definedName>
    <definedName name="_ARR43">#REF!</definedName>
    <definedName name="_ARR44">#REF!</definedName>
    <definedName name="_ARR5">#REF!</definedName>
    <definedName name="_aud6">#REF!</definedName>
    <definedName name="_b">#REF!</definedName>
    <definedName name="_b_">#REF!</definedName>
    <definedName name="_b2_iNdEx_2">#REF!</definedName>
    <definedName name="_B270000">#REF!</definedName>
    <definedName name="_B650000">#REF!</definedName>
    <definedName name="_B94143">#REF!</definedName>
    <definedName name="_B94144">#REF!</definedName>
    <definedName name="_c1_iNdEx_3">#REF!</definedName>
    <definedName name="_c2_iNdEx_4">#REF!</definedName>
    <definedName name="_c3_iNdEx_5">#REF!</definedName>
    <definedName name="_c4_iNdEx_6">#REF!</definedName>
    <definedName name="_c5_iNdEx_7">#REF!</definedName>
    <definedName name="_c6_iNdEx_8">#REF!</definedName>
    <definedName name="_c7_iNdEx_9">#REF!</definedName>
    <definedName name="_c8_iNdEx_10">#REF!</definedName>
    <definedName name="_cod1">#REF!</definedName>
    <definedName name="_companies_list">#REF!</definedName>
    <definedName name="_cur2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dc">#REF!</definedName>
    <definedName name="_DQT1">#REF!</definedName>
    <definedName name="_DQT2">#REF!</definedName>
    <definedName name="_DQT3">#REF!</definedName>
    <definedName name="_DQT4">#REF!</definedName>
    <definedName name="_DQT5">#REF!</definedName>
    <definedName name="_DQT6">#REF!</definedName>
    <definedName name="_DQT7">#REF!</definedName>
    <definedName name="_DQT8">#REF!</definedName>
    <definedName name="_END1">#REF!</definedName>
    <definedName name="_END2">#REF!</definedName>
    <definedName name="_END4">#REF!</definedName>
    <definedName name="_END6">#REF!</definedName>
    <definedName name="_END7">#REF!</definedName>
    <definedName name="_eur6">#REF!</definedName>
    <definedName name="_f2">#REF!</definedName>
    <definedName name="_fdf1">#REF!</definedName>
    <definedName name="_Fill">#REF!</definedName>
    <definedName name="_filterDatabaseActual">#REF!</definedName>
    <definedName name="_FOB1">#REF!</definedName>
    <definedName name="_FOB2">#REF!</definedName>
    <definedName name="_FOB3">#REF!</definedName>
    <definedName name="_FOB4">#REF!</definedName>
    <definedName name="_FOB5">#REF!</definedName>
    <definedName name="_FOB6">#REF!</definedName>
    <definedName name="_FOB7">#REF!</definedName>
    <definedName name="_FOB8">#REF!</definedName>
    <definedName name="_h">#REF!</definedName>
    <definedName name="_h1_iNdEx_11">#REF!</definedName>
    <definedName name="_h10_iNdEx_38">#REF!</definedName>
    <definedName name="_h11_iNdEx_39">#REF!</definedName>
    <definedName name="_h12_iNdEx_40">#REF!</definedName>
    <definedName name="_h13_iNdEx_42">#REF!</definedName>
    <definedName name="_h14_iNdEx_47">#REF!</definedName>
    <definedName name="_h15_iNdEx_55">#REF!</definedName>
    <definedName name="_h2_iNdEx_12">#REF!</definedName>
    <definedName name="_h3_iNdEx_13">#REF!</definedName>
    <definedName name="_h4_iNdEx_14">#REF!</definedName>
    <definedName name="_h5_iNdEx_15">#REF!</definedName>
    <definedName name="_h6_iNdEx_17">#REF!</definedName>
    <definedName name="_h7_iNdEx_22">#REF!</definedName>
    <definedName name="_h8_iNdEx_28">#REF!</definedName>
    <definedName name="_h9_iNdEx_37">#REF!</definedName>
    <definedName name="_i1">#REF!</definedName>
    <definedName name="_i2">#REF!</definedName>
    <definedName name="_i3">#REF!</definedName>
    <definedName name="_i4">#REF!</definedName>
    <definedName name="_i5">#REF!</definedName>
    <definedName name="_i6">#REF!</definedName>
    <definedName name="_i7">#REF!</definedName>
    <definedName name="_i8">#REF!</definedName>
    <definedName name="_INP1">#REF!</definedName>
    <definedName name="_INP10">#REF!</definedName>
    <definedName name="_INP11">#REF!</definedName>
    <definedName name="_INP12">#REF!</definedName>
    <definedName name="_INP13">#REF!</definedName>
    <definedName name="_INP14">#REF!</definedName>
    <definedName name="_INP15">#REF!</definedName>
    <definedName name="_INP16">#REF!</definedName>
    <definedName name="_INP17">#REF!</definedName>
    <definedName name="_INP18">#REF!</definedName>
    <definedName name="_INP19">#REF!</definedName>
    <definedName name="_INP2">#REF!</definedName>
    <definedName name="_INP20">#REF!</definedName>
    <definedName name="_INP21">#REF!</definedName>
    <definedName name="_INP22">#REF!</definedName>
    <definedName name="_INP23">#REF!</definedName>
    <definedName name="_INP24">#REF!</definedName>
    <definedName name="_INP25">#REF!</definedName>
    <definedName name="_INP26">#REF!</definedName>
    <definedName name="_INP27">#REF!</definedName>
    <definedName name="_INP28">#REF!</definedName>
    <definedName name="_INP29">#REF!</definedName>
    <definedName name="_INP3">#REF!</definedName>
    <definedName name="_INP30">#REF!</definedName>
    <definedName name="_INP31">#REF!</definedName>
    <definedName name="_INP32">#REF!</definedName>
    <definedName name="_INP33">#REF!</definedName>
    <definedName name="_INP37">#REF!</definedName>
    <definedName name="_INP38">#REF!</definedName>
    <definedName name="_INP39">#REF!</definedName>
    <definedName name="_INP4">#REF!</definedName>
    <definedName name="_INP40">#REF!</definedName>
    <definedName name="_INP41">#REF!</definedName>
    <definedName name="_INP42">#REF!</definedName>
    <definedName name="_INP43">#REF!</definedName>
    <definedName name="_INP44">#REF!</definedName>
    <definedName name="_INP45">#REF!</definedName>
    <definedName name="_INP46">#REF!</definedName>
    <definedName name="_INP47">#REF!</definedName>
    <definedName name="_INP48">#REF!</definedName>
    <definedName name="_INP49">#REF!</definedName>
    <definedName name="_INP5">#REF!</definedName>
    <definedName name="_INP50">#REF!</definedName>
    <definedName name="_INP51">#REF!</definedName>
    <definedName name="_INP52">#REF!</definedName>
    <definedName name="_INP53">#REF!</definedName>
    <definedName name="_INP54">#REF!</definedName>
    <definedName name="_INP55">#REF!</definedName>
    <definedName name="_INP56">#REF!</definedName>
    <definedName name="_INP57">#REF!</definedName>
    <definedName name="_INP58">#REF!</definedName>
    <definedName name="_INP59">#REF!</definedName>
    <definedName name="_INP6">#REF!</definedName>
    <definedName name="_INP60">#REF!</definedName>
    <definedName name="_INP61">#REF!</definedName>
    <definedName name="_INP62">#REF!</definedName>
    <definedName name="_INP63">#REF!</definedName>
    <definedName name="_INP64">#REF!</definedName>
    <definedName name="_INP65">#REF!</definedName>
    <definedName name="_INP66">#REF!</definedName>
    <definedName name="_INP67">#REF!</definedName>
    <definedName name="_INP68">#REF!</definedName>
    <definedName name="_INP69">#REF!</definedName>
    <definedName name="_INP7">#REF!</definedName>
    <definedName name="_INP70">#REF!</definedName>
    <definedName name="_INP71">#REF!</definedName>
    <definedName name="_INP72">#REF!</definedName>
    <definedName name="_INP73">#REF!</definedName>
    <definedName name="_INP74">#REF!</definedName>
    <definedName name="_INP75">#REF!</definedName>
    <definedName name="_INP76">#REF!</definedName>
    <definedName name="_INP77">#REF!</definedName>
    <definedName name="_INP78">#REF!</definedName>
    <definedName name="_INP79">#REF!</definedName>
    <definedName name="_INP8">#REF!</definedName>
    <definedName name="_INP80">#REF!</definedName>
    <definedName name="_INP81">#REF!</definedName>
    <definedName name="_INP82">#REF!</definedName>
    <definedName name="_INP9">#REF!</definedName>
    <definedName name="_IV65900">#REF!</definedName>
    <definedName name="_IV66000">#REF!</definedName>
    <definedName name="_IV69000">#REF!</definedName>
    <definedName name="_IV70000">#REF!</definedName>
    <definedName name="_JA1">#REF!</definedName>
    <definedName name="_JU1">#REF!</definedName>
    <definedName name="_JU2">#REF!</definedName>
    <definedName name="_JU3">#REF!</definedName>
    <definedName name="_JU4">#REF!</definedName>
    <definedName name="_JU5">#REF!</definedName>
    <definedName name="_KA1">#REF!</definedName>
    <definedName name="_kan_">#REF!</definedName>
    <definedName name="_Key1">#REF!</definedName>
    <definedName name="_Key2">#REF!</definedName>
    <definedName name="_kzt2">#REF!</definedName>
    <definedName name="_LA1">#REF!</definedName>
    <definedName name="_Ldg1">#REF!</definedName>
    <definedName name="_Ldg10">#REF!</definedName>
    <definedName name="_Ldg11">#REF!</definedName>
    <definedName name="_Ldg12">#REF!</definedName>
    <definedName name="_Ldg2">#REF!</definedName>
    <definedName name="_Ldg3">#REF!</definedName>
    <definedName name="_Ldg4">#REF!</definedName>
    <definedName name="_Ldg5">#REF!</definedName>
    <definedName name="_Ldg6">#REF!</definedName>
    <definedName name="_Ldg7">#REF!</definedName>
    <definedName name="_Ldg8">#REF!</definedName>
    <definedName name="_Ldg9">#REF!</definedName>
    <definedName name="_LHR01">#REF!</definedName>
    <definedName name="_LHR02">#REF!</definedName>
    <definedName name="_LHR03">#REF!</definedName>
    <definedName name="_LHR04">#REF!</definedName>
    <definedName name="_LHR05">#REF!</definedName>
    <definedName name="_LHR06">#REF!</definedName>
    <definedName name="_LHR07">#REF!</definedName>
    <definedName name="_LHR08">#REF!</definedName>
    <definedName name="_LHR09">#REF!</definedName>
    <definedName name="_LHR10">#REF!</definedName>
    <definedName name="_LHR11">#REF!</definedName>
    <definedName name="_LHR12">#REF!</definedName>
    <definedName name="_LHR13">#REF!</definedName>
    <definedName name="_LHR14">#REF!</definedName>
    <definedName name="_LHR15">#REF!</definedName>
    <definedName name="_LHR16">#REF!</definedName>
    <definedName name="_LHR17">#REF!</definedName>
    <definedName name="_LHR18">#REF!</definedName>
    <definedName name="_LHR19">#REF!</definedName>
    <definedName name="_LHR20">#REF!</definedName>
    <definedName name="_LHR21">#REF!</definedName>
    <definedName name="_LHR22">#REF!</definedName>
    <definedName name="_LHR23">#REF!</definedName>
    <definedName name="_LHR24">#REF!</definedName>
    <definedName name="_LHR25">#REF!</definedName>
    <definedName name="_LHR26">#REF!</definedName>
    <definedName name="_LHR27">#REF!</definedName>
    <definedName name="_LHR28">#REF!</definedName>
    <definedName name="_LHR29">#REF!</definedName>
    <definedName name="_LHR30">#REF!</definedName>
    <definedName name="_LHR31">#REF!</definedName>
    <definedName name="_LHR32">#REF!</definedName>
    <definedName name="_LHR33">#REF!</definedName>
    <definedName name="_LHR34">#REF!</definedName>
    <definedName name="_LIR01">#REF!</definedName>
    <definedName name="_LIR02">#REF!</definedName>
    <definedName name="_LIR03">#REF!</definedName>
    <definedName name="_LIR04">#REF!</definedName>
    <definedName name="_LIR05">#REF!</definedName>
    <definedName name="_LIR06">#REF!</definedName>
    <definedName name="_LIR07">#REF!</definedName>
    <definedName name="_LIR08">#REF!</definedName>
    <definedName name="_LIR09">#REF!</definedName>
    <definedName name="_LIR10">#REF!</definedName>
    <definedName name="_LIR11">#REF!</definedName>
    <definedName name="_LIR12">#REF!</definedName>
    <definedName name="_LIR13">#REF!</definedName>
    <definedName name="_LIR14">#REF!</definedName>
    <definedName name="_LIR15">#REF!</definedName>
    <definedName name="_LIR16">#REF!</definedName>
    <definedName name="_LIR17">#REF!</definedName>
    <definedName name="_LIR18">#REF!</definedName>
    <definedName name="_LIR19">#REF!</definedName>
    <definedName name="_LIR20">#REF!</definedName>
    <definedName name="_LIR21">#REF!</definedName>
    <definedName name="_LIR22">#REF!</definedName>
    <definedName name="_LIR23">#REF!</definedName>
    <definedName name="_LIR24">#REF!</definedName>
    <definedName name="_LIR25">#REF!</definedName>
    <definedName name="_LIR26">#REF!</definedName>
    <definedName name="_LIR27">#REF!</definedName>
    <definedName name="_LIR28">#REF!</definedName>
    <definedName name="_LIR29">#REF!</definedName>
    <definedName name="_LIR30">#REF!</definedName>
    <definedName name="_LIR31">#REF!</definedName>
    <definedName name="_LIR32">#REF!</definedName>
    <definedName name="_LIR33">#REF!</definedName>
    <definedName name="_lp280202">#REF!</definedName>
    <definedName name="_LTR01">#REF!</definedName>
    <definedName name="_LTR02">#REF!</definedName>
    <definedName name="_LTR03">#REF!</definedName>
    <definedName name="_LTR04">#REF!</definedName>
    <definedName name="_LTR05">#REF!</definedName>
    <definedName name="_LTR06">#REF!</definedName>
    <definedName name="_LTR07">#REF!</definedName>
    <definedName name="_LTR08">#REF!</definedName>
    <definedName name="_LTR09">#REF!</definedName>
    <definedName name="_LTR10">#REF!</definedName>
    <definedName name="_LTR11">#REF!</definedName>
    <definedName name="_LTR12">#REF!</definedName>
    <definedName name="_LTR13">#REF!</definedName>
    <definedName name="_LTR14">#REF!</definedName>
    <definedName name="_LTR15">#REF!</definedName>
    <definedName name="_LTR16">#REF!</definedName>
    <definedName name="_LTR17">#REF!</definedName>
    <definedName name="_LTR18">#REF!</definedName>
    <definedName name="_LTR19">#REF!</definedName>
    <definedName name="_LTR20">#REF!</definedName>
    <definedName name="_LTR21">#REF!</definedName>
    <definedName name="_LTR22">#REF!</definedName>
    <definedName name="_LTR23">#REF!</definedName>
    <definedName name="_LTR24">#REF!</definedName>
    <definedName name="_LTR25">#REF!</definedName>
    <definedName name="_LTR26">#REF!</definedName>
    <definedName name="_LTR27">#REF!</definedName>
    <definedName name="_LU1">#REF!</definedName>
    <definedName name="_Max2">#REF!</definedName>
    <definedName name="_MIF1">#REF!</definedName>
    <definedName name="_MIF2">#REF!</definedName>
    <definedName name="_MIF3">#REF!</definedName>
    <definedName name="_MO33">#REF!</definedName>
    <definedName name="_MO34">#REF!</definedName>
    <definedName name="_MO35">#REF!</definedName>
    <definedName name="_MO36">#REF!</definedName>
    <definedName name="_MO37">#REF!</definedName>
    <definedName name="_MO38">#REF!</definedName>
    <definedName name="_MO39">#REF!</definedName>
    <definedName name="_MO40">#REF!</definedName>
    <definedName name="_MO41">#REF!</definedName>
    <definedName name="_MO42">#REF!</definedName>
    <definedName name="_MO43">#REF!</definedName>
    <definedName name="_MO44">#REF!</definedName>
    <definedName name="_MO45">#REF!</definedName>
    <definedName name="_MO46">#REF!</definedName>
    <definedName name="_MO47">#REF!</definedName>
    <definedName name="_MO48">#REF!</definedName>
    <definedName name="_MO49">#REF!</definedName>
    <definedName name="_MO50">#REF!</definedName>
    <definedName name="_MO51">#REF!</definedName>
    <definedName name="_MO52">#REF!</definedName>
    <definedName name="_MO53">#REF!</definedName>
    <definedName name="_MO54">#REF!</definedName>
    <definedName name="_MO55">#REF!</definedName>
    <definedName name="_MO56">#REF!</definedName>
    <definedName name="_MO57">#REF!</definedName>
    <definedName name="_MO58">#REF!</definedName>
    <definedName name="_MO59">#REF!</definedName>
    <definedName name="_MO60">#REF!</definedName>
    <definedName name="_MO61">#REF!</definedName>
    <definedName name="_MO62">#REF!</definedName>
    <definedName name="_MO63">#REF!</definedName>
    <definedName name="_MO64">#REF!</definedName>
    <definedName name="_MO65">#REF!</definedName>
    <definedName name="_MO66">#REF!</definedName>
    <definedName name="_MO67">#REF!</definedName>
    <definedName name="_MO68">#REF!</definedName>
    <definedName name="_MO69">#REF!</definedName>
    <definedName name="_MO70">#REF!</definedName>
    <definedName name="_MO71">#REF!</definedName>
    <definedName name="_MO72">#REF!</definedName>
    <definedName name="_MO73">#REF!</definedName>
    <definedName name="_MO74">#REF!</definedName>
    <definedName name="_MO75">#REF!</definedName>
    <definedName name="_MO76">#REF!</definedName>
    <definedName name="_MO77">#REF!</definedName>
    <definedName name="_MO78">#REF!</definedName>
    <definedName name="_MO79">#REF!</definedName>
    <definedName name="_MO80">#REF!</definedName>
    <definedName name="_MO81">#REF!</definedName>
    <definedName name="_MO82">#REF!</definedName>
    <definedName name="_NBS1">#REF!</definedName>
    <definedName name="_NBS10">#REF!</definedName>
    <definedName name="_NBS11">#REF!</definedName>
    <definedName name="_NBS12">#REF!</definedName>
    <definedName name="_NBS13">#REF!</definedName>
    <definedName name="_NBS14">#REF!</definedName>
    <definedName name="_NBS15">#REF!</definedName>
    <definedName name="_NBS16">#REF!</definedName>
    <definedName name="_NBS17">#REF!</definedName>
    <definedName name="_NBS18">#REF!</definedName>
    <definedName name="_NBS19">#REF!</definedName>
    <definedName name="_NBS2">#REF!</definedName>
    <definedName name="_NBS20">#REF!</definedName>
    <definedName name="_NBS21">#REF!</definedName>
    <definedName name="_NBS22">#REF!</definedName>
    <definedName name="_NBS23">#REF!</definedName>
    <definedName name="_NBS24">#REF!</definedName>
    <definedName name="_NBS25">#REF!</definedName>
    <definedName name="_NBS26">#REF!</definedName>
    <definedName name="_NBS3">#REF!</definedName>
    <definedName name="_NBS4">#REF!</definedName>
    <definedName name="_NBS5">#REF!</definedName>
    <definedName name="_NBS6">#REF!</definedName>
    <definedName name="_NBS7">#REF!</definedName>
    <definedName name="_NBS8">#REF!</definedName>
    <definedName name="_NBS9">#REF!</definedName>
    <definedName name="_NCF1">#REF!</definedName>
    <definedName name="_NCF10">#REF!</definedName>
    <definedName name="_NCF11">#REF!</definedName>
    <definedName name="_NCF12">#REF!</definedName>
    <definedName name="_NCF13">#REF!</definedName>
    <definedName name="_NCF14">#REF!</definedName>
    <definedName name="_NCF15">#REF!</definedName>
    <definedName name="_NCF16">#REF!</definedName>
    <definedName name="_NCF2">#REF!</definedName>
    <definedName name="_NCF3">#REF!</definedName>
    <definedName name="_NCF4">#REF!</definedName>
    <definedName name="_NCF5">#REF!</definedName>
    <definedName name="_NCF6">#REF!</definedName>
    <definedName name="_NCF7">#REF!</definedName>
    <definedName name="_NCF8">#REF!</definedName>
    <definedName name="_NCF9">#REF!</definedName>
    <definedName name="_NIS1">#REF!</definedName>
    <definedName name="_NIS10">#REF!</definedName>
    <definedName name="_NIS11">#REF!</definedName>
    <definedName name="_NIS12">#REF!</definedName>
    <definedName name="_NIS2">#REF!</definedName>
    <definedName name="_NIS3">#REF!</definedName>
    <definedName name="_NIS4">#REF!</definedName>
    <definedName name="_NIS5">#REF!</definedName>
    <definedName name="_NIS6">#REF!</definedName>
    <definedName name="_NIS7">#REF!</definedName>
    <definedName name="_NIS8">#REF!</definedName>
    <definedName name="_NIS9">#REF!</definedName>
    <definedName name="_npv1">#REF!</definedName>
    <definedName name="_npv2">#REF!</definedName>
    <definedName name="_old1">#REF!</definedName>
    <definedName name="_old2">#REF!</definedName>
    <definedName name="_Per1">#REF!</definedName>
    <definedName name="_Per10">#REF!</definedName>
    <definedName name="_Per11">#REF!</definedName>
    <definedName name="_Per12">#REF!</definedName>
    <definedName name="_Per2">#REF!</definedName>
    <definedName name="_Per3">#REF!</definedName>
    <definedName name="_Per4">#REF!</definedName>
    <definedName name="_Per5">#REF!</definedName>
    <definedName name="_Per6">#REF!</definedName>
    <definedName name="_Per7">#REF!</definedName>
    <definedName name="_Per8">#REF!</definedName>
    <definedName name="_Per9">#REF!</definedName>
    <definedName name="_po">#REF!</definedName>
    <definedName name="_q_list">#REF!</definedName>
    <definedName name="_r1_iNdEx_16">#REF!</definedName>
    <definedName name="_r10_iNdEx_27">#REF!</definedName>
    <definedName name="_r11_iNdEx_29">#REF!</definedName>
    <definedName name="_r12_iNdEx_30">#REF!</definedName>
    <definedName name="_r13_iNdEx_31">#REF!</definedName>
    <definedName name="_r14_iNdEx_32">#REF!</definedName>
    <definedName name="_r15_iNdEx_33">#REF!</definedName>
    <definedName name="_r16_iNdEx_34">#REF!</definedName>
    <definedName name="_r17_iNdEx_35">#REF!</definedName>
    <definedName name="_r18_iNdEx_36">#REF!</definedName>
    <definedName name="_r19_iNdEx_41">#REF!</definedName>
    <definedName name="_r2_iNdEx_18">#REF!</definedName>
    <definedName name="_r20_iNdEx_43">#REF!</definedName>
    <definedName name="_r21_iNdEx_44">#REF!</definedName>
    <definedName name="_r22_iNdEx_45">#REF!</definedName>
    <definedName name="_r23_iNdEx_46">#REF!</definedName>
    <definedName name="_r24_iNdEx_48">#REF!</definedName>
    <definedName name="_r25_iNdEx_49">#REF!</definedName>
    <definedName name="_r26_iNdEx_50">#REF!</definedName>
    <definedName name="_r27_iNdEx_51">#REF!</definedName>
    <definedName name="_r28_iNdEx_52">#REF!</definedName>
    <definedName name="_r29_iNdEx_53">#REF!</definedName>
    <definedName name="_r3_iNdEx_19">#REF!</definedName>
    <definedName name="_r30_iNdEx_54">#REF!</definedName>
    <definedName name="_r31_iNdEx_56">#REF!</definedName>
    <definedName name="_r32_iNdEx_57">#REF!</definedName>
    <definedName name="_r33_iNdEx_58">#REF!</definedName>
    <definedName name="_r34_iNdEx_59">#REF!</definedName>
    <definedName name="_r4_iNdEx_20">#REF!</definedName>
    <definedName name="_r5_iNdEx_21">#REF!</definedName>
    <definedName name="_r6_iNdEx_23">#REF!</definedName>
    <definedName name="_r7_iNdEx_24">#REF!</definedName>
    <definedName name="_r8_iNdEx_25">#REF!</definedName>
    <definedName name="_r9_iNdEx_26">#REF!</definedName>
    <definedName name="_RA1">#REF!</definedName>
    <definedName name="_re">#REF!</definedName>
    <definedName name="_ref1">#REF!</definedName>
    <definedName name="_ref2">#REF!</definedName>
    <definedName name="_Regression_Out">#REF!</definedName>
    <definedName name="_Regression_X">#REF!</definedName>
    <definedName name="_Regression_Y">#REF!</definedName>
    <definedName name="_rid_Tb1_iNdEx_1">#REF!</definedName>
    <definedName name="_ROR11">#REF!</definedName>
    <definedName name="_ROR14">#REF!</definedName>
    <definedName name="_RSE2">#REF!</definedName>
    <definedName name="_RSE3">#REF!</definedName>
    <definedName name="_s">#REF!</definedName>
    <definedName name="_s3">#REF!</definedName>
    <definedName name="_SBS1">#REF!</definedName>
    <definedName name="_SBS10">#REF!</definedName>
    <definedName name="_SBS11">#REF!</definedName>
    <definedName name="_SBS12">#REF!</definedName>
    <definedName name="_SBS13">#REF!</definedName>
    <definedName name="_SBS14">#REF!</definedName>
    <definedName name="_SBS15">#REF!</definedName>
    <definedName name="_SBS16">#REF!</definedName>
    <definedName name="_SBS17">#REF!</definedName>
    <definedName name="_SBS18">#REF!</definedName>
    <definedName name="_SBS19">#REF!</definedName>
    <definedName name="_SBS2">#REF!</definedName>
    <definedName name="_SBS20">#REF!</definedName>
    <definedName name="_SBS21">#REF!</definedName>
    <definedName name="_SBS22">#REF!</definedName>
    <definedName name="_SBS23">#REF!</definedName>
    <definedName name="_SBS24">#REF!</definedName>
    <definedName name="_SBS25">#REF!</definedName>
    <definedName name="_SBS26">#REF!</definedName>
    <definedName name="_SBS3">#REF!</definedName>
    <definedName name="_SBS4">#REF!</definedName>
    <definedName name="_SBS5">#REF!</definedName>
    <definedName name="_SBS6">#REF!</definedName>
    <definedName name="_SBS7">#REF!</definedName>
    <definedName name="_SBS8">#REF!</definedName>
    <definedName name="_SBS9">#REF!</definedName>
    <definedName name="_SCF1">#REF!</definedName>
    <definedName name="_SCF10">#REF!</definedName>
    <definedName name="_SCF11">#REF!</definedName>
    <definedName name="_SCF12">#REF!</definedName>
    <definedName name="_SCF13">#REF!</definedName>
    <definedName name="_SCF14">#REF!</definedName>
    <definedName name="_SCF15">#REF!</definedName>
    <definedName name="_SCF16">#REF!</definedName>
    <definedName name="_SCF2">#REF!</definedName>
    <definedName name="_SCF3">#REF!</definedName>
    <definedName name="_SCF4">#REF!</definedName>
    <definedName name="_SCF5">#REF!</definedName>
    <definedName name="_SCF6">#REF!</definedName>
    <definedName name="_SCF7">#REF!</definedName>
    <definedName name="_SCF8">#REF!</definedName>
    <definedName name="_SCF9">#REF!</definedName>
    <definedName name="_SE1">#REF!</definedName>
    <definedName name="_SE2">#REF!</definedName>
    <definedName name="_SE3">#REF!</definedName>
    <definedName name="_sh1">#REF!</definedName>
    <definedName name="_SIS1">#REF!</definedName>
    <definedName name="_SIS10">#REF!</definedName>
    <definedName name="_SIS11">#REF!</definedName>
    <definedName name="_SIS12">#REF!</definedName>
    <definedName name="_SIS2">#REF!</definedName>
    <definedName name="_SIS3">#REF!</definedName>
    <definedName name="_SIS4">#REF!</definedName>
    <definedName name="_SIS5">#REF!</definedName>
    <definedName name="_SIS6">#REF!</definedName>
    <definedName name="_SIS7">#REF!</definedName>
    <definedName name="_SIS8">#REF!</definedName>
    <definedName name="_SIS9">#REF!</definedName>
    <definedName name="_Sort">#REF!</definedName>
    <definedName name="_SP1">#REF!</definedName>
    <definedName name="_SP10">#REF!</definedName>
    <definedName name="_SP11">#REF!</definedName>
    <definedName name="_SP12">#REF!</definedName>
    <definedName name="_SP13">#REF!</definedName>
    <definedName name="_SP14">#REF!</definedName>
    <definedName name="_SP15">#REF!</definedName>
    <definedName name="_SP16">#REF!</definedName>
    <definedName name="_SP17">#REF!</definedName>
    <definedName name="_SP18">#REF!</definedName>
    <definedName name="_SP19">#REF!</definedName>
    <definedName name="_SP2">#REF!</definedName>
    <definedName name="_SP20">#REF!</definedName>
    <definedName name="_SP3">#REF!</definedName>
    <definedName name="_SP4">#REF!</definedName>
    <definedName name="_SP5">#REF!</definedName>
    <definedName name="_SP7">#REF!</definedName>
    <definedName name="_SP8">#REF!</definedName>
    <definedName name="_SP9">#REF!</definedName>
    <definedName name="_sul1">#REF!</definedName>
    <definedName name="_SUN033100">#REF!</definedName>
    <definedName name="_TAB2">#REF!</definedName>
    <definedName name="_Table1_In1">#REF!</definedName>
    <definedName name="_Table1_Out">#REF!</definedName>
    <definedName name="_Table2_In1">#REF!</definedName>
    <definedName name="_Table2_In2">#REF!</definedName>
    <definedName name="_Table2_Out">#REF!</definedName>
    <definedName name="_tax">#REF!</definedName>
    <definedName name="_tax_">#REF!</definedName>
    <definedName name="_TB123100">#REF!</definedName>
    <definedName name="_TB123198">#REF!</definedName>
    <definedName name="_TB300999">#REF!</definedName>
    <definedName name="_TB310300">#REF!</definedName>
    <definedName name="_TB311298">#REF!</definedName>
    <definedName name="_TB311299">#REF!</definedName>
    <definedName name="_TB33100">#REF!</definedName>
    <definedName name="_tb426">#REF!</definedName>
    <definedName name="_TB63000">#REF!</definedName>
    <definedName name="_TB63099">#REF!</definedName>
    <definedName name="_TB93099">#REF!</definedName>
    <definedName name="_TB98">#REF!</definedName>
    <definedName name="_tr">#REF!</definedName>
    <definedName name="_tre">#REF!</definedName>
    <definedName name="_US1">#REF!</definedName>
    <definedName name="_USD2003">#REF!</definedName>
    <definedName name="_USD2004">#REF!</definedName>
    <definedName name="_usd6">#REF!</definedName>
    <definedName name="_USD99">#REF!</definedName>
    <definedName name="_we">#REF!</definedName>
    <definedName name="_wes940">#REF!</definedName>
    <definedName name="_WIP2">#REF!</definedName>
    <definedName name="_xx_34_Dc">#REF!</definedName>
    <definedName name="_y_list">#REF!</definedName>
    <definedName name="_Z577777">#REF!</definedName>
    <definedName name="_Л1">#REF!</definedName>
    <definedName name="_Л10">#REF!</definedName>
    <definedName name="_Л11">#REF!</definedName>
    <definedName name="_Л2">#REF!</definedName>
    <definedName name="_Л3">#REF!</definedName>
    <definedName name="_Л4">#REF!</definedName>
    <definedName name="_Л5">#REF!</definedName>
    <definedName name="_Л7">#REF!</definedName>
    <definedName name="_Л8">#REF!</definedName>
    <definedName name="_Л9">#REF!</definedName>
    <definedName name="_Т1">#REF!</definedName>
    <definedName name="_Т10">#REF!</definedName>
    <definedName name="_Т2">#REF!</definedName>
    <definedName name="_Т4">#REF!</definedName>
    <definedName name="_Т5">#REF!</definedName>
    <definedName name="_Т6">#REF!</definedName>
    <definedName name="_Т7">#REF!</definedName>
    <definedName name="_Т8">#REF!</definedName>
    <definedName name="_Т9">#REF!</definedName>
    <definedName name="_Ф2">#REF!</definedName>
    <definedName name="_Ф4">#REF!</definedName>
    <definedName name="_Ф5">#REF!</definedName>
    <definedName name="_Ф6">#REF!</definedName>
    <definedName name="a">#REF!</definedName>
    <definedName name="a_">#REF!</definedName>
    <definedName name="â176">#REF!</definedName>
    <definedName name="aaaaaaa">#REF!</definedName>
    <definedName name="aadw">#REF!</definedName>
    <definedName name="aas">#REF!</definedName>
    <definedName name="aasdfghjkl">#REF!</definedName>
    <definedName name="abc">#REF!</definedName>
    <definedName name="ACC">#REF!</definedName>
    <definedName name="Acc_gaap">#REF!</definedName>
    <definedName name="acckaz">#REF!</definedName>
    <definedName name="accom">#REF!</definedName>
    <definedName name="Account">#REF!</definedName>
    <definedName name="Account_Balance">#REF!</definedName>
    <definedName name="ACCRUALS">#REF!</definedName>
    <definedName name="acctivity">#REF!</definedName>
    <definedName name="AcGWAmort">#REF!</definedName>
    <definedName name="AcqDebtAmt">#REF!</definedName>
    <definedName name="AcqDebtOpt2">#REF!</definedName>
    <definedName name="AcqDebtOpt3">#REF!</definedName>
    <definedName name="AcqDebtOpt4">#REF!</definedName>
    <definedName name="AcqDebtPerc">#REF!</definedName>
    <definedName name="AcqDebtRate">#REF!</definedName>
    <definedName name="AcqDebtRpmt">#REF!</definedName>
    <definedName name="AcqDebtTerm">#REF!</definedName>
    <definedName name="AcqEquityPerc">#REF!</definedName>
    <definedName name="AcqPerc">#REF!</definedName>
    <definedName name="activ">#REF!</definedName>
    <definedName name="Activity">#REF!</definedName>
    <definedName name="Acts">#REF!</definedName>
    <definedName name="Actual">#REF!</definedName>
    <definedName name="Actualizaación_cash_flow">#REF!</definedName>
    <definedName name="adADa">#REF!</definedName>
    <definedName name="adadsdadad">#REF!</definedName>
    <definedName name="adate">#REF!</definedName>
    <definedName name="adcfqafqa">#REF!</definedName>
    <definedName name="addf">#REF!</definedName>
    <definedName name="addreclass">#REF!</definedName>
    <definedName name="adf">#REF!</definedName>
    <definedName name="adfoik">#REF!</definedName>
    <definedName name="Adj.1">#REF!</definedName>
    <definedName name="adjp">#REF!</definedName>
    <definedName name="ADJREV">#REF!</definedName>
    <definedName name="adjsun">#REF!</definedName>
    <definedName name="adjt">#REF!</definedName>
    <definedName name="adjtx">#REF!</definedName>
    <definedName name="Administation">#REF!</definedName>
    <definedName name="AdminStaff">#REF!</definedName>
    <definedName name="adscr">#REF!</definedName>
    <definedName name="ADSDF">#REF!</definedName>
    <definedName name="AdvPaymentsEoP">#REF!</definedName>
    <definedName name="AdvReceivedEoP">#REF!</definedName>
    <definedName name="ae">#REF!</definedName>
    <definedName name="afdfa">#REF!</definedName>
    <definedName name="ai_附属公司_子公司">#REF!</definedName>
    <definedName name="aida">#REF!</definedName>
    <definedName name="aii_共同控制企业">#REF!</definedName>
    <definedName name="aiii_联营公司">#REF!</definedName>
    <definedName name="AINPUT">#REF!</definedName>
    <definedName name="aiv_合并中应抵销之交易">#REF!</definedName>
    <definedName name="aj">#REF!</definedName>
    <definedName name="AKCO_52">#REF!</definedName>
    <definedName name="AKCO_PayGrades">#REF!</definedName>
    <definedName name="AKCO_ROT">#REF!</definedName>
    <definedName name="Akto_1st_prod_quarter">#REF!</definedName>
    <definedName name="Akto_1st_prod_year">#REF!</definedName>
    <definedName name="Akto_DPlan_year">#REF!</definedName>
    <definedName name="Aktote_last_prod">#REF!</definedName>
    <definedName name="AKus_WIP">#REF!</definedName>
    <definedName name="al">#REF!</definedName>
    <definedName name="ALL">#REF!</definedName>
    <definedName name="alla">#REF!</definedName>
    <definedName name="ALLFILE">#REF!</definedName>
    <definedName name="Alloc1_Fact_Rang1_1">#REF!</definedName>
    <definedName name="Alloc1_Fact_Rang1_2">#REF!</definedName>
    <definedName name="Alloc1_Fact_Rang1_3">#REF!</definedName>
    <definedName name="Alloc1_Fact_Rang1_4">#REF!</definedName>
    <definedName name="Alloc1_Fact_Rang1_5">#REF!</definedName>
    <definedName name="Alloc1_Fact_Rang1_6">#REF!</definedName>
    <definedName name="Alloc1_Fact_Rang1_7">#REF!</definedName>
    <definedName name="Alloc1_Fact_Rang1_8">#REF!</definedName>
    <definedName name="Alloc1_Fact_Rang2_2">#REF!</definedName>
    <definedName name="Alloc1_Fact_Rang2_3">#REF!</definedName>
    <definedName name="Alloc1_Fact_Rang2_4">#REF!</definedName>
    <definedName name="Alloc1_Fact_Rang2_5">#REF!</definedName>
    <definedName name="Alloc1_Fact_Rang2_6">#REF!</definedName>
    <definedName name="Alloc1_Fact_Rang2_7">#REF!</definedName>
    <definedName name="Alloc1_Fact_Rang2_8">#REF!</definedName>
    <definedName name="Alloc1_Fact_Rang3_3">#REF!</definedName>
    <definedName name="Alloc1_Fact_Rang3_4">#REF!</definedName>
    <definedName name="Alloc1_Fact_Rang3_5">#REF!</definedName>
    <definedName name="Alloc1_Fact_Rang3_6">#REF!</definedName>
    <definedName name="Alloc1_Fact_Rang3_7">#REF!</definedName>
    <definedName name="Alloc1_Fact_Rang3_8">#REF!</definedName>
    <definedName name="Alloc1_Fact_Rang4_4">#REF!</definedName>
    <definedName name="Alloc1_Fact_Rang4_5">#REF!</definedName>
    <definedName name="Alloc1_Fact_Rang4_6">#REF!</definedName>
    <definedName name="Alloc1_Fact_Rang4_7">#REF!</definedName>
    <definedName name="Alloc1_Fact_Rang4_8">#REF!</definedName>
    <definedName name="Alloc1_Fact_Rang5_5">#REF!</definedName>
    <definedName name="Alloc1_Fact_Rang5_6">#REF!</definedName>
    <definedName name="Alloc1_Fact_Rang5_7">#REF!</definedName>
    <definedName name="Alloc1_Fact_Rang5_8">#REF!</definedName>
    <definedName name="Alloc1_Fact_Rang6_6">#REF!</definedName>
    <definedName name="Alloc1_Fact_Rang6_7">#REF!</definedName>
    <definedName name="Alloc1_Fact_Rang6_8">#REF!</definedName>
    <definedName name="Alloc1_Fact_Rang7_7">#REF!</definedName>
    <definedName name="Alloc1_Fact_Rang7_8">#REF!</definedName>
    <definedName name="Alloc1_Fact_Rang8_8">#REF!</definedName>
    <definedName name="Alloc2_Fact_Rang1_1">#REF!</definedName>
    <definedName name="Alloc2_Fact_Rang1_2">#REF!</definedName>
    <definedName name="Alloc2_Fact_Rang1_3">#REF!</definedName>
    <definedName name="Alloc2_Fact_Rang1_4">#REF!</definedName>
    <definedName name="Alloc2_Fact_Rang1_5">#REF!</definedName>
    <definedName name="Alloc2_Fact_Rang1_6">#REF!</definedName>
    <definedName name="Alloc2_Fact_Rang1_7">#REF!</definedName>
    <definedName name="Alloc2_Fact_Rang1_8">#REF!</definedName>
    <definedName name="Alloc2_Fact_Rang2_2">#REF!</definedName>
    <definedName name="Alloc2_Fact_Rang2_3">#REF!</definedName>
    <definedName name="Alloc2_Fact_Rang2_4">#REF!</definedName>
    <definedName name="Alloc2_Fact_Rang2_5">#REF!</definedName>
    <definedName name="Alloc2_Fact_Rang2_6">#REF!</definedName>
    <definedName name="Alloc2_Fact_Rang2_7">#REF!</definedName>
    <definedName name="Alloc2_Fact_Rang2_8">#REF!</definedName>
    <definedName name="Alloc2_Fact_Rang3_3">#REF!</definedName>
    <definedName name="Alloc2_Fact_Rang3_4">#REF!</definedName>
    <definedName name="Alloc2_Fact_Rang3_5">#REF!</definedName>
    <definedName name="Alloc2_Fact_Rang3_6">#REF!</definedName>
    <definedName name="Alloc2_Fact_Rang3_7">#REF!</definedName>
    <definedName name="Alloc2_Fact_Rang3_8">#REF!</definedName>
    <definedName name="Alloc2_Fact_Rang4_4">#REF!</definedName>
    <definedName name="Alloc2_Fact_Rang4_5">#REF!</definedName>
    <definedName name="Alloc2_Fact_Rang4_6">#REF!</definedName>
    <definedName name="Alloc2_Fact_Rang4_7">#REF!</definedName>
    <definedName name="Alloc2_Fact_Rang4_8">#REF!</definedName>
    <definedName name="Alloc2_Fact_Rang5_5">#REF!</definedName>
    <definedName name="Alloc2_Fact_Rang5_6">#REF!</definedName>
    <definedName name="Alloc2_Fact_Rang5_7">#REF!</definedName>
    <definedName name="Alloc2_Fact_Rang5_8">#REF!</definedName>
    <definedName name="Alloc2_Fact_Rang6_6">#REF!</definedName>
    <definedName name="Alloc2_Fact_Rang6_7">#REF!</definedName>
    <definedName name="Alloc2_Fact_Rang6_8">#REF!</definedName>
    <definedName name="Alloc2_Fact_Rang7_7">#REF!</definedName>
    <definedName name="Alloc2_Fact_Rang7_8">#REF!</definedName>
    <definedName name="Alloc2_Fact_Rang8_8">#REF!</definedName>
    <definedName name="AllowChange">#REF!</definedName>
    <definedName name="alpha">#REF!</definedName>
    <definedName name="alphaname">#REF!</definedName>
    <definedName name="ANLAGE_III">#REF!</definedName>
    <definedName name="Ann_incr_GA">#REF!</definedName>
    <definedName name="Annual_interest_rate">#REF!</definedName>
    <definedName name="AnnualBonusInput">#REF!</definedName>
    <definedName name="Application">#REF!</definedName>
    <definedName name="aq">#REF!</definedName>
    <definedName name="ARA_Threshold">#REF!</definedName>
    <definedName name="area">#REF!</definedName>
    <definedName name="arman">#REF!</definedName>
    <definedName name="ARP_Threshold">#REF!</definedName>
    <definedName name="arr">#REF!</definedName>
    <definedName name="Array">#REF!</definedName>
    <definedName name="arrow">#REF!</definedName>
    <definedName name="as">#REF!</definedName>
    <definedName name="AS2StaticLS">#REF!</definedName>
    <definedName name="AS2TickmarkLS">#REF!</definedName>
    <definedName name="asde">#REF!</definedName>
    <definedName name="asdf">#REF!</definedName>
    <definedName name="asdsa">#REF!</definedName>
    <definedName name="aser">#REF!</definedName>
    <definedName name="asf">#REF!</definedName>
    <definedName name="asfasf">#REF!</definedName>
    <definedName name="asjdsk">#REF!</definedName>
    <definedName name="ask">#REF!</definedName>
    <definedName name="Ass">#REF!</definedName>
    <definedName name="assd">#REF!</definedName>
    <definedName name="assel">#REF!</definedName>
    <definedName name="asset">#REF!</definedName>
    <definedName name="Asset_from">#REF!</definedName>
    <definedName name="Asset_to">#REF!</definedName>
    <definedName name="ATR_share">#REF!</definedName>
    <definedName name="AUD">#REF!</definedName>
    <definedName name="AuditDate">#REF!</definedName>
    <definedName name="average_daily_occupancy">#REF!</definedName>
    <definedName name="Average_DSCR">#REF!</definedName>
    <definedName name="aws">#REF!</definedName>
    <definedName name="aza">#REF!</definedName>
    <definedName name="b_">#REF!</definedName>
    <definedName name="BA">#REF!</definedName>
    <definedName name="BAL">#REF!</definedName>
    <definedName name="Bal_Sheet">#REF!</definedName>
    <definedName name="Bal_Sheet1">#REF!</definedName>
    <definedName name="BALANCE">#REF!</definedName>
    <definedName name="BALSHT">#REF!</definedName>
    <definedName name="Band">#REF!</definedName>
    <definedName name="BANK">#REF!</definedName>
    <definedName name="BankComissionInput">#REF!</definedName>
    <definedName name="Barco_1">#REF!</definedName>
    <definedName name="Basa_cena">#REF!</definedName>
    <definedName name="BASE">#REF!</definedName>
    <definedName name="Base_10_28">#REF!</definedName>
    <definedName name="Base_10_52">#REF!</definedName>
    <definedName name="Base_25_28">#REF!</definedName>
    <definedName name="Base_25_52">#REF!</definedName>
    <definedName name="Base_28">#REF!</definedName>
    <definedName name="Base_35_28">#REF!</definedName>
    <definedName name="Base_35_52">#REF!</definedName>
    <definedName name="Base_50_28">#REF!</definedName>
    <definedName name="Base_50_52">#REF!</definedName>
    <definedName name="base_52">#REF!</definedName>
    <definedName name="Base_60_28">#REF!</definedName>
    <definedName name="Base_60_52">#REF!</definedName>
    <definedName name="Base_75_28">#REF!</definedName>
    <definedName name="Base_75_52">#REF!</definedName>
    <definedName name="basic_level">#REF!</definedName>
    <definedName name="basic_weight">#REF!</definedName>
    <definedName name="BasicContainerReturnRollSteelKZTInput">#REF!</definedName>
    <definedName name="BasicContainerReturnRollSteelUSDInput">#REF!</definedName>
    <definedName name="BasicContainerReturnServicesKZTInput">#REF!</definedName>
    <definedName name="BasicContainerReturnServicesUSDInput">#REF!</definedName>
    <definedName name="BasicFlatcarReturnDeliveryKZTInput">#REF!</definedName>
    <definedName name="BasicFlatcarReturnDeliveryUSDInput">#REF!</definedName>
    <definedName name="BasicFlatcarReturnRollSteelKZTInput">#REF!</definedName>
    <definedName name="BasicFlatcarReturnRollSteelUSDInput">#REF!</definedName>
    <definedName name="BasicFlatcarReturnServicesKZTInput">#REF!</definedName>
    <definedName name="BasicFlatcarReturnServicesUSDInput">#REF!</definedName>
    <definedName name="BasicReturnGondolaKZTInput">#REF!</definedName>
    <definedName name="BasicReturnGondolasInput">#REF!</definedName>
    <definedName name="BasicServiceRateGandolaKZTInput">#REF!</definedName>
    <definedName name="BasicServiceRateGondolaUSInput">#REF!</definedName>
    <definedName name="BasicTEOOilKZTInput">#REF!</definedName>
    <definedName name="BasicTEOOilUSDInput">#REF!</definedName>
    <definedName name="BasicTEORateBoxcarKZTInput">#REF!</definedName>
    <definedName name="BasicTEORateBoxcarUSDInput">#REF!</definedName>
    <definedName name="BasicTEORateGandolaUSDInput">#REF!</definedName>
    <definedName name="BasicTEORateGondolaKZTInput">#REF!</definedName>
    <definedName name="BasicTEORateGondolaUSInput">#REF!</definedName>
    <definedName name="BasicTEORateLPGKZTInput">#REF!</definedName>
    <definedName name="BasicTEORateLPGUSDInput">#REF!</definedName>
    <definedName name="Baza_cena">#REF!</definedName>
    <definedName name="bbb">#REF!</definedName>
    <definedName name="bcm">#REF!</definedName>
    <definedName name="Bd_">#REF!</definedName>
    <definedName name="Beer_supporting_information">#REF!</definedName>
    <definedName name="Beg_Bal">#REF!</definedName>
    <definedName name="Beg_Date">#REF!</definedName>
    <definedName name="Belgium_CPI">#REF!</definedName>
    <definedName name="Beta12345">#REF!</definedName>
    <definedName name="BHKOD">#REF!</definedName>
    <definedName name="BI">#REF!</definedName>
    <definedName name="bi_外币交易">#REF!</definedName>
    <definedName name="bii_国外经营业务之会计报表">#REF!</definedName>
    <definedName name="BILAN">#REF!</definedName>
    <definedName name="BINPUT">#REF!</definedName>
    <definedName name="BLANK_DD">#REF!</definedName>
    <definedName name="BLANK_DDATE">#REF!</definedName>
    <definedName name="BLANK_DFINISH">#REF!</definedName>
    <definedName name="BLANK_DSSUDDATE">#REF!</definedName>
    <definedName name="BLANK_DSTART">#REF!</definedName>
    <definedName name="BLANK_NACCOUNTSTOTAL">#REF!</definedName>
    <definedName name="BLANK_NCTSTEN">#REF!</definedName>
    <definedName name="BLANK_NCTSVAL">#REF!</definedName>
    <definedName name="BLANK_NCVTEN">#REF!</definedName>
    <definedName name="BLANK_NCVVAL">#REF!</definedName>
    <definedName name="BLANK_NUVTEN">#REF!</definedName>
    <definedName name="BLANK_NUVVAL">#REF!</definedName>
    <definedName name="BLANK_S_FILIAL">#REF!</definedName>
    <definedName name="BLANK_S_PERIOD">#REF!</definedName>
    <definedName name="BLANK_SACCCODE">#REF!</definedName>
    <definedName name="BLANK_SACCNAME">#REF!</definedName>
    <definedName name="BLANK_SB3">#REF!</definedName>
    <definedName name="BLANK_SBALCODE">#REF!</definedName>
    <definedName name="BLANK_SBANKFIOBUX">#REF!</definedName>
    <definedName name="BLANK_SBANKFIORUK">#REF!</definedName>
    <definedName name="BLANK_SBIK">#REF!</definedName>
    <definedName name="BLANK_SDBEG">#REF!</definedName>
    <definedName name="BLANK_SDEND">#REF!</definedName>
    <definedName name="BLANK_SDTLAST">#REF!</definedName>
    <definedName name="BLANK_SEXECUTORNAME">#REF!</definedName>
    <definedName name="BLANK_SFIL">#REF!</definedName>
    <definedName name="BLANK_SFILIAL">#REF!</definedName>
    <definedName name="BLANK_SINCSUM">#REF!</definedName>
    <definedName name="BLANK_SLABEL">#REF!</definedName>
    <definedName name="BLANK_SNOOPER">#REF!</definedName>
    <definedName name="BLANK_SORDDATE">#REF!</definedName>
    <definedName name="BLANK_SOURBANK">#REF!</definedName>
    <definedName name="BLANK_SOUTCSUM">#REF!</definedName>
    <definedName name="BLANK_SPERIOD">#REF!</definedName>
    <definedName name="BLANK_SRNN">#REF!</definedName>
    <definedName name="BLANK_SSYSDATE">#REF!</definedName>
    <definedName name="BLANK_SUSER">#REF!</definedName>
    <definedName name="BLANK_SVALUTA">#REF!</definedName>
    <definedName name="BLANK1_SB3">#REF!</definedName>
    <definedName name="BLANK11_NP120">#REF!</definedName>
    <definedName name="BLANK11_NP121">#REF!</definedName>
    <definedName name="BLANK11_NP122">#REF!</definedName>
    <definedName name="BLANK11_NP123">#REF!</definedName>
    <definedName name="BLANK11_NP124">#REF!</definedName>
    <definedName name="BLANK11_NP125">#REF!</definedName>
    <definedName name="BLANK11_NP126">#REF!</definedName>
    <definedName name="BLANK11_NVALP120">#REF!</definedName>
    <definedName name="BLANK11_NVALP121">#REF!</definedName>
    <definedName name="BLANK11_NVALP122">#REF!</definedName>
    <definedName name="BLANK11_NVALP123">#REF!</definedName>
    <definedName name="BLANK11_NVALP124">#REF!</definedName>
    <definedName name="BLANK11_NVALP125">#REF!</definedName>
    <definedName name="BLANK11_NVALP126">#REF!</definedName>
    <definedName name="BLANK2_SPLACE">#REF!</definedName>
    <definedName name="BLANK3_NP40">#REF!</definedName>
    <definedName name="BLANK3_NP41">#REF!</definedName>
    <definedName name="BLANK3_NP42">#REF!</definedName>
    <definedName name="BLANK3_NP43">#REF!</definedName>
    <definedName name="BLANK3_NP44">#REF!</definedName>
    <definedName name="BLANK3_NP45">#REF!</definedName>
    <definedName name="BLANK3_NP46">#REF!</definedName>
    <definedName name="BLANK3_NVALP40">#REF!</definedName>
    <definedName name="BLANK3_NVALP41">#REF!</definedName>
    <definedName name="BLANK3_NVALP42">#REF!</definedName>
    <definedName name="BLANK3_NVALP43">#REF!</definedName>
    <definedName name="BLANK3_NVALP44">#REF!</definedName>
    <definedName name="BLANK3_NVALP45">#REF!</definedName>
    <definedName name="BLANK3_NVALP46">#REF!</definedName>
    <definedName name="BLANK7_NP81">#REF!</definedName>
    <definedName name="BLANK7_NP82">#REF!</definedName>
    <definedName name="BLANK7_NP83">#REF!</definedName>
    <definedName name="BLANK7_NP84">#REF!</definedName>
    <definedName name="BLANK7_NP85">#REF!</definedName>
    <definedName name="BLANK7_NP86">#REF!</definedName>
    <definedName name="BLANK7_NVALP80">#REF!</definedName>
    <definedName name="BLANK7_NVALP81">#REF!</definedName>
    <definedName name="BLANK7_NVALP82">#REF!</definedName>
    <definedName name="BLANK7_NVALP83">#REF!</definedName>
    <definedName name="BLANK7_NVALP84">#REF!</definedName>
    <definedName name="BLANK7_NVALP85">#REF!</definedName>
    <definedName name="BLANK7_NVALP86">#REF!</definedName>
    <definedName name="BLANK9_NVALP106">#REF!</definedName>
    <definedName name="BLPH1">#REF!</definedName>
    <definedName name="BLPH10">#REF!</definedName>
    <definedName name="BLPH11">#REF!</definedName>
    <definedName name="BLPH12">#REF!</definedName>
    <definedName name="BLPH13">#REF!</definedName>
    <definedName name="BLPH135">#REF!</definedName>
    <definedName name="BLPH136">#REF!</definedName>
    <definedName name="BLPH137">#REF!</definedName>
    <definedName name="BLPH138">#REF!</definedName>
    <definedName name="BLPH14">#REF!</definedName>
    <definedName name="BLPH15">#REF!</definedName>
    <definedName name="BLPH16">#REF!</definedName>
    <definedName name="BLPH17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">#REF!</definedName>
    <definedName name="BNE_MESSAGES_HIDDEN">#REF!</definedName>
    <definedName name="bolag">#REF!</definedName>
    <definedName name="BolstersCost">#REF!</definedName>
    <definedName name="bomb">#REF!</definedName>
    <definedName name="BorrowingInterests">#REF!</definedName>
    <definedName name="BoxcarsAcquisitions">#REF!</definedName>
    <definedName name="BoxcarsDeprRateInput">#REF!</definedName>
    <definedName name="BoxcarsResidualValueInput">#REF!</definedName>
    <definedName name="BoxcarsSale">#REF!</definedName>
    <definedName name="BoxcarsWtiteOff">#REF!</definedName>
    <definedName name="Bread_rate">#REF!</definedName>
    <definedName name="bread_shift">#REF!</definedName>
    <definedName name="BS">#REF!</definedName>
    <definedName name="BS注1">#REF!</definedName>
    <definedName name="BuildingsDeprRateInput">#REF!</definedName>
    <definedName name="BulkPipeWt">#REF!</definedName>
    <definedName name="BulkPipeWtCS">#REF!</definedName>
    <definedName name="BulkPipeWtSS">#REF!</definedName>
    <definedName name="bulks2equip">#REF!</definedName>
    <definedName name="bulkstotal">#REF!</definedName>
    <definedName name="BUS">#REF!</definedName>
    <definedName name="Business_trips">#REF!</definedName>
    <definedName name="BusinessTrips">#REF!</definedName>
    <definedName name="bv">#REF!</definedName>
    <definedName name="bvHisEnd1">#REF!</definedName>
    <definedName name="bvs">#REF!</definedName>
    <definedName name="C_">#REF!</definedName>
    <definedName name="c_list">#REF!</definedName>
    <definedName name="c_list_20">#REF!</definedName>
    <definedName name="c_list_39">#REF!</definedName>
    <definedName name="C_RANGE1">#REF!</definedName>
    <definedName name="C_RANGE2">#REF!</definedName>
    <definedName name="C_RANGE3">#REF!</definedName>
    <definedName name="C_RANGE4">#REF!</definedName>
    <definedName name="C_RANGE5">#REF!</definedName>
    <definedName name="C_RANGE6">#REF!</definedName>
    <definedName name="CA">#REF!</definedName>
    <definedName name="cad">#REF!</definedName>
    <definedName name="CAFE">#REF!</definedName>
    <definedName name="CalcIRR">#REF!</definedName>
    <definedName name="CALENDAR">#REF!</definedName>
    <definedName name="Canada">#REF!</definedName>
    <definedName name="Canada1">#REF!</definedName>
    <definedName name="Canadian_Occidental_Petroleum_Ltd.">#REF!</definedName>
    <definedName name="Capacity">#REF!</definedName>
    <definedName name="Capex">#REF!</definedName>
    <definedName name="Capex_Adjust_Savings">#REF!</definedName>
    <definedName name="Capex_Array">#REF!</definedName>
    <definedName name="Capex_Contingency">#REF!</definedName>
    <definedName name="Capex_Esc">#REF!</definedName>
    <definedName name="Capex_Factor">#REF!</definedName>
    <definedName name="Capex_Phasing">#REF!</definedName>
    <definedName name="CapexDebtAmt">#REF!</definedName>
    <definedName name="CapexDebtOpt2">#REF!</definedName>
    <definedName name="CapexDebtOpt3">#REF!</definedName>
    <definedName name="CapexDebtOpt4">#REF!</definedName>
    <definedName name="CapexDebtPerc">#REF!</definedName>
    <definedName name="CapexDebtRate">#REF!</definedName>
    <definedName name="CapexDebtRpmt">#REF!</definedName>
    <definedName name="CapexDebtTerm">#REF!</definedName>
    <definedName name="CapexEscFactor">#REF!</definedName>
    <definedName name="CapexEscRate">#REF!</definedName>
    <definedName name="CapexEscSU">#REF!</definedName>
    <definedName name="capexfactormean">#REF!</definedName>
    <definedName name="capexfactorstd">#REF!</definedName>
    <definedName name="Capital">#REF!</definedName>
    <definedName name="CapitalChargeAct">#REF!</definedName>
    <definedName name="capres">#REF!</definedName>
    <definedName name="Cargo_Variable_Transitorio_en_hs._Punta">#REF!</definedName>
    <definedName name="CARLSB_IC">#REF!</definedName>
    <definedName name="CarsInMaintenanceInput">#REF!</definedName>
    <definedName name="CASE">#REF!</definedName>
    <definedName name="cash">#REF!</definedName>
    <definedName name="CashBoP">#REF!</definedName>
    <definedName name="CashEoP">#REF!</definedName>
    <definedName name="Cashflow2">#REF!</definedName>
    <definedName name="castings">#REF!</definedName>
    <definedName name="cat_list">#REF!</definedName>
    <definedName name="cat_list_20">#REF!</definedName>
    <definedName name="cat_list_39">#REF!</definedName>
    <definedName name="CBAR1">#REF!</definedName>
    <definedName name="cbroc.cbroc">#REF!</definedName>
    <definedName name="cc">#REF!</definedName>
    <definedName name="CC_inv">#REF!</definedName>
    <definedName name="CCategories">#REF!</definedName>
    <definedName name="ccc">#REF!</definedName>
    <definedName name="ccoppy">#REF!</definedName>
    <definedName name="cd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ena">#REF!</definedName>
    <definedName name="cf">#REF!</definedName>
    <definedName name="cf_03">#REF!</definedName>
    <definedName name="CF_2003">#REF!</definedName>
    <definedName name="CF_AccruedExpenses">#REF!</definedName>
    <definedName name="CF_Cash">#REF!</definedName>
    <definedName name="CF_CurrentLTDebit">#REF!</definedName>
    <definedName name="CF_DeferredTax">#REF!</definedName>
    <definedName name="CF_Dividends">#REF!</definedName>
    <definedName name="CF_Intangibles">#REF!</definedName>
    <definedName name="CF_Inventories">#REF!</definedName>
    <definedName name="CF_Investments">#REF!</definedName>
    <definedName name="CF_LTDebt">#REF!</definedName>
    <definedName name="CF_NetIncome">#REF!</definedName>
    <definedName name="CF_Operations">#REF!</definedName>
    <definedName name="CF_Operations1">#REF!</definedName>
    <definedName name="CF_Payables">#REF!</definedName>
    <definedName name="CF_PrepaidExpenses">#REF!</definedName>
    <definedName name="CF_Property">#REF!</definedName>
    <definedName name="CF_Receivables">#REF!</definedName>
    <definedName name="CF_Shares">#REF!</definedName>
    <definedName name="CF_Stmt">#REF!</definedName>
    <definedName name="CF_Stmt1">#REF!</definedName>
    <definedName name="CF_Taxation">#REF!</definedName>
    <definedName name="CF17_Attr_ABnk_15D_Am_AMD">#REF!</definedName>
    <definedName name="CF17_Attr_ABnk_15D_Am_EUR">#REF!</definedName>
    <definedName name="CF17_Attr_ABnk_15D_Am_OthC">#REF!</definedName>
    <definedName name="CF17_Attr_ABnk_15D_Am_RUR">#REF!</definedName>
    <definedName name="CF17_Attr_ABnk_15D_Am_USD">#REF!</definedName>
    <definedName name="CF17_Attr_ABnk_15D_I_AMD">#REF!</definedName>
    <definedName name="CF17_Attr_ABnk_15D_I_EUR">#REF!</definedName>
    <definedName name="CF17_Attr_ABnk_15D_I_OthC">#REF!</definedName>
    <definedName name="CF17_Attr_ABnk_15D_I_RUR">#REF!</definedName>
    <definedName name="CF17_Attr_ABnk_15D_I_USD">#REF!</definedName>
    <definedName name="CF17_Attr_ABnk_180D_Am_AMD">#REF!</definedName>
    <definedName name="CF17_Attr_ABnk_180D_Am_EUR">#REF!</definedName>
    <definedName name="CF17_Attr_ABnk_180D_Am_OthC">#REF!</definedName>
    <definedName name="CF17_Attr_ABnk_180D_Am_RUR">#REF!</definedName>
    <definedName name="CF17_Attr_ABnk_180D_Am_USD">#REF!</definedName>
    <definedName name="CF17_Attr_ABnk_180D_I_AMD">#REF!</definedName>
    <definedName name="CF17_Attr_ABnk_180D_I_EUR">#REF!</definedName>
    <definedName name="CF17_Attr_ABnk_180D_I_OthC">#REF!</definedName>
    <definedName name="CF17_Attr_ABnk_180D_I_RUR">#REF!</definedName>
    <definedName name="CF17_Attr_ABnk_180D_I_USD">#REF!</definedName>
    <definedName name="CF17_Attr_ABnk_30D_Am_AMD">#REF!</definedName>
    <definedName name="CF17_Attr_ABnk_30D_Am_EUR">#REF!</definedName>
    <definedName name="CF17_Attr_ABnk_30D_Am_OthC">#REF!</definedName>
    <definedName name="CF17_Attr_ABnk_30D_Am_RUR">#REF!</definedName>
    <definedName name="CF17_Attr_ABnk_30D_Am_USD">#REF!</definedName>
    <definedName name="CF17_Attr_ABnk_30D_I_AMD">#REF!</definedName>
    <definedName name="CF17_Attr_ABnk_30D_I_EUR">#REF!</definedName>
    <definedName name="CF17_Attr_ABnk_30D_I_OthC">#REF!</definedName>
    <definedName name="CF17_Attr_ABnk_30D_I_RUR">#REF!</definedName>
    <definedName name="CF17_Attr_ABnk_30D_I_USD">#REF!</definedName>
    <definedName name="CF17_Attr_ABnk_360D_Am_AMD">#REF!</definedName>
    <definedName name="CF17_Attr_ABnk_360D_Am_EUR">#REF!</definedName>
    <definedName name="CF17_Attr_ABnk_360D_Am_OthC">#REF!</definedName>
    <definedName name="CF17_Attr_ABnk_360D_Am_RUR">#REF!</definedName>
    <definedName name="CF17_Attr_ABnk_360D_Am_USD">#REF!</definedName>
    <definedName name="CF17_Attr_ABnk_360D_I_AMD">#REF!</definedName>
    <definedName name="CF17_Attr_ABnk_360D_I_EUR">#REF!</definedName>
    <definedName name="CF17_Attr_ABnk_360D_I_OthC">#REF!</definedName>
    <definedName name="CF17_Attr_ABnk_360D_I_RUR">#REF!</definedName>
    <definedName name="CF17_Attr_ABnk_360D_I_USD">#REF!</definedName>
    <definedName name="CF17_Attr_ABnk_60D_Am_AMD">#REF!</definedName>
    <definedName name="CF17_Attr_ABnk_60D_Am_EUR">#REF!</definedName>
    <definedName name="CF17_Attr_ABnk_60D_Am_OthC">#REF!</definedName>
    <definedName name="CF17_Attr_ABnk_60D_Am_RUR">#REF!</definedName>
    <definedName name="CF17_Attr_ABnk_60D_Am_USD">#REF!</definedName>
    <definedName name="CF17_Attr_ABnk_60D_I_AMD">#REF!</definedName>
    <definedName name="CF17_Attr_ABnk_60D_I_EUR">#REF!</definedName>
    <definedName name="CF17_Attr_ABnk_60D_I_OthC">#REF!</definedName>
    <definedName name="CF17_Attr_ABnk_60D_I_RUR">#REF!</definedName>
    <definedName name="CF17_Attr_ABnk_60D_I_USD">#REF!</definedName>
    <definedName name="CF17_Attr_ABnk_90D_Am_AMD">#REF!</definedName>
    <definedName name="CF17_Attr_ABnk_90D_Am_EUR">#REF!</definedName>
    <definedName name="CF17_Attr_ABnk_90D_Am_OthC">#REF!</definedName>
    <definedName name="CF17_Attr_ABnk_90D_Am_RUR">#REF!</definedName>
    <definedName name="CF17_Attr_ABnk_90D_Am_USD">#REF!</definedName>
    <definedName name="CF17_Attr_ABnk_90D_I_AMD">#REF!</definedName>
    <definedName name="CF17_Attr_ABnk_90D_I_EUR">#REF!</definedName>
    <definedName name="CF17_Attr_ABnk_90D_I_OthC">#REF!</definedName>
    <definedName name="CF17_Attr_ABnk_90D_I_RUR">#REF!</definedName>
    <definedName name="CF17_Attr_ABnk_90D_I_USD">#REF!</definedName>
    <definedName name="CF17_Attr_ABnk_Dem_Am_AMD">#REF!</definedName>
    <definedName name="CF17_Attr_ABnk_Dem_Am_EUR">#REF!</definedName>
    <definedName name="CF17_Attr_ABnk_Dem_Am_OthC">#REF!</definedName>
    <definedName name="CF17_Attr_ABnk_Dem_Am_RUR">#REF!</definedName>
    <definedName name="CF17_Attr_ABnk_Dem_Am_USD">#REF!</definedName>
    <definedName name="CF17_Attr_ABnk_Dem_I_AMD">#REF!</definedName>
    <definedName name="CF17_Attr_ABnk_Dem_I_EUR">#REF!</definedName>
    <definedName name="CF17_Attr_ABnk_Dem_I_OthC">#REF!</definedName>
    <definedName name="CF17_Attr_ABnk_Dem_I_RUR">#REF!</definedName>
    <definedName name="CF17_Attr_ABnk_Dem_I_USD">#REF!</definedName>
    <definedName name="CF17_Attr_ABnk_Mr360D_Am_AMD">#REF!</definedName>
    <definedName name="CF17_Attr_ABnk_Mr360D_Am_EUR">#REF!</definedName>
    <definedName name="CF17_Attr_ABnk_Mr360D_Am_OthC">#REF!</definedName>
    <definedName name="CF17_Attr_ABnk_Mr360D_Am_RUR">#REF!</definedName>
    <definedName name="CF17_Attr_ABnk_Mr360D_Am_USD">#REF!</definedName>
    <definedName name="CF17_Attr_ABnk_Mr360D_I_AMD">#REF!</definedName>
    <definedName name="CF17_Attr_ABnk_Mr360D_I_EUR">#REF!</definedName>
    <definedName name="CF17_Attr_ABnk_Mr360D_I_OthC">#REF!</definedName>
    <definedName name="CF17_Attr_ABnk_Mr360D_I_RUR">#REF!</definedName>
    <definedName name="CF17_Attr_ABnk_Mr360D_I_USD">#REF!</definedName>
    <definedName name="CF17_Attr_Bus_15D_Am_AMD">#REF!</definedName>
    <definedName name="CF17_Attr_Bus_15D_Am_EUR">#REF!</definedName>
    <definedName name="CF17_Attr_Bus_15D_Am_OthC">#REF!</definedName>
    <definedName name="CF17_Attr_Bus_15D_Am_RUR">#REF!</definedName>
    <definedName name="CF17_Attr_Bus_15D_Am_USD">#REF!</definedName>
    <definedName name="CF17_Attr_Bus_15D_I_AMD">#REF!</definedName>
    <definedName name="CF17_Attr_Bus_15D_I_EUR">#REF!</definedName>
    <definedName name="CF17_Attr_Bus_15D_I_OthC">#REF!</definedName>
    <definedName name="CF17_Attr_Bus_15D_I_RUR">#REF!</definedName>
    <definedName name="CF17_Attr_Bus_15D_I_USD">#REF!</definedName>
    <definedName name="CF17_Attr_Bus_180D_Am_AMD">#REF!</definedName>
    <definedName name="CF17_Attr_Bus_180D_Am_EUR">#REF!</definedName>
    <definedName name="CF17_Attr_Bus_180D_Am_OthC">#REF!</definedName>
    <definedName name="CF17_Attr_Bus_180D_Am_RUR">#REF!</definedName>
    <definedName name="CF17_Attr_Bus_180D_Am_USD">#REF!</definedName>
    <definedName name="CF17_Attr_Bus_180D_I_AMD">#REF!</definedName>
    <definedName name="CF17_Attr_Bus_180D_I_EUR">#REF!</definedName>
    <definedName name="CF17_Attr_Bus_180D_I_OthC">#REF!</definedName>
    <definedName name="CF17_Attr_Bus_180D_I_RUR">#REF!</definedName>
    <definedName name="CF17_Attr_Bus_180D_I_USD">#REF!</definedName>
    <definedName name="CF17_Attr_Bus_30D_Am_AMD">#REF!</definedName>
    <definedName name="CF17_Attr_Bus_30D_Am_EUR">#REF!</definedName>
    <definedName name="CF17_Attr_Bus_30D_Am_OthC">#REF!</definedName>
    <definedName name="CF17_Attr_Bus_30D_Am_RUR">#REF!</definedName>
    <definedName name="CF17_Attr_Bus_30D_Am_USD">#REF!</definedName>
    <definedName name="CF17_Attr_Bus_30D_I_AMD">#REF!</definedName>
    <definedName name="CF17_Attr_Bus_30D_I_EUR">#REF!</definedName>
    <definedName name="CF17_Attr_Bus_30D_I_OthC">#REF!</definedName>
    <definedName name="CF17_Attr_Bus_30D_I_RUR">#REF!</definedName>
    <definedName name="CF17_Attr_Bus_30D_I_USD">#REF!</definedName>
    <definedName name="CF17_Attr_Bus_360D_Am_AMD">#REF!</definedName>
    <definedName name="CF17_Attr_Bus_360D_Am_EUR">#REF!</definedName>
    <definedName name="CF17_Attr_Bus_360D_Am_OthC">#REF!</definedName>
    <definedName name="CF17_Attr_Bus_360D_Am_RUR">#REF!</definedName>
    <definedName name="CF17_Attr_Bus_360D_Am_USD">#REF!</definedName>
    <definedName name="CF17_Attr_Bus_360D_I_AMD">#REF!</definedName>
    <definedName name="CF17_Attr_Bus_360D_I_EUR">#REF!</definedName>
    <definedName name="CF17_Attr_Bus_360D_I_OthC">#REF!</definedName>
    <definedName name="CF17_Attr_Bus_360D_I_RUR">#REF!</definedName>
    <definedName name="CF17_Attr_Bus_360D_I_USD">#REF!</definedName>
    <definedName name="CF17_Attr_Bus_60D_Am_AMD">#REF!</definedName>
    <definedName name="CF17_Attr_Bus_60D_Am_EUR">#REF!</definedName>
    <definedName name="CF17_Attr_Bus_60D_Am_OthC">#REF!</definedName>
    <definedName name="CF17_Attr_Bus_60D_Am_RUR">#REF!</definedName>
    <definedName name="CF17_Attr_Bus_60D_Am_USD">#REF!</definedName>
    <definedName name="CF17_Attr_Bus_60D_I_AMD">#REF!</definedName>
    <definedName name="CF17_Attr_Bus_60D_I_EUR">#REF!</definedName>
    <definedName name="CF17_Attr_Bus_60D_I_OthC">#REF!</definedName>
    <definedName name="CF17_Attr_Bus_60D_I_RUR">#REF!</definedName>
    <definedName name="CF17_Attr_Bus_60D_I_USD">#REF!</definedName>
    <definedName name="CF17_Attr_Bus_90D_Am_AMD">#REF!</definedName>
    <definedName name="CF17_Attr_Bus_90D_Am_EUR">#REF!</definedName>
    <definedName name="CF17_Attr_Bus_90D_Am_OthC">#REF!</definedName>
    <definedName name="CF17_Attr_Bus_90D_Am_RUR">#REF!</definedName>
    <definedName name="CF17_Attr_Bus_90D_Am_USD">#REF!</definedName>
    <definedName name="CF17_Attr_Bus_90D_I_AMD">#REF!</definedName>
    <definedName name="CF17_Attr_Bus_90D_I_EUR">#REF!</definedName>
    <definedName name="CF17_Attr_Bus_90D_I_OthC">#REF!</definedName>
    <definedName name="CF17_Attr_Bus_90D_I_RUR">#REF!</definedName>
    <definedName name="CF17_Attr_Bus_90D_I_USD">#REF!</definedName>
    <definedName name="CF17_Attr_Bus_Dem_Am_AMD">#REF!</definedName>
    <definedName name="CF17_Attr_Bus_Dem_Am_EUR">#REF!</definedName>
    <definedName name="CF17_Attr_Bus_Dem_Am_OthC">#REF!</definedName>
    <definedName name="CF17_Attr_Bus_Dem_Am_RUR">#REF!</definedName>
    <definedName name="CF17_Attr_Bus_Dem_Am_USD">#REF!</definedName>
    <definedName name="CF17_Attr_Bus_Dem_I_AMD">#REF!</definedName>
    <definedName name="CF17_Attr_Bus_Dem_I_EUR">#REF!</definedName>
    <definedName name="CF17_Attr_Bus_Dem_I_OthC">#REF!</definedName>
    <definedName name="CF17_Attr_Bus_Dem_I_RUR">#REF!</definedName>
    <definedName name="CF17_Attr_Bus_Dem_I_USD">#REF!</definedName>
    <definedName name="CF17_Attr_Bus_Mr360D_Am_AMD">#REF!</definedName>
    <definedName name="CF17_Attr_Bus_Mr360D_Am_EUR">#REF!</definedName>
    <definedName name="CF17_Attr_Bus_Mr360D_Am_OthC">#REF!</definedName>
    <definedName name="CF17_Attr_Bus_Mr360D_Am_RUR">#REF!</definedName>
    <definedName name="CF17_Attr_Bus_Mr360D_Am_USD">#REF!</definedName>
    <definedName name="CF17_Attr_Bus_Mr360D_I_AMD">#REF!</definedName>
    <definedName name="CF17_Attr_Bus_Mr360D_I_EUR">#REF!</definedName>
    <definedName name="CF17_Attr_Bus_Mr360D_I_OthC">#REF!</definedName>
    <definedName name="CF17_Attr_Bus_Mr360D_I_RUR">#REF!</definedName>
    <definedName name="CF17_Attr_Bus_Mr360D_I_USD">#REF!</definedName>
    <definedName name="CF17_Attr_Ind_15D_Am_AMD">#REF!</definedName>
    <definedName name="CF17_Attr_Ind_15D_Am_EUR">#REF!</definedName>
    <definedName name="CF17_Attr_Ind_15D_Am_OthC">#REF!</definedName>
    <definedName name="CF17_Attr_Ind_15D_Am_RUR">#REF!</definedName>
    <definedName name="CF17_Attr_Ind_15D_Am_USD">#REF!</definedName>
    <definedName name="CF17_Attr_Ind_15D_I_AMD">#REF!</definedName>
    <definedName name="CF17_Attr_Ind_15D_I_EUR">#REF!</definedName>
    <definedName name="CF17_Attr_Ind_15D_I_OthC">#REF!</definedName>
    <definedName name="CF17_Attr_Ind_15D_I_RUR">#REF!</definedName>
    <definedName name="CF17_Attr_Ind_15D_I_USD">#REF!</definedName>
    <definedName name="CF17_Attr_Ind_180D_Am_AMD">#REF!</definedName>
    <definedName name="CF17_Attr_Ind_180D_Am_EUR">#REF!</definedName>
    <definedName name="CF17_Attr_Ind_180D_Am_OthC">#REF!</definedName>
    <definedName name="CF17_Attr_Ind_180D_Am_RUR">#REF!</definedName>
    <definedName name="CF17_Attr_Ind_180D_Am_USD">#REF!</definedName>
    <definedName name="CF17_Attr_Ind_180D_I_AMD">#REF!</definedName>
    <definedName name="CF17_Attr_Ind_180D_I_EUR">#REF!</definedName>
    <definedName name="CF17_Attr_Ind_180D_I_OthC">#REF!</definedName>
    <definedName name="CF17_Attr_Ind_180D_I_RUR">#REF!</definedName>
    <definedName name="CF17_Attr_Ind_180D_I_USD">#REF!</definedName>
    <definedName name="CF17_Attr_Ind_30D_Am_AMD">#REF!</definedName>
    <definedName name="CF17_Attr_Ind_30D_Am_EUR">#REF!</definedName>
    <definedName name="CF17_Attr_Ind_30D_Am_OthC">#REF!</definedName>
    <definedName name="CF17_Attr_Ind_30D_Am_RUR">#REF!</definedName>
    <definedName name="CF17_Attr_Ind_30D_Am_USD">#REF!</definedName>
    <definedName name="CF17_Attr_Ind_30D_I_AMD">#REF!</definedName>
    <definedName name="CF17_Attr_Ind_30D_I_EUR">#REF!</definedName>
    <definedName name="CF17_Attr_Ind_30D_I_OthC">#REF!</definedName>
    <definedName name="CF17_Attr_Ind_30D_I_RUR">#REF!</definedName>
    <definedName name="CF17_Attr_Ind_30D_I_USD">#REF!</definedName>
    <definedName name="CF17_Attr_Ind_360D_Am_AMD">#REF!</definedName>
    <definedName name="CF17_Attr_Ind_360D_Am_EUR">#REF!</definedName>
    <definedName name="CF17_Attr_Ind_360D_Am_OthC">#REF!</definedName>
    <definedName name="CF17_Attr_Ind_360D_Am_RUR">#REF!</definedName>
    <definedName name="CF17_Attr_Ind_360D_Am_USD">#REF!</definedName>
    <definedName name="CF17_Attr_Ind_360D_I_AMD">#REF!</definedName>
    <definedName name="CF17_Attr_Ind_360D_I_EUR">#REF!</definedName>
    <definedName name="CF17_Attr_Ind_360D_I_OthC">#REF!</definedName>
    <definedName name="CF17_Attr_Ind_360D_I_RUR">#REF!</definedName>
    <definedName name="CF17_Attr_Ind_360D_I_USD">#REF!</definedName>
    <definedName name="CF17_Attr_Ind_60D_Am_AMD">#REF!</definedName>
    <definedName name="CF17_Attr_Ind_60D_Am_EUR">#REF!</definedName>
    <definedName name="CF17_Attr_Ind_60D_Am_OthC">#REF!</definedName>
    <definedName name="CF17_Attr_Ind_60D_Am_RUR">#REF!</definedName>
    <definedName name="CF17_Attr_Ind_60D_Am_USD">#REF!</definedName>
    <definedName name="CF17_Attr_Ind_60D_I_AMD">#REF!</definedName>
    <definedName name="CF17_Attr_Ind_60D_I_EUR">#REF!</definedName>
    <definedName name="CF17_Attr_Ind_60D_I_OthC">#REF!</definedName>
    <definedName name="CF17_Attr_Ind_60D_I_RUR">#REF!</definedName>
    <definedName name="CF17_Attr_Ind_60D_I_USD">#REF!</definedName>
    <definedName name="CF17_Attr_Ind_90D_Am_AMD">#REF!</definedName>
    <definedName name="CF17_Attr_Ind_90D_Am_EUR">#REF!</definedName>
    <definedName name="CF17_Attr_Ind_90D_Am_OthC">#REF!</definedName>
    <definedName name="CF17_Attr_Ind_90D_Am_RUR">#REF!</definedName>
    <definedName name="CF17_Attr_Ind_90D_Am_USD">#REF!</definedName>
    <definedName name="CF17_Attr_Ind_90D_I_AMD">#REF!</definedName>
    <definedName name="CF17_Attr_Ind_90D_I_EUR">#REF!</definedName>
    <definedName name="CF17_Attr_Ind_90D_I_OthC">#REF!</definedName>
    <definedName name="CF17_Attr_Ind_90D_I_RUR">#REF!</definedName>
    <definedName name="CF17_Attr_Ind_90D_I_USD">#REF!</definedName>
    <definedName name="CF17_Attr_Ind_Dem_Am_AMD">#REF!</definedName>
    <definedName name="CF17_Attr_Ind_Dem_Am_EUR">#REF!</definedName>
    <definedName name="CF17_Attr_Ind_Dem_Am_OthC">#REF!</definedName>
    <definedName name="CF17_Attr_Ind_Dem_Am_RUR">#REF!</definedName>
    <definedName name="CF17_Attr_Ind_Dem_Am_USD">#REF!</definedName>
    <definedName name="CF17_Attr_Ind_Dem_I_AMD">#REF!</definedName>
    <definedName name="CF17_Attr_Ind_Dem_I_EUR">#REF!</definedName>
    <definedName name="CF17_Attr_Ind_Dem_I_OthC">#REF!</definedName>
    <definedName name="CF17_Attr_Ind_Dem_I_RUR">#REF!</definedName>
    <definedName name="CF17_Attr_Ind_Dem_I_USD">#REF!</definedName>
    <definedName name="CF17_Attr_Ind_Mr360D_Am_AMD">#REF!</definedName>
    <definedName name="CF17_Attr_Ind_Mr360D_Am_EUR">#REF!</definedName>
    <definedName name="CF17_Attr_Ind_Mr360D_Am_OthC">#REF!</definedName>
    <definedName name="CF17_Attr_Ind_Mr360D_Am_RUR">#REF!</definedName>
    <definedName name="CF17_Attr_Ind_Mr360D_Am_USD">#REF!</definedName>
    <definedName name="CF17_Attr_Ind_Mr360D_I_AMD">#REF!</definedName>
    <definedName name="CF17_Attr_Ind_Mr360D_I_EUR">#REF!</definedName>
    <definedName name="CF17_Attr_Ind_Mr360D_I_OthC">#REF!</definedName>
    <definedName name="CF17_Attr_Ind_Mr360D_I_RUR">#REF!</definedName>
    <definedName name="CF17_Attr_Ind_Mr360D_I_USD">#REF!</definedName>
    <definedName name="CF17_Attr_IndCo_Mr360D_Am_OthC">#REF!</definedName>
    <definedName name="CF17_Attr_IndCor_15D_Am_AMD">#REF!</definedName>
    <definedName name="CF17_Attr_IndCor_15D_Am_EUR">#REF!</definedName>
    <definedName name="CF17_Attr_IndCor_15D_Am_OthC">#REF!</definedName>
    <definedName name="CF17_Attr_IndCor_15D_Am_RUR">#REF!</definedName>
    <definedName name="CF17_Attr_IndCor_15D_Am_USD">#REF!</definedName>
    <definedName name="CF17_Attr_IndCor_15D_I_AMD">#REF!</definedName>
    <definedName name="CF17_Attr_IndCor_15D_I_EUR">#REF!</definedName>
    <definedName name="CF17_Attr_IndCor_15D_I_OthC">#REF!</definedName>
    <definedName name="CF17_Attr_IndCor_15D_I_RUR">#REF!</definedName>
    <definedName name="CF17_Attr_IndCor_15D_I_USD">#REF!</definedName>
    <definedName name="CF17_Attr_IndCor_180D_Am_AMD">#REF!</definedName>
    <definedName name="CF17_Attr_IndCor_180D_Am_EUR">#REF!</definedName>
    <definedName name="CF17_Attr_IndCor_180D_Am_OthC">#REF!</definedName>
    <definedName name="CF17_Attr_IndCor_180D_Am_RUR">#REF!</definedName>
    <definedName name="CF17_Attr_IndCor_180D_Am_USD">#REF!</definedName>
    <definedName name="CF17_Attr_IndCor_180D_I_AMD">#REF!</definedName>
    <definedName name="CF17_Attr_IndCor_180D_I_EUR">#REF!</definedName>
    <definedName name="CF17_Attr_IndCor_180D_I_OthC">#REF!</definedName>
    <definedName name="CF17_Attr_IndCor_180D_I_RUR">#REF!</definedName>
    <definedName name="CF17_Attr_IndCor_180D_I_USD">#REF!</definedName>
    <definedName name="CF17_Attr_IndCor_30D_Am_AMD">#REF!</definedName>
    <definedName name="CF17_Attr_IndCor_30D_Am_EUR">#REF!</definedName>
    <definedName name="CF17_Attr_IndCor_30D_Am_OthC">#REF!</definedName>
    <definedName name="CF17_Attr_IndCor_30D_Am_RUR">#REF!</definedName>
    <definedName name="CF17_Attr_IndCor_30D_Am_USD">#REF!</definedName>
    <definedName name="CF17_Attr_IndCor_30D_I_AMD">#REF!</definedName>
    <definedName name="CF17_Attr_IndCor_30D_I_EUR">#REF!</definedName>
    <definedName name="CF17_Attr_IndCor_30D_I_OthC">#REF!</definedName>
    <definedName name="CF17_Attr_IndCor_30D_I_RUR">#REF!</definedName>
    <definedName name="CF17_Attr_IndCor_30D_I_USD">#REF!</definedName>
    <definedName name="CF17_Attr_IndCor_360D_Am_AMD">#REF!</definedName>
    <definedName name="CF17_Attr_IndCor_360D_Am_EUR">#REF!</definedName>
    <definedName name="CF17_Attr_IndCor_360D_Am_OthC">#REF!</definedName>
    <definedName name="CF17_Attr_IndCor_360D_Am_RUR">#REF!</definedName>
    <definedName name="CF17_Attr_IndCor_360D_Am_USD">#REF!</definedName>
    <definedName name="CF17_Attr_IndCor_360D_I_AMD">#REF!</definedName>
    <definedName name="CF17_Attr_IndCor_360D_I_EUR">#REF!</definedName>
    <definedName name="CF17_Attr_IndCor_360D_I_OthC">#REF!</definedName>
    <definedName name="CF17_Attr_IndCor_360D_I_RUR">#REF!</definedName>
    <definedName name="CF17_Attr_IndCor_360D_I_USD">#REF!</definedName>
    <definedName name="CF17_Attr_IndCor_60D_Am_AMD">#REF!</definedName>
    <definedName name="CF17_Attr_IndCor_60D_Am_EUR">#REF!</definedName>
    <definedName name="CF17_Attr_IndCor_60D_Am_OthC">#REF!</definedName>
    <definedName name="CF17_Attr_IndCor_60D_Am_RUR">#REF!</definedName>
    <definedName name="CF17_Attr_IndCor_60D_Am_USD">#REF!</definedName>
    <definedName name="CF17_Attr_IndCor_60D_I_AMD">#REF!</definedName>
    <definedName name="CF17_Attr_IndCor_60D_I_EUR">#REF!</definedName>
    <definedName name="CF17_Attr_IndCor_60D_I_OthC">#REF!</definedName>
    <definedName name="CF17_Attr_IndCor_60D_I_RUR">#REF!</definedName>
    <definedName name="CF17_Attr_IndCor_60D_I_USD">#REF!</definedName>
    <definedName name="CF17_Attr_IndCor_90D_Am_AMD">#REF!</definedName>
    <definedName name="CF17_Attr_IndCor_90D_Am_EUR">#REF!</definedName>
    <definedName name="CF17_Attr_IndCor_90D_Am_OthC">#REF!</definedName>
    <definedName name="CF17_Attr_IndCor_90D_Am_RUR">#REF!</definedName>
    <definedName name="CF17_Attr_IndCor_90D_Am_USD">#REF!</definedName>
    <definedName name="CF17_Attr_IndCor_90D_I_AMD">#REF!</definedName>
    <definedName name="CF17_Attr_IndCor_90D_I_EUR">#REF!</definedName>
    <definedName name="CF17_Attr_IndCor_90D_I_OthC">#REF!</definedName>
    <definedName name="CF17_Attr_IndCor_90D_I_RUR">#REF!</definedName>
    <definedName name="CF17_Attr_IndCor_90D_I_USD">#REF!</definedName>
    <definedName name="CF17_Attr_IndCor_Dem_Am_AMD">#REF!</definedName>
    <definedName name="CF17_Attr_IndCor_Dem_Am_EUR">#REF!</definedName>
    <definedName name="CF17_Attr_IndCor_Dem_Am_OthC">#REF!</definedName>
    <definedName name="CF17_Attr_IndCor_Dem_Am_RUR">#REF!</definedName>
    <definedName name="CF17_Attr_IndCor_Dem_Am_USD">#REF!</definedName>
    <definedName name="CF17_Attr_IndCor_Dem_I_AMD">#REF!</definedName>
    <definedName name="CF17_Attr_IndCor_Dem_I_EUR">#REF!</definedName>
    <definedName name="CF17_Attr_IndCor_Dem_I_OthC">#REF!</definedName>
    <definedName name="CF17_Attr_IndCor_Dem_I_RUR">#REF!</definedName>
    <definedName name="CF17_Attr_IndCor_Dem_I_USD">#REF!</definedName>
    <definedName name="CF17_Attr_IndCor_Mr360D_Am_AMD">#REF!</definedName>
    <definedName name="CF17_Attr_IndCor_Mr360D_Am_EUR">#REF!</definedName>
    <definedName name="CF17_Attr_IndCor_Mr360D_Am_RUR">#REF!</definedName>
    <definedName name="CF17_Attr_IndCor_Mr360D_Am_USD">#REF!</definedName>
    <definedName name="CF17_Attr_IndCor_Mr360D_I_AMD">#REF!</definedName>
    <definedName name="CF17_Attr_IndCor_Mr360D_I_EUR">#REF!</definedName>
    <definedName name="CF17_Attr_IndCor_Mr360D_I_OthC">#REF!</definedName>
    <definedName name="CF17_Attr_IndCor_Mr360D_I_RUR">#REF!</definedName>
    <definedName name="CF17_Attr_IndCor_Mr360D_I_USD">#REF!</definedName>
    <definedName name="CF17_Attr_InterPo_Mr360D_Am_AM">#REF!</definedName>
    <definedName name="CF17_Attr_InterPo_Mr360D_Am_EU">#REF!</definedName>
    <definedName name="CF17_Attr_InterPo_Mr360D_Am_Ot">#REF!</definedName>
    <definedName name="CF17_Attr_InterPo_Mr360D_Am_RU">#REF!</definedName>
    <definedName name="CF17_Attr_InterPo_Mr360D_Am_US">#REF!</definedName>
    <definedName name="CF17_Attr_InterPo_Mr360D_I_EUR">#REF!</definedName>
    <definedName name="CF17_Attr_InterPo_Mr360D_I_Oth">#REF!</definedName>
    <definedName name="CF17_Attr_InterPo_Mr360D_I_RUR">#REF!</definedName>
    <definedName name="CF17_Attr_InterPo_Mr360D_I_USD">#REF!</definedName>
    <definedName name="CF17_Attr_InterPog_15D_Am_AMD">#REF!</definedName>
    <definedName name="CF17_Attr_InterPog_15D_Am_EUR">#REF!</definedName>
    <definedName name="CF17_Attr_InterPog_15D_Am_OthC">#REF!</definedName>
    <definedName name="CF17_Attr_InterPog_15D_Am_RUR">#REF!</definedName>
    <definedName name="CF17_Attr_InterPog_15D_Am_USD">#REF!</definedName>
    <definedName name="CF17_Attr_InterPog_15D_I_AMD">#REF!</definedName>
    <definedName name="CF17_Attr_InterPog_15D_I_EUR">#REF!</definedName>
    <definedName name="CF17_Attr_InterPog_15D_I_OthC">#REF!</definedName>
    <definedName name="CF17_Attr_InterPog_15D_I_RUR">#REF!</definedName>
    <definedName name="CF17_Attr_InterPog_15D_I_USD">#REF!</definedName>
    <definedName name="CF17_Attr_InterPog_180D_Am_AMD">#REF!</definedName>
    <definedName name="CF17_Attr_InterPog_180D_Am_EUR">#REF!</definedName>
    <definedName name="CF17_Attr_InterPog_180D_Am_Oth">#REF!</definedName>
    <definedName name="CF17_Attr_InterPog_180D_Am_RUR">#REF!</definedName>
    <definedName name="CF17_Attr_InterPog_180D_Am_USD">#REF!</definedName>
    <definedName name="CF17_Attr_InterPog_180D_I_AMD">#REF!</definedName>
    <definedName name="CF17_Attr_InterPog_180D_I_EUR">#REF!</definedName>
    <definedName name="CF17_Attr_InterPog_180D_I_OthC">#REF!</definedName>
    <definedName name="CF17_Attr_InterPog_180D_I_RUR">#REF!</definedName>
    <definedName name="CF17_Attr_InterPog_180D_I_USD">#REF!</definedName>
    <definedName name="CF17_Attr_InterPog_30D_Am_AMD">#REF!</definedName>
    <definedName name="CF17_Attr_InterPog_30D_Am_EUR">#REF!</definedName>
    <definedName name="CF17_Attr_InterPog_30D_Am_OthC">#REF!</definedName>
    <definedName name="CF17_Attr_InterPog_30D_Am_RUR">#REF!</definedName>
    <definedName name="CF17_Attr_InterPog_30D_Am_USD">#REF!</definedName>
    <definedName name="CF17_Attr_InterPog_30D_I_AMD">#REF!</definedName>
    <definedName name="CF17_Attr_InterPog_30D_I_EUR">#REF!</definedName>
    <definedName name="CF17_Attr_InterPog_30D_I_OthC">#REF!</definedName>
    <definedName name="CF17_Attr_InterPog_30D_I_RUR">#REF!</definedName>
    <definedName name="CF17_Attr_InterPog_30D_I_USD">#REF!</definedName>
    <definedName name="CF17_Attr_InterPog_360D_Am_AMD">#REF!</definedName>
    <definedName name="CF17_Attr_InterPog_360D_Am_EUR">#REF!</definedName>
    <definedName name="CF17_Attr_InterPog_360D_Am_Oth">#REF!</definedName>
    <definedName name="CF17_Attr_InterPog_360D_Am_RUR">#REF!</definedName>
    <definedName name="CF17_Attr_InterPog_360D_Am_USD">#REF!</definedName>
    <definedName name="CF17_Attr_InterPog_360D_I_AMD">#REF!</definedName>
    <definedName name="CF17_Attr_InterPog_360D_I_EUR">#REF!</definedName>
    <definedName name="CF17_Attr_InterPog_360D_I_OthC">#REF!</definedName>
    <definedName name="CF17_Attr_InterPog_360D_I_RUR">#REF!</definedName>
    <definedName name="CF17_Attr_InterPog_360D_I_USD">#REF!</definedName>
    <definedName name="CF17_Attr_InterPog_60D_Am_AMD">#REF!</definedName>
    <definedName name="CF17_Attr_InterPog_60D_Am_EUR">#REF!</definedName>
    <definedName name="CF17_Attr_InterPog_60D_Am_OthC">#REF!</definedName>
    <definedName name="CF17_Attr_InterPog_60D_Am_RUR">#REF!</definedName>
    <definedName name="CF17_Attr_InterPog_60D_Am_USD">#REF!</definedName>
    <definedName name="CF17_Attr_InterPog_60D_I_AMD">#REF!</definedName>
    <definedName name="CF17_Attr_InterPog_60D_I_EUR">#REF!</definedName>
    <definedName name="CF17_Attr_InterPog_60D_I_OthC">#REF!</definedName>
    <definedName name="CF17_Attr_InterPog_60D_I_RUR">#REF!</definedName>
    <definedName name="CF17_Attr_InterPog_60D_I_USD">#REF!</definedName>
    <definedName name="CF17_Attr_InterPog_90D_Am_AMD">#REF!</definedName>
    <definedName name="CF17_Attr_InterPog_90D_Am_EUR">#REF!</definedName>
    <definedName name="CF17_Attr_InterPog_90D_Am_OthC">#REF!</definedName>
    <definedName name="CF17_Attr_InterPog_90D_Am_RUR">#REF!</definedName>
    <definedName name="CF17_Attr_InterPog_90D_Am_USD">#REF!</definedName>
    <definedName name="CF17_Attr_InterPog_90D_I_AMD">#REF!</definedName>
    <definedName name="CF17_Attr_InterPog_90D_I_EUR">#REF!</definedName>
    <definedName name="CF17_Attr_InterPog_90D_I_OthC">#REF!</definedName>
    <definedName name="CF17_Attr_InterPog_90D_I_RUR">#REF!</definedName>
    <definedName name="CF17_Attr_InterPog_90D_I_USD">#REF!</definedName>
    <definedName name="CF17_Attr_InterPog_Dem_Am_AMD">#REF!</definedName>
    <definedName name="CF17_Attr_InterPog_Dem_Am_EUR">#REF!</definedName>
    <definedName name="CF17_Attr_InterPog_Dem_Am_OthC">#REF!</definedName>
    <definedName name="CF17_Attr_InterPog_Dem_Am_RUR">#REF!</definedName>
    <definedName name="CF17_Attr_InterPog_Dem_Am_USD">#REF!</definedName>
    <definedName name="CF17_Attr_InterPog_Dem_I_AMD">#REF!</definedName>
    <definedName name="CF17_Attr_InterPog_Dem_I_EUR">#REF!</definedName>
    <definedName name="CF17_Attr_InterPog_Dem_I_OthC">#REF!</definedName>
    <definedName name="CF17_Attr_InterPog_Dem_I_RUR">#REF!</definedName>
    <definedName name="CF17_Attr_InterPog_Dem_I_USD">#REF!</definedName>
    <definedName name="CF17_Attr_InterPog_Mr360D_I_AMD">#REF!</definedName>
    <definedName name="CF17_Attr_OthBnk_15D_Am_AMD">#REF!</definedName>
    <definedName name="CF17_Attr_OthBnk_15D_Am_EUR">#REF!</definedName>
    <definedName name="CF17_Attr_OthBnk_15D_Am_OthC">#REF!</definedName>
    <definedName name="CF17_Attr_OthBnk_15D_Am_RUR">#REF!</definedName>
    <definedName name="CF17_Attr_OthBnk_15D_Am_USD">#REF!</definedName>
    <definedName name="CF17_Attr_OthBnk_15D_I_AMD">#REF!</definedName>
    <definedName name="CF17_Attr_OthBnk_15D_I_EUR">#REF!</definedName>
    <definedName name="CF17_Attr_OthBnk_15D_I_OthC">#REF!</definedName>
    <definedName name="CF17_Attr_OthBnk_15D_I_RUR">#REF!</definedName>
    <definedName name="CF17_Attr_OthBnk_15D_I_USD">#REF!</definedName>
    <definedName name="CF17_Attr_OthBnk_180D_Am_AMD">#REF!</definedName>
    <definedName name="CF17_Attr_OthBnk_180D_Am_EUR">#REF!</definedName>
    <definedName name="CF17_Attr_OthBnk_180D_Am_OthC">#REF!</definedName>
    <definedName name="CF17_Attr_OthBnk_180D_Am_RUR">#REF!</definedName>
    <definedName name="CF17_Attr_OthBnk_180D_Am_USD">#REF!</definedName>
    <definedName name="CF17_Attr_OthBnk_180D_I_AMD">#REF!</definedName>
    <definedName name="CF17_Attr_OthBnk_180D_I_EUR">#REF!</definedName>
    <definedName name="CF17_Attr_OthBnk_180D_I_OthC">#REF!</definedName>
    <definedName name="CF17_Attr_OthBnk_180D_I_RUR">#REF!</definedName>
    <definedName name="CF17_Attr_OthBnk_180D_I_USD">#REF!</definedName>
    <definedName name="CF17_Attr_OthBnk_30D_Am_AMD">#REF!</definedName>
    <definedName name="CF17_Attr_OthBnk_30D_Am_EUR">#REF!</definedName>
    <definedName name="CF17_Attr_OthBnk_30D_Am_OthC">#REF!</definedName>
    <definedName name="CF17_Attr_OthBnk_30D_Am_RUR">#REF!</definedName>
    <definedName name="CF17_Attr_OthBnk_30D_Am_USD">#REF!</definedName>
    <definedName name="CF17_Attr_OthBnk_30D_I_AMD">#REF!</definedName>
    <definedName name="CF17_Attr_OthBnk_30D_I_EUR">#REF!</definedName>
    <definedName name="CF17_Attr_OthBnk_30D_I_OthC">#REF!</definedName>
    <definedName name="CF17_Attr_OthBnk_30D_I_RUR">#REF!</definedName>
    <definedName name="CF17_Attr_OthBnk_30D_I_USD">#REF!</definedName>
    <definedName name="CF17_Attr_OthBnk_360D_Am_AMD">#REF!</definedName>
    <definedName name="CF17_Attr_OthBnk_360D_Am_EUR">#REF!</definedName>
    <definedName name="CF17_Attr_OthBnk_360D_Am_OthC">#REF!</definedName>
    <definedName name="CF17_Attr_OthBnk_360D_Am_RUR">#REF!</definedName>
    <definedName name="CF17_Attr_OthBnk_360D_Am_USD">#REF!</definedName>
    <definedName name="CF17_Attr_OthBnk_360D_I_AMD">#REF!</definedName>
    <definedName name="CF17_Attr_OthBnk_360D_I_EUR">#REF!</definedName>
    <definedName name="CF17_Attr_OthBnk_360D_I_OthC">#REF!</definedName>
    <definedName name="CF17_Attr_OthBnk_360D_I_RUR">#REF!</definedName>
    <definedName name="CF17_Attr_OthBnk_360D_I_USD">#REF!</definedName>
    <definedName name="CF17_Attr_OthBnk_60D_Am_AMD">#REF!</definedName>
    <definedName name="CF17_Attr_OthBnk_60D_Am_EUR">#REF!</definedName>
    <definedName name="CF17_Attr_OthBnk_60D_Am_OthC">#REF!</definedName>
    <definedName name="CF17_Attr_OthBnk_60D_Am_RUR">#REF!</definedName>
    <definedName name="CF17_Attr_OthBnk_60D_Am_USD">#REF!</definedName>
    <definedName name="CF17_Attr_OthBnk_60D_I_AMD">#REF!</definedName>
    <definedName name="CF17_Attr_OthBnk_60D_I_EUR">#REF!</definedName>
    <definedName name="CF17_Attr_OthBnk_60D_I_OthC">#REF!</definedName>
    <definedName name="CF17_Attr_OthBnk_60D_I_RUR">#REF!</definedName>
    <definedName name="CF17_Attr_OthBnk_60D_I_USD">#REF!</definedName>
    <definedName name="CF17_Attr_OthBnk_90D_Am_AMD">#REF!</definedName>
    <definedName name="CF17_Attr_OthBnk_90D_Am_EUR">#REF!</definedName>
    <definedName name="CF17_Attr_OthBnk_90D_Am_OthC">#REF!</definedName>
    <definedName name="CF17_Attr_OthBnk_90D_Am_RUR">#REF!</definedName>
    <definedName name="CF17_Attr_OthBnk_90D_Am_USD">#REF!</definedName>
    <definedName name="CF17_Attr_OthBnk_90D_I_AMD">#REF!</definedName>
    <definedName name="CF17_Attr_OthBnk_90D_I_EUR">#REF!</definedName>
    <definedName name="CF17_Attr_OthBnk_90D_I_OthC">#REF!</definedName>
    <definedName name="CF17_Attr_OthBnk_90D_I_RUR">#REF!</definedName>
    <definedName name="CF17_Attr_OthBnk_90D_I_USD">#REF!</definedName>
    <definedName name="CF17_Attr_OthBnk_Dem_Am_AMD">#REF!</definedName>
    <definedName name="CF17_Attr_OthBnk_Dem_Am_EUR">#REF!</definedName>
    <definedName name="CF17_Attr_OthBnk_Dem_Am_OthC">#REF!</definedName>
    <definedName name="CF17_Attr_OthBnk_Dem_Am_RUR">#REF!</definedName>
    <definedName name="CF17_Attr_OthBnk_Dem_Am_USD">#REF!</definedName>
    <definedName name="CF17_Attr_OthBnk_Dem_I_AMD">#REF!</definedName>
    <definedName name="CF17_Attr_OthBnk_Dem_I_EUR">#REF!</definedName>
    <definedName name="CF17_Attr_OthBnk_Dem_I_OthC">#REF!</definedName>
    <definedName name="CF17_Attr_OthBnk_Dem_I_RUR">#REF!</definedName>
    <definedName name="CF17_Attr_OthBnk_Dem_I_USD">#REF!</definedName>
    <definedName name="CF17_Attr_OthBnk_Mr360D_Am_AMD">#REF!</definedName>
    <definedName name="CF17_Attr_OthBnk_Mr360D_Am_EUR">#REF!</definedName>
    <definedName name="CF17_Attr_OthBnk_Mr360D_Am_Oth">#REF!</definedName>
    <definedName name="CF17_Attr_OthBnk_Mr360D_Am_RUR">#REF!</definedName>
    <definedName name="CF17_Attr_OthBnk_Mr360D_Am_USD">#REF!</definedName>
    <definedName name="CF17_Attr_OthBnk_Mr360D_I_AMD">#REF!</definedName>
    <definedName name="CF17_Attr_OthBnk_Mr360D_I_EUR">#REF!</definedName>
    <definedName name="CF17_Attr_OthBnk_Mr360D_I_OthC">#REF!</definedName>
    <definedName name="CF17_Attr_OthBnk_Mr360D_I_RUR">#REF!</definedName>
    <definedName name="CF17_Attr_OthBnk_Mr360D_I_USD">#REF!</definedName>
    <definedName name="CF17_Attr_RRepo_15D_Am_ABnk">#REF!</definedName>
    <definedName name="CF17_Attr_RRepo_15D_Am_Bus">#REF!</definedName>
    <definedName name="CF17_Attr_RRepo_15D_Am_Ind">#REF!</definedName>
    <definedName name="CF17_Attr_RRepo_15D_Am_OthBn">#REF!</definedName>
    <definedName name="CF17_Attr_RRepo_15D_I_ABnk">#REF!</definedName>
    <definedName name="CF17_Attr_RRepo_15D_I_Bus">#REF!</definedName>
    <definedName name="CF17_Attr_RRepo_15D_I_Ind">#REF!</definedName>
    <definedName name="CF17_Attr_RRepo_15D_I_OthBn">#REF!</definedName>
    <definedName name="CF17_Attr_RRepo_180D_Am_ABnk">#REF!</definedName>
    <definedName name="CF17_Attr_RRepo_180D_Am_Bus">#REF!</definedName>
    <definedName name="CF17_Attr_RRepo_180D_Am_Ind">#REF!</definedName>
    <definedName name="CF17_Attr_RRepo_180D_Am_OthBn">#REF!</definedName>
    <definedName name="CF17_Attr_RRepo_180D_I_ABnk">#REF!</definedName>
    <definedName name="CF17_Attr_RRepo_180D_I_Bus">#REF!</definedName>
    <definedName name="CF17_Attr_RRepo_180D_I_Ind">#REF!</definedName>
    <definedName name="CF17_Attr_RRepo_180D_I_OthBn">#REF!</definedName>
    <definedName name="CF17_Attr_RRepo_30D_Am_ABnk">#REF!</definedName>
    <definedName name="CF17_Attr_RRepo_30D_Am_Bus">#REF!</definedName>
    <definedName name="CF17_Attr_RRepo_30D_Am_Ind">#REF!</definedName>
    <definedName name="CF17_Attr_RRepo_30D_Am_OthBn">#REF!</definedName>
    <definedName name="CF17_Attr_RRepo_30D_I_ABnk">#REF!</definedName>
    <definedName name="CF17_Attr_RRepo_30D_I_Bus">#REF!</definedName>
    <definedName name="CF17_Attr_RRepo_30D_I_Ind">#REF!</definedName>
    <definedName name="CF17_Attr_RRepo_30D_I_OthBn">#REF!</definedName>
    <definedName name="CF17_Attr_RRepo_360D_Am_ABnk">#REF!</definedName>
    <definedName name="CF17_Attr_RRepo_360D_Am_Bus">#REF!</definedName>
    <definedName name="CF17_Attr_RRepo_360D_Am_Ind">#REF!</definedName>
    <definedName name="CF17_Attr_RRepo_360D_Am_OthBn">#REF!</definedName>
    <definedName name="CF17_Attr_RRepo_360D_I_ABnk">#REF!</definedName>
    <definedName name="CF17_Attr_RRepo_360D_I_Bus">#REF!</definedName>
    <definedName name="CF17_Attr_RRepo_360D_I_Ind">#REF!</definedName>
    <definedName name="CF17_Attr_RRepo_360D_I_OthBn">#REF!</definedName>
    <definedName name="CF17_Attr_RRepo_60D_Am_ABnk">#REF!</definedName>
    <definedName name="CF17_Attr_RRepo_60D_Am_Bus">#REF!</definedName>
    <definedName name="CF17_Attr_RRepo_60D_Am_Ind">#REF!</definedName>
    <definedName name="CF17_Attr_RRepo_60D_Am_OthBn">#REF!</definedName>
    <definedName name="CF17_Attr_RRepo_60D_I_ABnk">#REF!</definedName>
    <definedName name="CF17_Attr_RRepo_60D_I_Bus">#REF!</definedName>
    <definedName name="CF17_Attr_RRepo_60D_I_Ind">#REF!</definedName>
    <definedName name="CF17_Attr_RRepo_60D_I_OthBn">#REF!</definedName>
    <definedName name="CF17_Attr_RRepo_90D_Am_ABnk">#REF!</definedName>
    <definedName name="CF17_Attr_RRepo_90D_Am_Bus">#REF!</definedName>
    <definedName name="CF17_Attr_RRepo_90D_Am_Ind">#REF!</definedName>
    <definedName name="CF17_Attr_RRepo_90D_Am_OthBn">#REF!</definedName>
    <definedName name="CF17_Attr_RRepo_90D_I_ABnk">#REF!</definedName>
    <definedName name="CF17_Attr_RRepo_90D_I_Bus">#REF!</definedName>
    <definedName name="CF17_Attr_RRepo_90D_I_Ind">#REF!</definedName>
    <definedName name="CF17_Attr_RRepo_90D_I_OthBn">#REF!</definedName>
    <definedName name="CF17_Attr_RRepo_Dem_Am_ABnk">#REF!</definedName>
    <definedName name="CF17_Attr_RRepo_Dem_Am_Bus">#REF!</definedName>
    <definedName name="CF17_Attr_RRepo_Dem_Am_Ind">#REF!</definedName>
    <definedName name="CF17_Attr_RRepo_Dem_Am_OthBn">#REF!</definedName>
    <definedName name="CF17_Attr_RRepo_Dem_I_ABnk">#REF!</definedName>
    <definedName name="CF17_Attr_RRepo_Dem_I_Bus">#REF!</definedName>
    <definedName name="CF17_Attr_RRepo_Dem_I_Ind">#REF!</definedName>
    <definedName name="CF17_Attr_RRepo_Dem_I_OthBn">#REF!</definedName>
    <definedName name="CF17_Attr_RRepo_Mr360D_Am_ABnk">#REF!</definedName>
    <definedName name="CF17_Attr_RRepo_Mr360D_Am_Bus">#REF!</definedName>
    <definedName name="CF17_Attr_RRepo_Mr360D_Am_Ind">#REF!</definedName>
    <definedName name="CF17_Attr_RRepo_Mr360D_Am_OthB">#REF!</definedName>
    <definedName name="CF17_Attr_RRepo_Mr360D_I_ABnk">#REF!</definedName>
    <definedName name="CF17_Attr_RRepo_Mr360D_I_Bus">#REF!</definedName>
    <definedName name="CF17_Attr_RRepo_Mr360D_I_Ind">#REF!</definedName>
    <definedName name="CF17_Attr_RRepo_Mr360D_I_OthBn">#REF!</definedName>
    <definedName name="CF17_Attr_RRepoF_Mr360D_Am">#REF!</definedName>
    <definedName name="CF17_Attr_RRepoFX_15D_Am">#REF!</definedName>
    <definedName name="CF17_Attr_RRepoFX_15D_I">#REF!</definedName>
    <definedName name="CF17_Attr_RRepoFX_180D_Am">#REF!</definedName>
    <definedName name="CF17_Attr_RRepoFX_180D_I">#REF!</definedName>
    <definedName name="CF17_Attr_RRepoFX_30D_Am">#REF!</definedName>
    <definedName name="CF17_Attr_RRepoFX_30D_I">#REF!</definedName>
    <definedName name="CF17_Attr_RRepoFX_360D_Am">#REF!</definedName>
    <definedName name="CF17_Attr_RRepoFX_360D_I">#REF!</definedName>
    <definedName name="CF17_Attr_RRepoFX_60D_Am">#REF!</definedName>
    <definedName name="CF17_Attr_RRepoFX_60D_I">#REF!</definedName>
    <definedName name="CF17_Attr_RRepoFX_90D_Am">#REF!</definedName>
    <definedName name="CF17_Attr_RRepoFX_90D_I">#REF!</definedName>
    <definedName name="CF17_Attr_RRepoFX_Dem_Am">#REF!</definedName>
    <definedName name="CF17_Attr_RRepoFX_Dem_I">#REF!</definedName>
    <definedName name="CF17_Attr_RRepoFX_Mr360D_I">#REF!</definedName>
    <definedName name="CF17_Tot_15D_Am_AMD">#REF!</definedName>
    <definedName name="CF17_Tot_15D_Am_EUR">#REF!</definedName>
    <definedName name="CF17_Tot_15D_Am_OthC">#REF!</definedName>
    <definedName name="CF17_Tot_15D_Am_RUR">#REF!</definedName>
    <definedName name="CF17_Tot_15D_Am_USD">#REF!</definedName>
    <definedName name="CF17_Tot_15D_I_AMD">#REF!</definedName>
    <definedName name="CF17_Tot_15D_I_EUR">#REF!</definedName>
    <definedName name="CF17_Tot_15D_I_OthC">#REF!</definedName>
    <definedName name="CF17_Tot_15D_I_RUR">#REF!</definedName>
    <definedName name="CF17_Tot_15D_I_USD">#REF!</definedName>
    <definedName name="CF17_Tot_180D_Am_AMD">#REF!</definedName>
    <definedName name="CF17_Tot_180D_Am_EUR">#REF!</definedName>
    <definedName name="CF17_Tot_180D_Am_OthC">#REF!</definedName>
    <definedName name="CF17_Tot_180D_Am_RUR">#REF!</definedName>
    <definedName name="CF17_Tot_180D_Am_USD">#REF!</definedName>
    <definedName name="CF17_Tot_180D_I_AMD">#REF!</definedName>
    <definedName name="CF17_Tot_180D_I_EUR">#REF!</definedName>
    <definedName name="CF17_Tot_180D_I_OthC">#REF!</definedName>
    <definedName name="CF17_Tot_180D_I_RUR">#REF!</definedName>
    <definedName name="CF17_Tot_180D_I_USD">#REF!</definedName>
    <definedName name="CF17_Tot_30D_Am_AMD">#REF!</definedName>
    <definedName name="CF17_Tot_30D_Am_EUR">#REF!</definedName>
    <definedName name="CF17_Tot_30D_Am_OthC">#REF!</definedName>
    <definedName name="CF17_Tot_30D_Am_RUR">#REF!</definedName>
    <definedName name="CF17_Tot_30D_Am_USD">#REF!</definedName>
    <definedName name="CF17_Tot_30D_I_AMD">#REF!</definedName>
    <definedName name="CF17_Tot_30D_I_EUR">#REF!</definedName>
    <definedName name="CF17_Tot_30D_I_OthC">#REF!</definedName>
    <definedName name="CF17_Tot_30D_I_RUR">#REF!</definedName>
    <definedName name="CF17_Tot_30D_I_USD">#REF!</definedName>
    <definedName name="CF17_Tot_360D_Am_AMD">#REF!</definedName>
    <definedName name="CF17_Tot_360D_Am_EUR">#REF!</definedName>
    <definedName name="CF17_Tot_360D_Am_OthC">#REF!</definedName>
    <definedName name="CF17_Tot_360D_Am_RUR">#REF!</definedName>
    <definedName name="CF17_Tot_360D_Am_USD">#REF!</definedName>
    <definedName name="CF17_Tot_360D_I_AMD">#REF!</definedName>
    <definedName name="CF17_Tot_360D_I_EUR">#REF!</definedName>
    <definedName name="CF17_Tot_360D_I_OthC">#REF!</definedName>
    <definedName name="CF17_Tot_360D_I_RUR">#REF!</definedName>
    <definedName name="CF17_Tot_360D_I_USD">#REF!</definedName>
    <definedName name="CF17_Tot_60D_Am_AMD">#REF!</definedName>
    <definedName name="CF17_Tot_60D_Am_EUR">#REF!</definedName>
    <definedName name="CF17_Tot_60D_Am_OthC">#REF!</definedName>
    <definedName name="CF17_Tot_60D_Am_RUR">#REF!</definedName>
    <definedName name="CF17_Tot_60D_Am_USD">#REF!</definedName>
    <definedName name="CF17_Tot_60D_I_AMD">#REF!</definedName>
    <definedName name="CF17_Tot_60D_I_EUR">#REF!</definedName>
    <definedName name="CF17_Tot_60D_I_OthC">#REF!</definedName>
    <definedName name="CF17_Tot_60D_I_RUR">#REF!</definedName>
    <definedName name="CF17_Tot_60D_I_USD">#REF!</definedName>
    <definedName name="CF17_Tot_90D_Am_AMD">#REF!</definedName>
    <definedName name="CF17_Tot_90D_Am_EUR">#REF!</definedName>
    <definedName name="CF17_Tot_90D_Am_OthC">#REF!</definedName>
    <definedName name="CF17_Tot_90D_Am_RUR">#REF!</definedName>
    <definedName name="CF17_Tot_90D_Am_USD">#REF!</definedName>
    <definedName name="CF17_Tot_90D_I_AMD">#REF!</definedName>
    <definedName name="CF17_Tot_90D_I_EUR">#REF!</definedName>
    <definedName name="CF17_Tot_90D_I_OthC">#REF!</definedName>
    <definedName name="CF17_Tot_90D_I_RUR">#REF!</definedName>
    <definedName name="CF17_Tot_90D_I_USD">#REF!</definedName>
    <definedName name="CF17_Tot_Dem_Am_AMD">#REF!</definedName>
    <definedName name="CF17_Tot_Dem_Am_EUR">#REF!</definedName>
    <definedName name="CF17_Tot_Dem_Am_OthC">#REF!</definedName>
    <definedName name="CF17_Tot_Dem_Am_RUR">#REF!</definedName>
    <definedName name="CF17_Tot_Dem_Am_USD">#REF!</definedName>
    <definedName name="CF17_Tot_Dem_I_AMD">#REF!</definedName>
    <definedName name="CF17_Tot_Dem_I_EUR">#REF!</definedName>
    <definedName name="CF17_Tot_Dem_I_OthC">#REF!</definedName>
    <definedName name="CF17_Tot_Dem_I_RUR">#REF!</definedName>
    <definedName name="CF17_Tot_Dem_I_USD">#REF!</definedName>
    <definedName name="CF17_Tot_Mr360D_Am_AMD">#REF!</definedName>
    <definedName name="CF17_Tot_Mr360D_Am_EUR">#REF!</definedName>
    <definedName name="CF17_Tot_Mr360D_Am_OthC">#REF!</definedName>
    <definedName name="CF17_Tot_Mr360D_Am_RUR">#REF!</definedName>
    <definedName name="CF17_Tot_Mr360D_Am_USD">#REF!</definedName>
    <definedName name="CF17_Tot_Mr360D_I_AMD">#REF!</definedName>
    <definedName name="CF17_Tot_Mr360D_I_EUR">#REF!</definedName>
    <definedName name="CF17_Tot_Mr360D_I_OthC">#REF!</definedName>
    <definedName name="CF17_Tot_Mr360D_I_RUR">#REF!</definedName>
    <definedName name="CF17_Tot_Mr360D_I_USD">#REF!</definedName>
    <definedName name="CFee">#REF!</definedName>
    <definedName name="CFF">#REF!</definedName>
    <definedName name="CFI">#REF!</definedName>
    <definedName name="Cflow_Dedn">#REF!</definedName>
    <definedName name="CFO">#REF!</definedName>
    <definedName name="CFSTATEMENT">#REF!</definedName>
    <definedName name="cghj">#REF!</definedName>
    <definedName name="cgjj">#REF!</definedName>
    <definedName name="chart3">#REF!</definedName>
    <definedName name="chart4">#REF!</definedName>
    <definedName name="ChartCaptions">#REF!</definedName>
    <definedName name="ChartCaptions2">#REF!</definedName>
    <definedName name="charte4">#REF!</definedName>
    <definedName name="ChartingLabels">#REF!</definedName>
    <definedName name="check2">#REF!</definedName>
    <definedName name="Chemicals">#REF!</definedName>
    <definedName name="Chemicals1">#REF!</definedName>
    <definedName name="CHF_EUR">#REF!</definedName>
    <definedName name="cig">#REF!</definedName>
    <definedName name="CINPUT">#REF!</definedName>
    <definedName name="circ">#REF!</definedName>
    <definedName name="cis">#REF!</definedName>
    <definedName name="ClDate">#REF!</definedName>
    <definedName name="Clean">#REF!</definedName>
    <definedName name="client">#REF!</definedName>
    <definedName name="ClientName">#REF!</definedName>
    <definedName name="Clients_Population_Total">#REF!</definedName>
    <definedName name="CLIN">#REF!</definedName>
    <definedName name="clsf">#REF!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">#REF!</definedName>
    <definedName name="COA">#REF!</definedName>
    <definedName name="cod">#REF!</definedName>
    <definedName name="Code">#REF!</definedName>
    <definedName name="Code_rang1_1">#REF!</definedName>
    <definedName name="Code_rang1_2">#REF!</definedName>
    <definedName name="Code_rang1_3">#REF!</definedName>
    <definedName name="Code_rang1_4">#REF!</definedName>
    <definedName name="Code_rang1_5">#REF!</definedName>
    <definedName name="Code_rang1_6">#REF!</definedName>
    <definedName name="Code_rang1_7">#REF!</definedName>
    <definedName name="Code_rang1_8">#REF!</definedName>
    <definedName name="Code_rang2_2">#REF!</definedName>
    <definedName name="Code_rang2_3">#REF!</definedName>
    <definedName name="Code_rang2_4">#REF!</definedName>
    <definedName name="Code_rang2_5">#REF!</definedName>
    <definedName name="Code_rang2_6">#REF!</definedName>
    <definedName name="Code_rang2_7">#REF!</definedName>
    <definedName name="Code_rang2_8">#REF!</definedName>
    <definedName name="Code_rang3_3">#REF!</definedName>
    <definedName name="Code_rang3_4">#REF!</definedName>
    <definedName name="Code_rang3_5">#REF!</definedName>
    <definedName name="Code_rang3_6">#REF!</definedName>
    <definedName name="Code_rang3_7">#REF!</definedName>
    <definedName name="Code_rang3_8">#REF!</definedName>
    <definedName name="Code_rang4_4">#REF!</definedName>
    <definedName name="Code_rang4_5">#REF!</definedName>
    <definedName name="Code_rang4_6">#REF!</definedName>
    <definedName name="Code_rang4_7">#REF!</definedName>
    <definedName name="Code_rang4_8">#REF!</definedName>
    <definedName name="Code_rang5_5">#REF!</definedName>
    <definedName name="Code_rang5_6">#REF!</definedName>
    <definedName name="Code_rang5_7">#REF!</definedName>
    <definedName name="Code_rang5_8">#REF!</definedName>
    <definedName name="Code_rang6_6">#REF!</definedName>
    <definedName name="Code_rang6_7">#REF!</definedName>
    <definedName name="Code_rang6_8">#REF!</definedName>
    <definedName name="Code_rang7_7">#REF!</definedName>
    <definedName name="Code_rang7_8">#REF!</definedName>
    <definedName name="Code_rang8_8">#REF!</definedName>
    <definedName name="codes">#REF!</definedName>
    <definedName name="codes_calc">#REF!</definedName>
    <definedName name="Codes_Markets">#REF!</definedName>
    <definedName name="Codes_Places">#REF!</definedName>
    <definedName name="Codes_Products">#REF!</definedName>
    <definedName name="Codes_Years">#REF!</definedName>
    <definedName name="COGS">#REF!</definedName>
    <definedName name="COGS_from_related_parties">#REF!</definedName>
    <definedName name="COI">#REF!</definedName>
    <definedName name="Col_B">#REF!</definedName>
    <definedName name="Col_PM">#REF!</definedName>
    <definedName name="Column">#REF!</definedName>
    <definedName name="columncell">#REF!</definedName>
    <definedName name="Combined_Book_Value_Totals">#REF!</definedName>
    <definedName name="commissengperc">#REF!</definedName>
    <definedName name="commmhrrate">#REF!</definedName>
    <definedName name="common">#REF!</definedName>
    <definedName name="Company">#REF!</definedName>
    <definedName name="CompName">#REF!</definedName>
    <definedName name="CompNameE">#REF!</definedName>
    <definedName name="CompOt">#REF!</definedName>
    <definedName name="CompRas">#REF!</definedName>
    <definedName name="Computed_Sample_Population_Total">#REF!</definedName>
    <definedName name="ComTUMAR">#REF!</definedName>
    <definedName name="Conclusion">#REF!</definedName>
    <definedName name="Cond_Price">#REF!</definedName>
    <definedName name="CondensatePrice">#REF!</definedName>
    <definedName name="CondYield">#REF!</definedName>
    <definedName name="conect_name">#REF!</definedName>
    <definedName name="connect_name">#REF!</definedName>
    <definedName name="ConsolExR">#REF!</definedName>
    <definedName name="constnsupp">#REF!</definedName>
    <definedName name="constnsuppmnhrs">#REF!</definedName>
    <definedName name="constnsupprate">#REF!</definedName>
    <definedName name="ContainerRepairCoef">#REF!</definedName>
    <definedName name="ContainersAcquisitions">#REF!</definedName>
    <definedName name="ContainersDeprRateInput">#REF!</definedName>
    <definedName name="ContainersRepairPriceInput">#REF!</definedName>
    <definedName name="ContainersResidualValueInput">#REF!</definedName>
    <definedName name="ContainersSale">#REF!</definedName>
    <definedName name="ContainersWtiteOff">#REF!</definedName>
    <definedName name="copy">#REF!</definedName>
    <definedName name="copy1">#REF!</definedName>
    <definedName name="copy1234">#REF!</definedName>
    <definedName name="corperiod">#REF!</definedName>
    <definedName name="CorporateTaxRateInput">#REF!</definedName>
    <definedName name="cost">#REF!</definedName>
    <definedName name="COST1">#REF!</definedName>
    <definedName name="CostCenterFrom">#REF!</definedName>
    <definedName name="CostCenterTo">#REF!</definedName>
    <definedName name="CostCurrentRepairIn">#REF!</definedName>
    <definedName name="CostDepotRepairsIn">#REF!</definedName>
    <definedName name="CostInsuranceIn">#REF!</definedName>
    <definedName name="Costos_Variables">#REF!</definedName>
    <definedName name="CostOtherIn">#REF!</definedName>
    <definedName name="COSTS">#REF!</definedName>
    <definedName name="CostSalaryIn">#REF!</definedName>
    <definedName name="CostServicesGrowthIn">#REF!</definedName>
    <definedName name="CostSGAGrowthIn">#REF!</definedName>
    <definedName name="CostSGAIn">#REF!</definedName>
    <definedName name="CoTaxRate">#REF!</definedName>
    <definedName name="count">#REF!</definedName>
    <definedName name="country">#REF!</definedName>
    <definedName name="Coupon_rate">#REF!</definedName>
    <definedName name="Coupon_rate_IBRD_05_2">#REF!</definedName>
    <definedName name="CPI">#REF!</definedName>
    <definedName name="CPIUSAInput">#REF!</definedName>
    <definedName name="CPIUSAInputAccumulInput">#REF!</definedName>
    <definedName name="CR">#REF!</definedName>
    <definedName name="cr_f700_________________">#REF!</definedName>
    <definedName name="craig">#REF!</definedName>
    <definedName name="credit">#REF!</definedName>
    <definedName name="crude">#REF!</definedName>
    <definedName name="csnab">#REF!</definedName>
    <definedName name="ct">#REF!</definedName>
    <definedName name="CUM_STORAGE_AKTO">#REF!</definedName>
    <definedName name="CUM_STORAGE_KAIRAN">#REF!</definedName>
    <definedName name="CUM_STORAGE_KALAM">#REF!</definedName>
    <definedName name="CUM_STORAGE_KASH">#REF!</definedName>
    <definedName name="CUM_STORAGE_KASHSW">#REF!</definedName>
    <definedName name="CUM_STORAGE_OTHER">#REF!</definedName>
    <definedName name="Cur">#REF!</definedName>
    <definedName name="Curr">#REF!</definedName>
    <definedName name="curr1">#REF!</definedName>
    <definedName name="curr2">#REF!</definedName>
    <definedName name="Currencies">#REF!</definedName>
    <definedName name="Currency">#REF!</definedName>
    <definedName name="Currency_Year">#REF!</definedName>
    <definedName name="Current">#REF!</definedName>
    <definedName name="CurrentBoxcarsTotalEoP">#REF!</definedName>
    <definedName name="CurrentContainersTotalEoP">#REF!</definedName>
    <definedName name="CurrentDumpCarsTotalEoP">#REF!</definedName>
    <definedName name="CurrentFlatcars40TotalEoP">#REF!</definedName>
    <definedName name="CurrentFlatcars80TotalEoP">#REF!</definedName>
    <definedName name="CurrentFlatcarsOtherTotalEoP">#REF!</definedName>
    <definedName name="CurrentGondolasTotalEoP">#REF!</definedName>
    <definedName name="CurrentLocomotivesTotalEoP">#REF!</definedName>
    <definedName name="CurrentLPGCarsTotalEoP">#REF!</definedName>
    <definedName name="CurrentOilCarsTotalEoP">#REF!</definedName>
    <definedName name="CurrentRepairCostBoxcars">#REF!</definedName>
    <definedName name="CurrentRepairCostContainers">#REF!</definedName>
    <definedName name="CurrentRepairCostDumpcars">#REF!</definedName>
    <definedName name="CurrentRepairCostFlatcars40">#REF!</definedName>
    <definedName name="CurrentRepairCostFlatcars80">#REF!</definedName>
    <definedName name="CurrentRepairCostFlatcarsOther">#REF!</definedName>
    <definedName name="CurrentRepairCostGondolas">#REF!</definedName>
    <definedName name="CurrentRepairCostLocomotives">#REF!</definedName>
    <definedName name="CurrentRepairCostLPG">#REF!</definedName>
    <definedName name="CurrentRepairCostOil">#REF!</definedName>
    <definedName name="CurrentRepairCostTotal">#REF!</definedName>
    <definedName name="CurrentYear">#REF!</definedName>
    <definedName name="cv">#REF!</definedName>
    <definedName name="cvhj">#REF!</definedName>
    <definedName name="cvo">#REF!</definedName>
    <definedName name="cvt">#REF!</definedName>
    <definedName name="cxx">#REF!</definedName>
    <definedName name="CY_Accounts_Receivable">#REF!</definedName>
    <definedName name="CY_Administration">#REF!</definedName>
    <definedName name="CY_all_Assets">#REF!</definedName>
    <definedName name="CY_all_Equity">#REF!</definedName>
    <definedName name="CY_all_Income">#REF!</definedName>
    <definedName name="CY_all_Liabs">#REF!</definedName>
    <definedName name="CY_all_RetEarn_bf">#REF!</definedName>
    <definedName name="CY_Cash">#REF!</definedName>
    <definedName name="CY_Cash_Div_Dec">#REF!</definedName>
    <definedName name="CY_CASH_DIVIDENDS_DECLARED__per_common_share">#REF!</definedName>
    <definedName name="CY_Common_Equity">#REF!</definedName>
    <definedName name="CY_Cost_of_Sales">#REF!</definedName>
    <definedName name="CY_Current_Liabilities">#REF!</definedName>
    <definedName name="CY_Depreciation">#REF!</definedName>
    <definedName name="CY_Earnings_per_share">#REF!</definedName>
    <definedName name="CY_Fixed_Assets">#REF!</definedName>
    <definedName name="CY_Gross_Profit">#REF!</definedName>
    <definedName name="CY_Inc_Bef_Tax">#REF!</definedName>
    <definedName name="CY_Income_Tax_Exp">#REF!</definedName>
    <definedName name="CY_Intangible_Assets">#REF!</definedName>
    <definedName name="CY_Interest_Expense">#REF!</definedName>
    <definedName name="CY_Interest_Income">#REF!</definedName>
    <definedName name="CY_Inventories">#REF!</definedName>
    <definedName name="CY_Inventory">#REF!</definedName>
    <definedName name="CY_knw_Assets">#REF!</definedName>
    <definedName name="CY_knw_Equity">#REF!</definedName>
    <definedName name="CY_knw_Income">#REF!</definedName>
    <definedName name="CY_knw_Liabs">#REF!</definedName>
    <definedName name="CY_knw_RetEarn_bf">#REF!</definedName>
    <definedName name="CY_LIABIL_EQUITY">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LT_Debt">#REF!</definedName>
    <definedName name="CY_LT_Loans">#REF!</definedName>
    <definedName name="CY_Market_Value_of_Equity">#REF!</definedName>
    <definedName name="CY_Marketable_Sec">#REF!</definedName>
    <definedName name="CY_NET_INCOME">#REF!</definedName>
    <definedName name="CY_NET_PROFIT">#REF!</definedName>
    <definedName name="CY_Net_Revenue">#REF!</definedName>
    <definedName name="CY_Operating_Income">#REF!</definedName>
    <definedName name="CY_Other">#REF!</definedName>
    <definedName name="CY_Other_Curr_Assets">#REF!</definedName>
    <definedName name="CY_Other_LT_Assets">#REF!</definedName>
    <definedName name="CY_Other_LT_Liabilities">#REF!</definedName>
    <definedName name="CY_Other_Opex">#REF!</definedName>
    <definedName name="CY_Preferred_Stock">#REF!</definedName>
    <definedName name="CY_QUICK_ASSETS">#REF!</definedName>
    <definedName name="CY_Retained_Earnings">#REF!</definedName>
    <definedName name="CY_Revenues">#REF!</definedName>
    <definedName name="CY_Selling">#REF!</definedName>
    <definedName name="CY_Selling_Gen_Admin">#REF!</definedName>
    <definedName name="CY_ST_Investments">#REF!</definedName>
    <definedName name="CY_ST_Loans">#REF!</definedName>
    <definedName name="CY_Tangible_Assets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_Weighted_Average">#REF!</definedName>
    <definedName name="CY_Working_Capital">#REF!</definedName>
    <definedName name="cyp">#REF!</definedName>
    <definedName name="Czech_Republic_CPI">#REF!</definedName>
    <definedName name="czhs">#REF!</definedName>
    <definedName name="D">#REF!</definedName>
    <definedName name="D__Capital_Expenditure__REAL____000">#REF!</definedName>
    <definedName name="D_A">#REF!</definedName>
    <definedName name="d23e">#REF!</definedName>
    <definedName name="da">#REF!</definedName>
    <definedName name="DAFE">#REF!</definedName>
    <definedName name="Daily_coupon">#REF!</definedName>
    <definedName name="Daily_coupon_04">#REF!</definedName>
    <definedName name="Daily_coupon_07">#REF!</definedName>
    <definedName name="Daily_coupon_IBRD_05_2">#REF!</definedName>
    <definedName name="DamodaranList">#REF!</definedName>
    <definedName name="dat">#REF!</definedName>
    <definedName name="Data">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ATA_DD">#REF!</definedName>
    <definedName name="Data_This_Values">#REF!</definedName>
    <definedName name="Data_Year">#REF!</definedName>
    <definedName name="Data1">#REF!</definedName>
    <definedName name="DATA15">#REF!</definedName>
    <definedName name="data2">#REF!</definedName>
    <definedName name="data3">#REF!</definedName>
    <definedName name="DataBurokrat">#REF!</definedName>
    <definedName name="DataSet">#REF!</definedName>
    <definedName name="Date">#REF!</definedName>
    <definedName name="Date_from">#REF!</definedName>
    <definedName name="Date_of_Maturity">#REF!</definedName>
    <definedName name="Date_of_Purchase">#REF!</definedName>
    <definedName name="Date_Until">#REF!</definedName>
    <definedName name="Date1">#REF!</definedName>
    <definedName name="Date2">#REF!</definedName>
    <definedName name="dateText">#REF!</definedName>
    <definedName name="DATOS">#REF!</definedName>
    <definedName name="datos_1">#REF!</definedName>
    <definedName name="datos_2">#REF!</definedName>
    <definedName name="datos_3">#REF!</definedName>
    <definedName name="DayGraph">#REF!</definedName>
    <definedName name="Days">#REF!</definedName>
    <definedName name="DaysCurrentRepInput">#REF!</definedName>
    <definedName name="DaysDepotInput">#REF!</definedName>
    <definedName name="DaysOverhaulInput">#REF!</definedName>
    <definedName name="dbo_PA040200">#REF!</definedName>
    <definedName name="DD">#REF!</definedName>
    <definedName name="dd23d32">#REF!</definedName>
    <definedName name="DDABoxcars">#REF!</definedName>
    <definedName name="DDAContainers">#REF!</definedName>
    <definedName name="DDADumpcars">#REF!</definedName>
    <definedName name="DDAFlatcars40">#REF!</definedName>
    <definedName name="DDAFlatcars80">#REF!</definedName>
    <definedName name="DDAFlatcarsOther">#REF!</definedName>
    <definedName name="DDAGondolas">#REF!</definedName>
    <definedName name="DDALocomotives">#REF!</definedName>
    <definedName name="DDALPG">#REF!</definedName>
    <definedName name="DDAOil">#REF!</definedName>
    <definedName name="DDAOtherAssets">#REF!</definedName>
    <definedName name="DDAPlatformsTotal">#REF!</definedName>
    <definedName name="DDARailcars">#REF!</definedName>
    <definedName name="DDARollingStock">#REF!</definedName>
    <definedName name="DDATotal">#REF!</definedName>
    <definedName name="dddd">#REF!</definedName>
    <definedName name="ddddd">#REF!</definedName>
    <definedName name="ddperc">#REF!</definedName>
    <definedName name="ddrate">#REF!</definedName>
    <definedName name="ddsf">#REF!</definedName>
    <definedName name="debit">#REF!</definedName>
    <definedName name="DebtDisbursment">#REF!</definedName>
    <definedName name="DebtRepayment">#REF!</definedName>
    <definedName name="Dec_Hulse">#REF!</definedName>
    <definedName name="Dec_Noble">#REF!</definedName>
    <definedName name="deckcost">#REF!</definedName>
    <definedName name="deckweight">#REF!</definedName>
    <definedName name="def_gen_book">#REF!</definedName>
    <definedName name="def_templ_book">#REF!</definedName>
    <definedName name="default">#REF!</definedName>
    <definedName name="Delay_Factor">#REF!</definedName>
    <definedName name="DELTA">#REF!</definedName>
    <definedName name="DEPN">#REF!</definedName>
    <definedName name="DepotBoxcarsTotalEoP">#REF!</definedName>
    <definedName name="DepotDumpCarsTotalEoP">#REF!</definedName>
    <definedName name="DepotFlatcars40TotalEoP">#REF!</definedName>
    <definedName name="DepotFlatcars80TotalEoP">#REF!</definedName>
    <definedName name="DepotFlatcarsOtherTotalEoP">#REF!</definedName>
    <definedName name="DepotGondolasTotalEoP">#REF!</definedName>
    <definedName name="DepotLocomotivesTotalEoP">#REF!</definedName>
    <definedName name="DepotLPGCarsTotalEoP">#REF!</definedName>
    <definedName name="DepotOilCarsTotalEoP">#REF!</definedName>
    <definedName name="DepotRepairCostBoxcars">#REF!</definedName>
    <definedName name="DepotRepairCostDumpcars">#REF!</definedName>
    <definedName name="DepotRepairCostFlatcars40">#REF!</definedName>
    <definedName name="DepotRepairCostFlatcars80">#REF!</definedName>
    <definedName name="DepotRepairCostFlatcarsOther">#REF!</definedName>
    <definedName name="DepotRepairCostGondolas">#REF!</definedName>
    <definedName name="DepotRepairCostLocomotives">#REF!</definedName>
    <definedName name="DepotRepairCostLPG">#REF!</definedName>
    <definedName name="DepotRepairCostOil">#REF!</definedName>
    <definedName name="DepotRepairCostTotal">#REF!</definedName>
    <definedName name="DeprecCharge">#REF!</definedName>
    <definedName name="DeprecConstIn">#REF!</definedName>
    <definedName name="Depreciation_OGA">#REF!</definedName>
    <definedName name="Depreciation_PPE">#REF!</definedName>
    <definedName name="DeprecRateIn">#REF!</definedName>
    <definedName name="DESCRIP">#REF!</definedName>
    <definedName name="df">#REF!</definedName>
    <definedName name="DF17_Alloc_ABnk_15D_Am_AMD">#REF!</definedName>
    <definedName name="DF17_Alloc_ABnk_15D_Am_EUR">#REF!</definedName>
    <definedName name="DF17_Alloc_ABnk_15D_Am_OthC">#REF!</definedName>
    <definedName name="DF17_Alloc_ABnk_15D_Am_RUR">#REF!</definedName>
    <definedName name="DF17_Alloc_ABnk_15D_Am_USD">#REF!</definedName>
    <definedName name="DF17_Alloc_ABnk_15D_I_AMD">#REF!</definedName>
    <definedName name="DF17_Alloc_ABnk_15D_I_EUR">#REF!</definedName>
    <definedName name="DF17_Alloc_ABnk_15D_I_OthC">#REF!</definedName>
    <definedName name="DF17_Alloc_ABnk_15D_I_RUR">#REF!</definedName>
    <definedName name="DF17_Alloc_ABnk_15D_I_USD">#REF!</definedName>
    <definedName name="DF17_Alloc_ABnk_180D_Am_AMD">#REF!</definedName>
    <definedName name="DF17_Alloc_ABnk_180D_Am_EUR">#REF!</definedName>
    <definedName name="DF17_Alloc_ABnk_180D_Am_OthC">#REF!</definedName>
    <definedName name="DF17_Alloc_ABnk_180D_Am_RUR">#REF!</definedName>
    <definedName name="DF17_Alloc_ABnk_180D_Am_USD">#REF!</definedName>
    <definedName name="DF17_Alloc_ABnk_180D_I_AMD">#REF!</definedName>
    <definedName name="DF17_Alloc_ABnk_180D_I_EUR">#REF!</definedName>
    <definedName name="DF17_Alloc_ABnk_180D_I_OthC">#REF!</definedName>
    <definedName name="DF17_Alloc_ABnk_180D_I_RUR">#REF!</definedName>
    <definedName name="DF17_Alloc_ABnk_180D_I_USD">#REF!</definedName>
    <definedName name="DF17_Alloc_ABnk_30D_Am_AMD">#REF!</definedName>
    <definedName name="DF17_Alloc_ABnk_30D_Am_EUR">#REF!</definedName>
    <definedName name="DF17_Alloc_ABnk_30D_Am_OthC">#REF!</definedName>
    <definedName name="DF17_Alloc_ABnk_30D_Am_RUR">#REF!</definedName>
    <definedName name="DF17_Alloc_ABnk_30D_Am_USD">#REF!</definedName>
    <definedName name="DF17_Alloc_ABnk_30D_I_AMD">#REF!</definedName>
    <definedName name="DF17_Alloc_ABnk_30D_I_EUR">#REF!</definedName>
    <definedName name="DF17_Alloc_ABnk_30D_I_OthC">#REF!</definedName>
    <definedName name="DF17_Alloc_ABnk_30D_I_RUR">#REF!</definedName>
    <definedName name="DF17_Alloc_ABnk_30D_I_USD">#REF!</definedName>
    <definedName name="DF17_Alloc_ABnk_360D_Am_AMD">#REF!</definedName>
    <definedName name="DF17_Alloc_ABnk_360D_Am_EUR">#REF!</definedName>
    <definedName name="DF17_Alloc_ABnk_360D_Am_OthC">#REF!</definedName>
    <definedName name="DF17_Alloc_ABnk_360D_Am_RUR">#REF!</definedName>
    <definedName name="DF17_Alloc_ABnk_360D_Am_USD">#REF!</definedName>
    <definedName name="DF17_Alloc_ABnk_360D_I_AMD">#REF!</definedName>
    <definedName name="DF17_Alloc_ABnk_360D_I_EUR">#REF!</definedName>
    <definedName name="DF17_Alloc_ABnk_360D_I_OthC">#REF!</definedName>
    <definedName name="DF17_Alloc_ABnk_360D_I_RUR">#REF!</definedName>
    <definedName name="DF17_Alloc_ABnk_360D_I_USD">#REF!</definedName>
    <definedName name="DF17_Alloc_ABnk_60D_Am_AMD">#REF!</definedName>
    <definedName name="DF17_Alloc_ABnk_60D_Am_EUR">#REF!</definedName>
    <definedName name="DF17_Alloc_ABnk_60D_Am_OthC">#REF!</definedName>
    <definedName name="DF17_Alloc_ABnk_60D_Am_RUR">#REF!</definedName>
    <definedName name="DF17_Alloc_ABnk_60D_Am_USD">#REF!</definedName>
    <definedName name="DF17_Alloc_ABnk_60D_I_AMD">#REF!</definedName>
    <definedName name="DF17_Alloc_ABnk_60D_I_EUR">#REF!</definedName>
    <definedName name="DF17_Alloc_ABnk_60D_I_OthC">#REF!</definedName>
    <definedName name="DF17_Alloc_ABnk_60D_I_RUR">#REF!</definedName>
    <definedName name="DF17_Alloc_ABnk_60D_I_USD">#REF!</definedName>
    <definedName name="DF17_Alloc_ABnk_90D_Am_AMD">#REF!</definedName>
    <definedName name="DF17_Alloc_ABnk_90D_Am_EUR">#REF!</definedName>
    <definedName name="DF17_Alloc_ABnk_90D_Am_OthC">#REF!</definedName>
    <definedName name="DF17_Alloc_ABnk_90D_Am_RUR">#REF!</definedName>
    <definedName name="DF17_Alloc_ABnk_90D_Am_USD">#REF!</definedName>
    <definedName name="DF17_Alloc_ABnk_90D_I_AMD">#REF!</definedName>
    <definedName name="DF17_Alloc_ABnk_90D_I_EUR">#REF!</definedName>
    <definedName name="DF17_Alloc_ABnk_90D_I_OthC">#REF!</definedName>
    <definedName name="DF17_Alloc_ABnk_90D_I_RUR">#REF!</definedName>
    <definedName name="DF17_Alloc_ABnk_90D_I_USD">#REF!</definedName>
    <definedName name="DF17_Alloc_ABnk_Dem_Am_AMD">#REF!</definedName>
    <definedName name="DF17_Alloc_ABnk_Dem_Am_EUR">#REF!</definedName>
    <definedName name="DF17_Alloc_ABnk_Dem_Am_OthC">#REF!</definedName>
    <definedName name="DF17_Alloc_ABnk_Dem_Am_RUR">#REF!</definedName>
    <definedName name="DF17_Alloc_ABnk_Dem_Am_USD">#REF!</definedName>
    <definedName name="DF17_Alloc_ABnk_Dem_I_AMD">#REF!</definedName>
    <definedName name="DF17_Alloc_ABnk_Dem_I_EUR">#REF!</definedName>
    <definedName name="DF17_Alloc_ABnk_Dem_I_OthC">#REF!</definedName>
    <definedName name="DF17_Alloc_ABnk_Dem_I_RUR">#REF!</definedName>
    <definedName name="DF17_Alloc_ABnk_Dem_I_USD">#REF!</definedName>
    <definedName name="DF17_Alloc_ABnk_Mr360D_Am_AMD">#REF!</definedName>
    <definedName name="DF17_Alloc_ABnk_Mr360D_Am_EUR">#REF!</definedName>
    <definedName name="DF17_Alloc_ABnk_Mr360D_Am_OthC">#REF!</definedName>
    <definedName name="DF17_Alloc_ABnk_Mr360D_Am_RUR">#REF!</definedName>
    <definedName name="DF17_Alloc_ABnk_Mr360D_Am_USD">#REF!</definedName>
    <definedName name="DF17_Alloc_ABnk_Mr360D_I_AMD">#REF!</definedName>
    <definedName name="DF17_Alloc_ABnk_Mr360D_I_EUR">#REF!</definedName>
    <definedName name="DF17_Alloc_ABnk_Mr360D_I_OthC">#REF!</definedName>
    <definedName name="DF17_Alloc_ABnk_Mr360D_I_RUR">#REF!</definedName>
    <definedName name="DF17_Alloc_ABnk_Mr360D_I_USD">#REF!</definedName>
    <definedName name="DF17_Alloc_Bus_15D_Am_AMD">#REF!</definedName>
    <definedName name="DF17_Alloc_Bus_15D_Am_EUR">#REF!</definedName>
    <definedName name="DF17_Alloc_Bus_15D_Am_OthC">#REF!</definedName>
    <definedName name="DF17_Alloc_Bus_15D_Am_RUR">#REF!</definedName>
    <definedName name="DF17_Alloc_Bus_15D_Am_USD">#REF!</definedName>
    <definedName name="DF17_Alloc_Bus_15D_I_AMD">#REF!</definedName>
    <definedName name="DF17_Alloc_Bus_15D_I_EUR">#REF!</definedName>
    <definedName name="DF17_Alloc_Bus_15D_I_OthC">#REF!</definedName>
    <definedName name="DF17_Alloc_Bus_15D_I_RUR">#REF!</definedName>
    <definedName name="DF17_Alloc_Bus_15D_I_USD">#REF!</definedName>
    <definedName name="DF17_Alloc_Bus_180D_Am_AMD">#REF!</definedName>
    <definedName name="DF17_Alloc_Bus_180D_Am_EUR">#REF!</definedName>
    <definedName name="DF17_Alloc_Bus_180D_Am_OthC">#REF!</definedName>
    <definedName name="DF17_Alloc_Bus_180D_Am_RUR">#REF!</definedName>
    <definedName name="DF17_Alloc_Bus_180D_Am_USD">#REF!</definedName>
    <definedName name="DF17_Alloc_Bus_180D_I_AMD">#REF!</definedName>
    <definedName name="DF17_Alloc_Bus_180D_I_EUR">#REF!</definedName>
    <definedName name="DF17_Alloc_Bus_180D_I_OthC">#REF!</definedName>
    <definedName name="DF17_Alloc_Bus_180D_I_RUR">#REF!</definedName>
    <definedName name="DF17_Alloc_Bus_180D_I_USD">#REF!</definedName>
    <definedName name="DF17_Alloc_Bus_30D_Am_AMD">#REF!</definedName>
    <definedName name="DF17_Alloc_Bus_30D_Am_EUR">#REF!</definedName>
    <definedName name="DF17_Alloc_Bus_30D_Am_OthC">#REF!</definedName>
    <definedName name="DF17_Alloc_Bus_30D_Am_RUR">#REF!</definedName>
    <definedName name="DF17_Alloc_Bus_30D_Am_USD">#REF!</definedName>
    <definedName name="DF17_Alloc_Bus_30D_I_AMD">#REF!</definedName>
    <definedName name="DF17_Alloc_Bus_30D_I_EUR">#REF!</definedName>
    <definedName name="DF17_Alloc_Bus_30D_I_OthC">#REF!</definedName>
    <definedName name="DF17_Alloc_Bus_30D_I_RUR">#REF!</definedName>
    <definedName name="DF17_Alloc_Bus_30D_I_USD">#REF!</definedName>
    <definedName name="DF17_Alloc_Bus_360D_Am_AMD">#REF!</definedName>
    <definedName name="DF17_Alloc_Bus_360D_Am_EUR">#REF!</definedName>
    <definedName name="DF17_Alloc_Bus_360D_Am_OthC">#REF!</definedName>
    <definedName name="DF17_Alloc_Bus_360D_Am_RUR">#REF!</definedName>
    <definedName name="DF17_Alloc_Bus_360D_Am_USD">#REF!</definedName>
    <definedName name="DF17_Alloc_Bus_360D_I_AMD">#REF!</definedName>
    <definedName name="DF17_Alloc_Bus_360D_I_EUR">#REF!</definedName>
    <definedName name="DF17_Alloc_Bus_360D_I_OthC">#REF!</definedName>
    <definedName name="DF17_Alloc_Bus_360D_I_RUR">#REF!</definedName>
    <definedName name="DF17_Alloc_Bus_360D_I_USD">#REF!</definedName>
    <definedName name="DF17_Alloc_Bus_60D_Am_AMD">#REF!</definedName>
    <definedName name="DF17_Alloc_Bus_60D_Am_EUR">#REF!</definedName>
    <definedName name="DF17_Alloc_Bus_60D_Am_OthC">#REF!</definedName>
    <definedName name="DF17_Alloc_Bus_60D_Am_RUR">#REF!</definedName>
    <definedName name="DF17_Alloc_Bus_60D_Am_USD">#REF!</definedName>
    <definedName name="DF17_Alloc_Bus_60D_I_AMD">#REF!</definedName>
    <definedName name="DF17_Alloc_Bus_60D_I_EUR">#REF!</definedName>
    <definedName name="DF17_Alloc_Bus_60D_I_OthC">#REF!</definedName>
    <definedName name="DF17_Alloc_Bus_60D_I_RUR">#REF!</definedName>
    <definedName name="DF17_Alloc_Bus_60D_I_USD">#REF!</definedName>
    <definedName name="DF17_Alloc_Bus_90D_Am_AMD">#REF!</definedName>
    <definedName name="DF17_Alloc_Bus_90D_Am_EUR">#REF!</definedName>
    <definedName name="DF17_Alloc_Bus_90D_Am_OthC">#REF!</definedName>
    <definedName name="DF17_Alloc_Bus_90D_Am_RUR">#REF!</definedName>
    <definedName name="DF17_Alloc_Bus_90D_Am_USD">#REF!</definedName>
    <definedName name="DF17_Alloc_Bus_90D_I_AMD">#REF!</definedName>
    <definedName name="DF17_Alloc_Bus_90D_I_EUR">#REF!</definedName>
    <definedName name="DF17_Alloc_Bus_90D_I_OthC">#REF!</definedName>
    <definedName name="DF17_Alloc_Bus_90D_I_RUR">#REF!</definedName>
    <definedName name="DF17_Alloc_Bus_90D_I_USD">#REF!</definedName>
    <definedName name="DF17_Alloc_Bus_Dem_Am_AMD">#REF!</definedName>
    <definedName name="DF17_Alloc_Bus_Dem_Am_EUR">#REF!</definedName>
    <definedName name="DF17_Alloc_Bus_Dem_Am_OthC">#REF!</definedName>
    <definedName name="DF17_Alloc_Bus_Dem_Am_RUR">#REF!</definedName>
    <definedName name="DF17_Alloc_Bus_Dem_Am_USD">#REF!</definedName>
    <definedName name="DF17_Alloc_Bus_Dem_I_AMD">#REF!</definedName>
    <definedName name="DF17_Alloc_Bus_Dem_I_EUR">#REF!</definedName>
    <definedName name="DF17_Alloc_Bus_Dem_I_OthC">#REF!</definedName>
    <definedName name="DF17_Alloc_Bus_Dem_I_RUR">#REF!</definedName>
    <definedName name="DF17_Alloc_Bus_Dem_I_USD">#REF!</definedName>
    <definedName name="DF17_Alloc_Bus_Mr360D_Am_AMD">#REF!</definedName>
    <definedName name="DF17_Alloc_Bus_Mr360D_Am_EUR">#REF!</definedName>
    <definedName name="DF17_Alloc_Bus_Mr360D_Am_OthC">#REF!</definedName>
    <definedName name="DF17_Alloc_Bus_Mr360D_Am_RUR">#REF!</definedName>
    <definedName name="DF17_Alloc_Bus_Mr360D_Am_USD">#REF!</definedName>
    <definedName name="DF17_Alloc_Bus_Mr360D_I_AMD">#REF!</definedName>
    <definedName name="DF17_Alloc_Bus_Mr360D_I_EUR">#REF!</definedName>
    <definedName name="DF17_Alloc_Bus_Mr360D_I_OthC">#REF!</definedName>
    <definedName name="DF17_Alloc_Bus_Mr360D_I_RUR">#REF!</definedName>
    <definedName name="DF17_Alloc_Bus_Mr360D_I_USD">#REF!</definedName>
    <definedName name="DF17_Alloc_GovG_15D_Am_AMD">#REF!</definedName>
    <definedName name="DF17_Alloc_GovG_15D_Am_EUR">#REF!</definedName>
    <definedName name="DF17_Alloc_GovG_15D_Am_OthC">#REF!</definedName>
    <definedName name="DF17_Alloc_GovG_15D_Am_RUR">#REF!</definedName>
    <definedName name="DF17_Alloc_GovG_15D_Am_USD">#REF!</definedName>
    <definedName name="DF17_Alloc_GovG_15D_I_AMD">#REF!</definedName>
    <definedName name="DF17_Alloc_GovG_15D_I_EUR">#REF!</definedName>
    <definedName name="DF17_Alloc_GovG_15D_I_OthC">#REF!</definedName>
    <definedName name="DF17_Alloc_GovG_15D_I_RUR">#REF!</definedName>
    <definedName name="DF17_Alloc_GovG_15D_I_USD">#REF!</definedName>
    <definedName name="DF17_Alloc_GovG_180D_Am_AMD">#REF!</definedName>
    <definedName name="DF17_Alloc_GovG_180D_Am_EUR">#REF!</definedName>
    <definedName name="DF17_Alloc_GovG_180D_Am_OthC">#REF!</definedName>
    <definedName name="DF17_Alloc_GovG_180D_Am_RUR">#REF!</definedName>
    <definedName name="DF17_Alloc_GovG_180D_Am_USD">#REF!</definedName>
    <definedName name="DF17_Alloc_GovG_180D_I_AMD">#REF!</definedName>
    <definedName name="DF17_Alloc_GovG_180D_I_EUR">#REF!</definedName>
    <definedName name="DF17_Alloc_GovG_180D_I_OthC">#REF!</definedName>
    <definedName name="DF17_Alloc_GovG_180D_I_RUR">#REF!</definedName>
    <definedName name="DF17_Alloc_GovG_180D_I_USD">#REF!</definedName>
    <definedName name="DF17_Alloc_GovG_30D_Am_AMD">#REF!</definedName>
    <definedName name="DF17_Alloc_GovG_30D_Am_EUR">#REF!</definedName>
    <definedName name="DF17_Alloc_GovG_30D_Am_OthC">#REF!</definedName>
    <definedName name="DF17_Alloc_GovG_30D_Am_RUR">#REF!</definedName>
    <definedName name="DF17_Alloc_GovG_30D_Am_USD">#REF!</definedName>
    <definedName name="DF17_Alloc_GovG_30D_I_AMD">#REF!</definedName>
    <definedName name="DF17_Alloc_GovG_30D_I_EUR">#REF!</definedName>
    <definedName name="DF17_Alloc_GovG_30D_I_OthC">#REF!</definedName>
    <definedName name="DF17_Alloc_GovG_30D_I_RUR">#REF!</definedName>
    <definedName name="DF17_Alloc_GovG_30D_I_USD">#REF!</definedName>
    <definedName name="DF17_Alloc_GovG_360D_Am_AMD">#REF!</definedName>
    <definedName name="DF17_Alloc_GovG_360D_Am_EUR">#REF!</definedName>
    <definedName name="DF17_Alloc_GovG_360D_Am_OthC">#REF!</definedName>
    <definedName name="DF17_Alloc_GovG_360D_Am_RUR">#REF!</definedName>
    <definedName name="DF17_Alloc_GovG_360D_Am_USD">#REF!</definedName>
    <definedName name="DF17_Alloc_GovG_360D_I_AMD">#REF!</definedName>
    <definedName name="DF17_Alloc_GovG_360D_I_EUR">#REF!</definedName>
    <definedName name="DF17_Alloc_GovG_360D_I_OthC">#REF!</definedName>
    <definedName name="DF17_Alloc_GovG_360D_I_RUR">#REF!</definedName>
    <definedName name="DF17_Alloc_GovG_360D_I_USD">#REF!</definedName>
    <definedName name="DF17_Alloc_GovG_60D_Am_AMD">#REF!</definedName>
    <definedName name="DF17_Alloc_GovG_60D_Am_EUR">#REF!</definedName>
    <definedName name="DF17_Alloc_GovG_60D_Am_OthC">#REF!</definedName>
    <definedName name="DF17_Alloc_GovG_60D_Am_RUR">#REF!</definedName>
    <definedName name="DF17_Alloc_GovG_60D_Am_USD">#REF!</definedName>
    <definedName name="DF17_Alloc_GovG_60D_I_AMD">#REF!</definedName>
    <definedName name="DF17_Alloc_GovG_60D_I_EUR">#REF!</definedName>
    <definedName name="DF17_Alloc_GovG_60D_I_OthC">#REF!</definedName>
    <definedName name="DF17_Alloc_GovG_60D_I_RUR">#REF!</definedName>
    <definedName name="DF17_Alloc_GovG_60D_I_USD">#REF!</definedName>
    <definedName name="DF17_Alloc_GovG_90D_Am_AMD">#REF!</definedName>
    <definedName name="DF17_Alloc_GovG_90D_Am_EUR">#REF!</definedName>
    <definedName name="DF17_Alloc_GovG_90D_Am_OthC">#REF!</definedName>
    <definedName name="DF17_Alloc_GovG_90D_Am_RUR">#REF!</definedName>
    <definedName name="DF17_Alloc_GovG_90D_Am_USD">#REF!</definedName>
    <definedName name="DF17_Alloc_GovG_90D_I_AMD">#REF!</definedName>
    <definedName name="DF17_Alloc_GovG_90D_I_EUR">#REF!</definedName>
    <definedName name="DF17_Alloc_GovG_90D_I_OthC">#REF!</definedName>
    <definedName name="DF17_Alloc_GovG_90D_I_RUR">#REF!</definedName>
    <definedName name="DF17_Alloc_GovG_90D_I_USD">#REF!</definedName>
    <definedName name="DF17_Alloc_GovG_Dem_Am_AMD">#REF!</definedName>
    <definedName name="DF17_Alloc_GovG_Dem_Am_EUR">#REF!</definedName>
    <definedName name="DF17_Alloc_GovG_Dem_Am_OthC">#REF!</definedName>
    <definedName name="DF17_Alloc_GovG_Dem_Am_RUR">#REF!</definedName>
    <definedName name="DF17_Alloc_GovG_Dem_Am_USD">#REF!</definedName>
    <definedName name="DF17_Alloc_GovG_Dem_I_AMD">#REF!</definedName>
    <definedName name="DF17_Alloc_GovG_Dem_I_EUR">#REF!</definedName>
    <definedName name="DF17_Alloc_GovG_Dem_I_OthC">#REF!</definedName>
    <definedName name="DF17_Alloc_GovG_Dem_I_RUR">#REF!</definedName>
    <definedName name="DF17_Alloc_GovG_Dem_I_USD">#REF!</definedName>
    <definedName name="DF17_Alloc_GovG_Mr360D_Am_AMD">#REF!</definedName>
    <definedName name="DF17_Alloc_GovG_Mr360D_Am_EUR">#REF!</definedName>
    <definedName name="DF17_Alloc_GovG_Mr360D_Am_OthC">#REF!</definedName>
    <definedName name="DF17_Alloc_GovG_Mr360D_Am_RUR">#REF!</definedName>
    <definedName name="DF17_Alloc_GovG_Mr360D_Am_USD">#REF!</definedName>
    <definedName name="DF17_Alloc_GovG_Mr360D_I_AMD">#REF!</definedName>
    <definedName name="DF17_Alloc_GovG_Mr360D_I_EUR">#REF!</definedName>
    <definedName name="DF17_Alloc_GovG_Mr360D_I_OthC">#REF!</definedName>
    <definedName name="DF17_Alloc_GovG_Mr360D_I_RUR">#REF!</definedName>
    <definedName name="DF17_Alloc_GovG_Mr360D_I_USD">#REF!</definedName>
    <definedName name="DF17_Alloc_Ind_15D_Am_AMD">#REF!</definedName>
    <definedName name="DF17_Alloc_Ind_15D_Am_EUR">#REF!</definedName>
    <definedName name="DF17_Alloc_Ind_15D_Am_OthC">#REF!</definedName>
    <definedName name="DF17_Alloc_Ind_15D_Am_RUR">#REF!</definedName>
    <definedName name="DF17_Alloc_Ind_15D_Am_USD">#REF!</definedName>
    <definedName name="DF17_Alloc_Ind_15D_I_AMD">#REF!</definedName>
    <definedName name="DF17_Alloc_Ind_15D_I_EUR">#REF!</definedName>
    <definedName name="DF17_Alloc_Ind_15D_I_OthC">#REF!</definedName>
    <definedName name="DF17_Alloc_Ind_15D_I_RUR">#REF!</definedName>
    <definedName name="DF17_Alloc_Ind_15D_I_USD">#REF!</definedName>
    <definedName name="DF17_Alloc_Ind_180D_Am_AMD">#REF!</definedName>
    <definedName name="DF17_Alloc_Ind_180D_Am_EUR">#REF!</definedName>
    <definedName name="DF17_Alloc_Ind_180D_Am_OthC">#REF!</definedName>
    <definedName name="DF17_Alloc_Ind_180D_Am_RUR">#REF!</definedName>
    <definedName name="DF17_Alloc_Ind_180D_Am_USD">#REF!</definedName>
    <definedName name="DF17_Alloc_Ind_180D_I_AMD">#REF!</definedName>
    <definedName name="DF17_Alloc_Ind_180D_I_EUR">#REF!</definedName>
    <definedName name="DF17_Alloc_Ind_180D_I_OthC">#REF!</definedName>
    <definedName name="DF17_Alloc_Ind_180D_I_RUR">#REF!</definedName>
    <definedName name="DF17_Alloc_Ind_180D_I_USD">#REF!</definedName>
    <definedName name="DF17_Alloc_Ind_30D_Am_AMD">#REF!</definedName>
    <definedName name="DF17_Alloc_Ind_30D_Am_EUR">#REF!</definedName>
    <definedName name="DF17_Alloc_Ind_30D_Am_OthC">#REF!</definedName>
    <definedName name="DF17_Alloc_Ind_30D_Am_RUR">#REF!</definedName>
    <definedName name="DF17_Alloc_Ind_30D_Am_USD">#REF!</definedName>
    <definedName name="DF17_Alloc_Ind_30D_I_AMD">#REF!</definedName>
    <definedName name="DF17_Alloc_Ind_30D_I_EUR">#REF!</definedName>
    <definedName name="DF17_Alloc_Ind_30D_I_OthC">#REF!</definedName>
    <definedName name="DF17_Alloc_Ind_30D_I_RUR">#REF!</definedName>
    <definedName name="DF17_Alloc_Ind_30D_I_USD">#REF!</definedName>
    <definedName name="DF17_Alloc_Ind_360D_Am_AMD">#REF!</definedName>
    <definedName name="DF17_Alloc_Ind_360D_Am_EUR">#REF!</definedName>
    <definedName name="DF17_Alloc_Ind_360D_Am_OthC">#REF!</definedName>
    <definedName name="DF17_Alloc_Ind_360D_Am_RUR">#REF!</definedName>
    <definedName name="DF17_Alloc_Ind_360D_Am_USD">#REF!</definedName>
    <definedName name="DF17_Alloc_Ind_360D_I_AMD">#REF!</definedName>
    <definedName name="DF17_Alloc_Ind_360D_I_EUR">#REF!</definedName>
    <definedName name="DF17_Alloc_Ind_360D_I_OthC">#REF!</definedName>
    <definedName name="DF17_Alloc_Ind_360D_I_RUR">#REF!</definedName>
    <definedName name="DF17_Alloc_Ind_360D_I_USD">#REF!</definedName>
    <definedName name="DF17_Alloc_Ind_60D_Am_AMD">#REF!</definedName>
    <definedName name="DF17_Alloc_Ind_60D_Am_EUR">#REF!</definedName>
    <definedName name="DF17_Alloc_Ind_60D_Am_OthC">#REF!</definedName>
    <definedName name="DF17_Alloc_Ind_60D_Am_RUR">#REF!</definedName>
    <definedName name="DF17_Alloc_Ind_60D_Am_USD">#REF!</definedName>
    <definedName name="DF17_Alloc_Ind_60D_I_AMD">#REF!</definedName>
    <definedName name="DF17_Alloc_Ind_60D_I_EUR">#REF!</definedName>
    <definedName name="DF17_Alloc_Ind_60D_I_OthC">#REF!</definedName>
    <definedName name="DF17_Alloc_Ind_60D_I_RUR">#REF!</definedName>
    <definedName name="DF17_Alloc_Ind_60D_I_USD">#REF!</definedName>
    <definedName name="DF17_Alloc_Ind_90D_Am_AMD">#REF!</definedName>
    <definedName name="DF17_Alloc_Ind_90D_Am_EUR">#REF!</definedName>
    <definedName name="DF17_Alloc_Ind_90D_Am_OthC">#REF!</definedName>
    <definedName name="DF17_Alloc_Ind_90D_Am_RUR">#REF!</definedName>
    <definedName name="DF17_Alloc_Ind_90D_Am_USD">#REF!</definedName>
    <definedName name="DF17_Alloc_Ind_90D_I_AMD">#REF!</definedName>
    <definedName name="DF17_Alloc_Ind_90D_I_EUR">#REF!</definedName>
    <definedName name="DF17_Alloc_Ind_90D_I_OthC">#REF!</definedName>
    <definedName name="DF17_Alloc_Ind_90D_I_RUR">#REF!</definedName>
    <definedName name="DF17_Alloc_Ind_90D_I_USD">#REF!</definedName>
    <definedName name="DF17_Alloc_Ind_Dem_Am_AMD">#REF!</definedName>
    <definedName name="DF17_Alloc_Ind_Dem_Am_EUR">#REF!</definedName>
    <definedName name="DF17_Alloc_Ind_Dem_Am_OthC">#REF!</definedName>
    <definedName name="DF17_Alloc_Ind_Dem_Am_RUR">#REF!</definedName>
    <definedName name="DF17_Alloc_Ind_Dem_Am_USD">#REF!</definedName>
    <definedName name="DF17_Alloc_Ind_Dem_I_AMD">#REF!</definedName>
    <definedName name="DF17_Alloc_Ind_Dem_I_EUR">#REF!</definedName>
    <definedName name="DF17_Alloc_Ind_Dem_I_OthC">#REF!</definedName>
    <definedName name="DF17_Alloc_Ind_Dem_I_RUR">#REF!</definedName>
    <definedName name="DF17_Alloc_Ind_Dem_I_USD">#REF!</definedName>
    <definedName name="DF17_Alloc_Ind_Mr360D_Am_AMD">#REF!</definedName>
    <definedName name="DF17_Alloc_Ind_Mr360D_Am_EUR">#REF!</definedName>
    <definedName name="DF17_Alloc_Ind_Mr360D_Am_OthC">#REF!</definedName>
    <definedName name="DF17_Alloc_Ind_Mr360D_Am_RUR">#REF!</definedName>
    <definedName name="DF17_Alloc_Ind_Mr360D_Am_USD">#REF!</definedName>
    <definedName name="DF17_Alloc_Ind_Mr360D_I_AMD">#REF!</definedName>
    <definedName name="DF17_Alloc_Ind_Mr360D_I_EUR">#REF!</definedName>
    <definedName name="DF17_Alloc_Ind_Mr360D_I_OthC">#REF!</definedName>
    <definedName name="DF17_Alloc_Ind_Mr360D_I_RUR">#REF!</definedName>
    <definedName name="DF17_Alloc_Ind_Mr360D_I_USD">#REF!</definedName>
    <definedName name="DF17_Alloc_IndCo_Mr360D_Am_Oth">#REF!</definedName>
    <definedName name="DF17_Alloc_IndCo_Mr360D_Am_USD">#REF!</definedName>
    <definedName name="DF17_Alloc_IndCo_Mr360D_I_OthC">#REF!</definedName>
    <definedName name="DF17_Alloc_IndCor_15D_Am_AMD">#REF!</definedName>
    <definedName name="DF17_Alloc_IndCor_15D_Am_EUR">#REF!</definedName>
    <definedName name="DF17_Alloc_IndCor_15D_Am_OthC">#REF!</definedName>
    <definedName name="DF17_Alloc_IndCor_15D_Am_RUR">#REF!</definedName>
    <definedName name="DF17_Alloc_IndCor_15D_Am_USD">#REF!</definedName>
    <definedName name="DF17_Alloc_IndCor_15D_I_AMD">#REF!</definedName>
    <definedName name="DF17_Alloc_IndCor_15D_I_EUR">#REF!</definedName>
    <definedName name="DF17_Alloc_IndCor_15D_I_OthC">#REF!</definedName>
    <definedName name="DF17_Alloc_IndCor_15D_I_RUR">#REF!</definedName>
    <definedName name="DF17_Alloc_IndCor_15D_I_USD">#REF!</definedName>
    <definedName name="DF17_Alloc_IndCor_180D_Am_AMD">#REF!</definedName>
    <definedName name="DF17_Alloc_IndCor_180D_Am_EUR">#REF!</definedName>
    <definedName name="DF17_Alloc_IndCor_180D_Am_OthC">#REF!</definedName>
    <definedName name="DF17_Alloc_IndCor_180D_Am_RUR">#REF!</definedName>
    <definedName name="DF17_Alloc_IndCor_180D_Am_USD">#REF!</definedName>
    <definedName name="DF17_Alloc_IndCor_180D_I_AMD">#REF!</definedName>
    <definedName name="DF17_Alloc_IndCor_180D_I_EUR">#REF!</definedName>
    <definedName name="DF17_Alloc_IndCor_180D_I_OthC">#REF!</definedName>
    <definedName name="DF17_Alloc_IndCor_180D_I_RUR">#REF!</definedName>
    <definedName name="DF17_Alloc_IndCor_180D_I_USD">#REF!</definedName>
    <definedName name="DF17_Alloc_IndCor_30D_Am_AMD">#REF!</definedName>
    <definedName name="DF17_Alloc_IndCor_30D_Am_EUR">#REF!</definedName>
    <definedName name="DF17_Alloc_IndCor_30D_Am_OthC">#REF!</definedName>
    <definedName name="DF17_Alloc_IndCor_30D_Am_RUR">#REF!</definedName>
    <definedName name="DF17_Alloc_IndCor_30D_Am_USD">#REF!</definedName>
    <definedName name="DF17_Alloc_IndCor_30D_I_AMD">#REF!</definedName>
    <definedName name="DF17_Alloc_IndCor_30D_I_EUR">#REF!</definedName>
    <definedName name="DF17_Alloc_IndCor_30D_I_OthC">#REF!</definedName>
    <definedName name="DF17_Alloc_IndCor_30D_I_RUR">#REF!</definedName>
    <definedName name="DF17_Alloc_IndCor_30D_I_USD">#REF!</definedName>
    <definedName name="DF17_Alloc_IndCor_360D_Am_AMD">#REF!</definedName>
    <definedName name="DF17_Alloc_IndCor_360D_Am_EUR">#REF!</definedName>
    <definedName name="DF17_Alloc_IndCor_360D_Am_OthC">#REF!</definedName>
    <definedName name="DF17_Alloc_IndCor_360D_Am_RUR">#REF!</definedName>
    <definedName name="DF17_Alloc_IndCor_360D_Am_USD">#REF!</definedName>
    <definedName name="DF17_Alloc_IndCor_360D_I_AMD">#REF!</definedName>
    <definedName name="DF17_Alloc_IndCor_360D_I_EUR">#REF!</definedName>
    <definedName name="DF17_Alloc_IndCor_360D_I_OthC">#REF!</definedName>
    <definedName name="DF17_Alloc_IndCor_360D_I_RUR">#REF!</definedName>
    <definedName name="DF17_Alloc_IndCor_360D_I_USD">#REF!</definedName>
    <definedName name="DF17_Alloc_IndCor_60D_Am_AMD">#REF!</definedName>
    <definedName name="DF17_Alloc_IndCor_60D_Am_EUR">#REF!</definedName>
    <definedName name="DF17_Alloc_IndCor_60D_Am_OthC">#REF!</definedName>
    <definedName name="DF17_Alloc_IndCor_60D_Am_RUR">#REF!</definedName>
    <definedName name="DF17_Alloc_IndCor_60D_Am_USD">#REF!</definedName>
    <definedName name="DF17_Alloc_IndCor_60D_I_AMD">#REF!</definedName>
    <definedName name="DF17_Alloc_IndCor_60D_I_EUR">#REF!</definedName>
    <definedName name="DF17_Alloc_IndCor_60D_I_OthC">#REF!</definedName>
    <definedName name="DF17_Alloc_IndCor_60D_I_RUR">#REF!</definedName>
    <definedName name="DF17_Alloc_IndCor_60D_I_USD">#REF!</definedName>
    <definedName name="DF17_Alloc_IndCor_90D_Am_AMD">#REF!</definedName>
    <definedName name="DF17_Alloc_IndCor_90D_Am_EUR">#REF!</definedName>
    <definedName name="DF17_Alloc_IndCor_90D_Am_OthC">#REF!</definedName>
    <definedName name="DF17_Alloc_IndCor_90D_Am_RUR">#REF!</definedName>
    <definedName name="DF17_Alloc_IndCor_90D_Am_USD">#REF!</definedName>
    <definedName name="DF17_Alloc_IndCor_90D_I_AMD">#REF!</definedName>
    <definedName name="DF17_Alloc_IndCor_90D_I_EUR">#REF!</definedName>
    <definedName name="DF17_Alloc_IndCor_90D_I_OthC">#REF!</definedName>
    <definedName name="DF17_Alloc_IndCor_90D_I_RUR">#REF!</definedName>
    <definedName name="DF17_Alloc_IndCor_90D_I_USD">#REF!</definedName>
    <definedName name="DF17_Alloc_IndCor_Dem_Am_AMD">#REF!</definedName>
    <definedName name="DF17_Alloc_IndCor_Dem_Am_EUR">#REF!</definedName>
    <definedName name="DF17_Alloc_IndCor_Dem_Am_OthC">#REF!</definedName>
    <definedName name="DF17_Alloc_IndCor_Dem_Am_RUR">#REF!</definedName>
    <definedName name="DF17_Alloc_IndCor_Dem_Am_USD">#REF!</definedName>
    <definedName name="DF17_Alloc_IndCor_Dem_I_AMD">#REF!</definedName>
    <definedName name="DF17_Alloc_IndCor_Dem_I_EUR">#REF!</definedName>
    <definedName name="DF17_Alloc_IndCor_Dem_I_OthC">#REF!</definedName>
    <definedName name="DF17_Alloc_IndCor_Dem_I_RUR">#REF!</definedName>
    <definedName name="DF17_Alloc_IndCor_Dem_I_USD">#REF!</definedName>
    <definedName name="DF17_Alloc_IndCor_Mr360D_Am_AM">#REF!</definedName>
    <definedName name="DF17_Alloc_IndCor_Mr360D_Am_EU">#REF!</definedName>
    <definedName name="DF17_Alloc_IndCor_Mr360D_Am_RU">#REF!</definedName>
    <definedName name="DF17_Alloc_IndCor_Mr360D_I_AMD">#REF!</definedName>
    <definedName name="DF17_Alloc_IndCor_Mr360D_I_EUR">#REF!</definedName>
    <definedName name="DF17_Alloc_IndCor_Mr360D_I_RUR">#REF!</definedName>
    <definedName name="DF17_Alloc_IndCor_Mr360D_I_USD">#REF!</definedName>
    <definedName name="DF17_Alloc_IntOr_15D_Am_AMD">#REF!</definedName>
    <definedName name="DF17_Alloc_IntOr_15D_Am_EUR">#REF!</definedName>
    <definedName name="DF17_Alloc_IntOr_15D_Am_OthC">#REF!</definedName>
    <definedName name="DF17_Alloc_IntOr_15D_Am_RUR">#REF!</definedName>
    <definedName name="DF17_Alloc_IntOr_15D_Am_USD">#REF!</definedName>
    <definedName name="DF17_Alloc_IntOr_15D_I_AMD">#REF!</definedName>
    <definedName name="DF17_Alloc_IntOr_15D_I_EUR">#REF!</definedName>
    <definedName name="DF17_Alloc_IntOr_15D_I_OthC">#REF!</definedName>
    <definedName name="DF17_Alloc_IntOr_15D_I_RUR">#REF!</definedName>
    <definedName name="DF17_Alloc_IntOr_15D_I_USD">#REF!</definedName>
    <definedName name="DF17_Alloc_IntOr_180D_Am_AMD">#REF!</definedName>
    <definedName name="DF17_Alloc_IntOr_180D_Am_EUR">#REF!</definedName>
    <definedName name="DF17_Alloc_IntOr_180D_Am_OthC">#REF!</definedName>
    <definedName name="DF17_Alloc_IntOr_180D_Am_RUR">#REF!</definedName>
    <definedName name="DF17_Alloc_IntOr_180D_Am_USD">#REF!</definedName>
    <definedName name="DF17_Alloc_IntOr_180D_I_AMD">#REF!</definedName>
    <definedName name="DF17_Alloc_IntOr_180D_I_EUR">#REF!</definedName>
    <definedName name="DF17_Alloc_IntOr_180D_I_OthC">#REF!</definedName>
    <definedName name="DF17_Alloc_IntOr_180D_I_RUR">#REF!</definedName>
    <definedName name="DF17_Alloc_IntOr_180D_I_USD">#REF!</definedName>
    <definedName name="DF17_Alloc_IntOr_30D_Am_AMD">#REF!</definedName>
    <definedName name="DF17_Alloc_IntOr_30D_Am_EUR">#REF!</definedName>
    <definedName name="DF17_Alloc_IntOr_30D_Am_OthC">#REF!</definedName>
    <definedName name="DF17_Alloc_IntOr_30D_Am_RUR">#REF!</definedName>
    <definedName name="DF17_Alloc_IntOr_30D_Am_USD">#REF!</definedName>
    <definedName name="DF17_Alloc_IntOr_30D_I_AMD">#REF!</definedName>
    <definedName name="DF17_Alloc_IntOr_30D_I_EUR">#REF!</definedName>
    <definedName name="DF17_Alloc_IntOr_30D_I_OthC">#REF!</definedName>
    <definedName name="DF17_Alloc_IntOr_30D_I_RUR">#REF!</definedName>
    <definedName name="DF17_Alloc_IntOr_30D_I_USD">#REF!</definedName>
    <definedName name="DF17_Alloc_IntOr_360D_Am_AMD">#REF!</definedName>
    <definedName name="DF17_Alloc_IntOr_360D_Am_EUR">#REF!</definedName>
    <definedName name="DF17_Alloc_IntOr_360D_Am_OthC">#REF!</definedName>
    <definedName name="DF17_Alloc_IntOr_360D_Am_RUR">#REF!</definedName>
    <definedName name="DF17_Alloc_IntOr_360D_Am_USD">#REF!</definedName>
    <definedName name="DF17_Alloc_IntOr_360D_I_AMD">#REF!</definedName>
    <definedName name="DF17_Alloc_IntOr_360D_I_EUR">#REF!</definedName>
    <definedName name="DF17_Alloc_IntOr_360D_I_OthC">#REF!</definedName>
    <definedName name="DF17_Alloc_IntOr_360D_I_RUR">#REF!</definedName>
    <definedName name="DF17_Alloc_IntOr_360D_I_USD">#REF!</definedName>
    <definedName name="DF17_Alloc_IntOr_60D_Am_AMD">#REF!</definedName>
    <definedName name="DF17_Alloc_IntOr_60D_Am_EUR">#REF!</definedName>
    <definedName name="DF17_Alloc_IntOr_60D_Am_OthC">#REF!</definedName>
    <definedName name="DF17_Alloc_IntOr_60D_Am_RUR">#REF!</definedName>
    <definedName name="DF17_Alloc_IntOr_60D_Am_USD">#REF!</definedName>
    <definedName name="DF17_Alloc_IntOr_60D_I_AMD">#REF!</definedName>
    <definedName name="DF17_Alloc_IntOr_60D_I_EUR">#REF!</definedName>
    <definedName name="DF17_Alloc_IntOr_60D_I_OthC">#REF!</definedName>
    <definedName name="DF17_Alloc_IntOr_60D_I_RUR">#REF!</definedName>
    <definedName name="DF17_Alloc_IntOr_60D_I_USD">#REF!</definedName>
    <definedName name="DF17_Alloc_IntOr_90D_Am_AMD">#REF!</definedName>
    <definedName name="DF17_Alloc_IntOr_90D_Am_EUR">#REF!</definedName>
    <definedName name="DF17_Alloc_IntOr_90D_Am_OthC">#REF!</definedName>
    <definedName name="DF17_Alloc_IntOr_90D_Am_RUR">#REF!</definedName>
    <definedName name="DF17_Alloc_IntOr_90D_Am_USD">#REF!</definedName>
    <definedName name="DF17_Alloc_IntOr_90D_I_AMD">#REF!</definedName>
    <definedName name="DF17_Alloc_IntOr_90D_I_EUR">#REF!</definedName>
    <definedName name="DF17_Alloc_IntOr_90D_I_OthC">#REF!</definedName>
    <definedName name="DF17_Alloc_IntOr_90D_I_RUR">#REF!</definedName>
    <definedName name="DF17_Alloc_IntOr_90D_I_USD">#REF!</definedName>
    <definedName name="DF17_Alloc_IntOr_Dem_Am_AMD">#REF!</definedName>
    <definedName name="DF17_Alloc_IntOr_Dem_Am_EUR">#REF!</definedName>
    <definedName name="DF17_Alloc_IntOr_Dem_Am_OthC">#REF!</definedName>
    <definedName name="DF17_Alloc_IntOr_Dem_Am_RUR">#REF!</definedName>
    <definedName name="DF17_Alloc_IntOr_Dem_Am_USD">#REF!</definedName>
    <definedName name="DF17_Alloc_IntOr_Dem_I_AMD">#REF!</definedName>
    <definedName name="DF17_Alloc_IntOr_Dem_I_EUR">#REF!</definedName>
    <definedName name="DF17_Alloc_IntOr_Dem_I_OthC">#REF!</definedName>
    <definedName name="DF17_Alloc_IntOr_Dem_I_RUR">#REF!</definedName>
    <definedName name="DF17_Alloc_IntOr_Dem_I_USD">#REF!</definedName>
    <definedName name="DF17_Alloc_IntOr_Mr360D_Am_AMD">#REF!</definedName>
    <definedName name="DF17_Alloc_IntOr_Mr360D_Am_EUR">#REF!</definedName>
    <definedName name="DF17_Alloc_IntOr_Mr360D_Am_Oth">#REF!</definedName>
    <definedName name="DF17_Alloc_IntOr_Mr360D_Am_RUR">#REF!</definedName>
    <definedName name="DF17_Alloc_IntOr_Mr360D_Am_USD">#REF!</definedName>
    <definedName name="DF17_Alloc_IntOr_Mr360D_I_AMD">#REF!</definedName>
    <definedName name="DF17_Alloc_IntOr_Mr360D_I_EUR">#REF!</definedName>
    <definedName name="DF17_Alloc_IntOr_Mr360D_I_OthC">#REF!</definedName>
    <definedName name="DF17_Alloc_IntOr_Mr360D_I_RUR">#REF!</definedName>
    <definedName name="DF17_Alloc_IntOr_Mr360D_I_USD">#REF!</definedName>
    <definedName name="DF17_Alloc_OthBn_15D_Am_AMD">#REF!</definedName>
    <definedName name="DF17_Alloc_OthBn_15D_Am_EUR">#REF!</definedName>
    <definedName name="DF17_Alloc_OthBn_15D_Am_OthC">#REF!</definedName>
    <definedName name="DF17_Alloc_OthBn_15D_Am_RUR">#REF!</definedName>
    <definedName name="DF17_Alloc_OthBn_15D_Am_USD">#REF!</definedName>
    <definedName name="DF17_Alloc_OthBn_15D_I_AMD">#REF!</definedName>
    <definedName name="DF17_Alloc_OthBn_15D_I_EUR">#REF!</definedName>
    <definedName name="DF17_Alloc_OthBn_15D_I_OthC">#REF!</definedName>
    <definedName name="DF17_Alloc_OthBn_15D_I_RUR">#REF!</definedName>
    <definedName name="DF17_Alloc_OthBn_15D_I_USD">#REF!</definedName>
    <definedName name="DF17_Alloc_OthBn_180D_Am_AMD">#REF!</definedName>
    <definedName name="DF17_Alloc_OthBn_180D_Am_EUR">#REF!</definedName>
    <definedName name="DF17_Alloc_OthBn_180D_Am_OthC">#REF!</definedName>
    <definedName name="DF17_Alloc_OthBn_180D_Am_RUR">#REF!</definedName>
    <definedName name="DF17_Alloc_OthBn_180D_Am_USD">#REF!</definedName>
    <definedName name="DF17_Alloc_OthBn_180D_I_AMD">#REF!</definedName>
    <definedName name="DF17_Alloc_OthBn_180D_I_EUR">#REF!</definedName>
    <definedName name="DF17_Alloc_OthBn_180D_I_OthC">#REF!</definedName>
    <definedName name="DF17_Alloc_OthBn_180D_I_RUR">#REF!</definedName>
    <definedName name="DF17_Alloc_OthBn_180D_I_USD">#REF!</definedName>
    <definedName name="DF17_Alloc_OthBn_30D_Am_AMD">#REF!</definedName>
    <definedName name="DF17_Alloc_OthBn_30D_Am_EUR">#REF!</definedName>
    <definedName name="DF17_Alloc_OthBn_30D_Am_OthC">#REF!</definedName>
    <definedName name="DF17_Alloc_OthBn_30D_Am_RUR">#REF!</definedName>
    <definedName name="DF17_Alloc_OthBn_30D_Am_USD">#REF!</definedName>
    <definedName name="DF17_Alloc_OthBn_30D_I_AMD">#REF!</definedName>
    <definedName name="DF17_Alloc_OthBn_30D_I_EUR">#REF!</definedName>
    <definedName name="DF17_Alloc_OthBn_30D_I_OthC">#REF!</definedName>
    <definedName name="DF17_Alloc_OthBn_30D_I_RUR">#REF!</definedName>
    <definedName name="DF17_Alloc_OthBn_30D_I_USD">#REF!</definedName>
    <definedName name="DF17_Alloc_OthBn_360D_Am_AMD">#REF!</definedName>
    <definedName name="DF17_Alloc_OthBn_360D_Am_EUR">#REF!</definedName>
    <definedName name="DF17_Alloc_OthBn_360D_Am_OthC">#REF!</definedName>
    <definedName name="DF17_Alloc_OthBn_360D_Am_RUR">#REF!</definedName>
    <definedName name="DF17_Alloc_OthBn_360D_Am_USD">#REF!</definedName>
    <definedName name="DF17_Alloc_OthBn_360D_I_AMD">#REF!</definedName>
    <definedName name="DF17_Alloc_OthBn_360D_I_EUR">#REF!</definedName>
    <definedName name="DF17_Alloc_OthBn_360D_I_OthC">#REF!</definedName>
    <definedName name="DF17_Alloc_OthBn_360D_I_RUR">#REF!</definedName>
    <definedName name="DF17_Alloc_OthBn_360D_I_USD">#REF!</definedName>
    <definedName name="DF17_Alloc_OthBn_60D_Am_AMD">#REF!</definedName>
    <definedName name="DF17_Alloc_OthBn_60D_Am_EUR">#REF!</definedName>
    <definedName name="DF17_Alloc_OthBn_60D_Am_OthC">#REF!</definedName>
    <definedName name="DF17_Alloc_OthBn_60D_Am_RUR">#REF!</definedName>
    <definedName name="DF17_Alloc_OthBn_60D_Am_USD">#REF!</definedName>
    <definedName name="DF17_Alloc_OthBn_60D_I_AMD">#REF!</definedName>
    <definedName name="DF17_Alloc_OthBn_60D_I_EUR">#REF!</definedName>
    <definedName name="DF17_Alloc_OthBn_60D_I_OthC">#REF!</definedName>
    <definedName name="DF17_Alloc_OthBn_60D_I_RUR">#REF!</definedName>
    <definedName name="DF17_Alloc_OthBn_60D_I_USD">#REF!</definedName>
    <definedName name="DF17_Alloc_OthBn_90D_Am_AMD">#REF!</definedName>
    <definedName name="DF17_Alloc_OthBn_90D_Am_EUR">#REF!</definedName>
    <definedName name="DF17_Alloc_OthBn_90D_Am_OthC">#REF!</definedName>
    <definedName name="DF17_Alloc_OthBn_90D_Am_RUR">#REF!</definedName>
    <definedName name="DF17_Alloc_OthBn_90D_Am_USD">#REF!</definedName>
    <definedName name="DF17_Alloc_OthBn_90D_I_AMD">#REF!</definedName>
    <definedName name="DF17_Alloc_OthBn_90D_I_EUR">#REF!</definedName>
    <definedName name="DF17_Alloc_OthBn_90D_I_OthC">#REF!</definedName>
    <definedName name="DF17_Alloc_OthBn_90D_I_RUR">#REF!</definedName>
    <definedName name="DF17_Alloc_OthBn_90D_I_USD">#REF!</definedName>
    <definedName name="DF17_Alloc_OthBn_Dem_Am_AMD">#REF!</definedName>
    <definedName name="DF17_Alloc_OthBn_Dem_Am_EUR">#REF!</definedName>
    <definedName name="DF17_Alloc_OthBn_Dem_Am_OthC">#REF!</definedName>
    <definedName name="DF17_Alloc_OthBn_Dem_Am_RUR">#REF!</definedName>
    <definedName name="DF17_Alloc_OthBn_Dem_Am_USD">#REF!</definedName>
    <definedName name="DF17_Alloc_OthBn_Dem_I_AMD">#REF!</definedName>
    <definedName name="DF17_Alloc_OthBn_Dem_I_EUR">#REF!</definedName>
    <definedName name="DF17_Alloc_OthBn_Dem_I_OthC">#REF!</definedName>
    <definedName name="DF17_Alloc_OthBn_Dem_I_RUR">#REF!</definedName>
    <definedName name="DF17_Alloc_OthBn_Dem_I_USD">#REF!</definedName>
    <definedName name="DF17_Alloc_OthBn_Mr360D_Am_AMD">#REF!</definedName>
    <definedName name="DF17_Alloc_OthBn_Mr360D_Am_EUR">#REF!</definedName>
    <definedName name="DF17_Alloc_OthBn_Mr360D_Am_Oth">#REF!</definedName>
    <definedName name="DF17_Alloc_OthBn_Mr360D_Am_RUR">#REF!</definedName>
    <definedName name="DF17_Alloc_OthBn_Mr360D_Am_USD">#REF!</definedName>
    <definedName name="DF17_Alloc_OthBn_Mr360D_I_AMD">#REF!</definedName>
    <definedName name="DF17_Alloc_OthBn_Mr360D_I_EUR">#REF!</definedName>
    <definedName name="DF17_Alloc_OthBn_Mr360D_I_OthC">#REF!</definedName>
    <definedName name="DF17_Alloc_OthBn_Mr360D_I_RUR">#REF!</definedName>
    <definedName name="DF17_Alloc_OthBn_Mr360D_I_USD">#REF!</definedName>
    <definedName name="DF17_Alloc_Repo_15D_Am_ABnk">#REF!</definedName>
    <definedName name="DF17_Alloc_Repo_15D_Am_Bus">#REF!</definedName>
    <definedName name="DF17_Alloc_Repo_15D_Am_Ind">#REF!</definedName>
    <definedName name="DF17_Alloc_Repo_15D_Am_OthBn">#REF!</definedName>
    <definedName name="DF17_Alloc_Repo_15D_I_ABnk">#REF!</definedName>
    <definedName name="DF17_Alloc_Repo_15D_I_Bus">#REF!</definedName>
    <definedName name="DF17_Alloc_Repo_15D_I_Ind">#REF!</definedName>
    <definedName name="DF17_Alloc_Repo_15D_I_OthBn">#REF!</definedName>
    <definedName name="DF17_Alloc_Repo_180D_Am_ABnk">#REF!</definedName>
    <definedName name="DF17_Alloc_Repo_180D_Am_Bus">#REF!</definedName>
    <definedName name="DF17_Alloc_Repo_180D_Am_Ind">#REF!</definedName>
    <definedName name="DF17_Alloc_Repo_180D_Am_OthBn">#REF!</definedName>
    <definedName name="DF17_Alloc_Repo_180D_I_ABnk">#REF!</definedName>
    <definedName name="DF17_Alloc_Repo_180D_I_Bus">#REF!</definedName>
    <definedName name="DF17_Alloc_Repo_180D_I_Ind">#REF!</definedName>
    <definedName name="DF17_Alloc_Repo_180D_I_OthBn">#REF!</definedName>
    <definedName name="DF17_Alloc_Repo_30D_Am_ABnk">#REF!</definedName>
    <definedName name="DF17_Alloc_Repo_30D_Am_Bus">#REF!</definedName>
    <definedName name="DF17_Alloc_Repo_30D_Am_Ind">#REF!</definedName>
    <definedName name="DF17_Alloc_Repo_30D_Am_OthBn">#REF!</definedName>
    <definedName name="DF17_Alloc_Repo_30D_I_ABnk">#REF!</definedName>
    <definedName name="DF17_Alloc_Repo_30D_I_Bus">#REF!</definedName>
    <definedName name="DF17_Alloc_Repo_30D_I_Ind">#REF!</definedName>
    <definedName name="DF17_Alloc_Repo_30D_I_OthBn">#REF!</definedName>
    <definedName name="DF17_Alloc_Repo_360D_Am_ABnk">#REF!</definedName>
    <definedName name="DF17_Alloc_Repo_360D_Am_Bus">#REF!</definedName>
    <definedName name="DF17_Alloc_Repo_360D_Am_Ind">#REF!</definedName>
    <definedName name="DF17_Alloc_Repo_360D_Am_OthBn">#REF!</definedName>
    <definedName name="DF17_Alloc_Repo_360D_I_ABnk">#REF!</definedName>
    <definedName name="DF17_Alloc_Repo_360D_I_Bus">#REF!</definedName>
    <definedName name="DF17_Alloc_Repo_360D_I_Ind">#REF!</definedName>
    <definedName name="DF17_Alloc_Repo_360D_I_OthBn">#REF!</definedName>
    <definedName name="DF17_Alloc_Repo_60D_Am_ABnk">#REF!</definedName>
    <definedName name="DF17_Alloc_Repo_60D_Am_Bus">#REF!</definedName>
    <definedName name="DF17_Alloc_Repo_60D_Am_Ind">#REF!</definedName>
    <definedName name="DF17_Alloc_Repo_60D_Am_OthBn">#REF!</definedName>
    <definedName name="DF17_Alloc_Repo_60D_I_ABnk">#REF!</definedName>
    <definedName name="DF17_Alloc_Repo_60D_I_Bus">#REF!</definedName>
    <definedName name="DF17_Alloc_Repo_60D_I_Ind">#REF!</definedName>
    <definedName name="DF17_Alloc_Repo_60D_I_OthBn">#REF!</definedName>
    <definedName name="DF17_Alloc_Repo_90D_Am_ABnk">#REF!</definedName>
    <definedName name="DF17_Alloc_Repo_90D_Am_Bus">#REF!</definedName>
    <definedName name="DF17_Alloc_Repo_90D_Am_Ind">#REF!</definedName>
    <definedName name="DF17_Alloc_Repo_90D_Am_OthBn">#REF!</definedName>
    <definedName name="DF17_Alloc_Repo_90D_I_ABnk">#REF!</definedName>
    <definedName name="DF17_Alloc_Repo_90D_I_Bus">#REF!</definedName>
    <definedName name="DF17_Alloc_Repo_90D_I_Ind">#REF!</definedName>
    <definedName name="DF17_Alloc_Repo_90D_I_OthBn">#REF!</definedName>
    <definedName name="DF17_Alloc_Repo_Dem_Am_ABnk">#REF!</definedName>
    <definedName name="DF17_Alloc_Repo_Dem_Am_Bus">#REF!</definedName>
    <definedName name="DF17_Alloc_Repo_Dem_Am_Ind">#REF!</definedName>
    <definedName name="DF17_Alloc_Repo_Dem_Am_OthBn">#REF!</definedName>
    <definedName name="DF17_Alloc_Repo_Dem_I_ABnk">#REF!</definedName>
    <definedName name="DF17_Alloc_Repo_Dem_I_Bus">#REF!</definedName>
    <definedName name="DF17_Alloc_Repo_Dem_I_Ind">#REF!</definedName>
    <definedName name="DF17_Alloc_Repo_Dem_I_OthBn">#REF!</definedName>
    <definedName name="DF17_Alloc_Repo_Mr360D_Am_ABnk">#REF!</definedName>
    <definedName name="DF17_Alloc_Repo_Mr360D_Am_Bus">#REF!</definedName>
    <definedName name="DF17_Alloc_Repo_Mr360D_Am_Ind">#REF!</definedName>
    <definedName name="DF17_Alloc_Repo_Mr360D_Am_OthB">#REF!</definedName>
    <definedName name="DF17_Alloc_Repo_Mr360D_I_ABnk">#REF!</definedName>
    <definedName name="DF17_Alloc_Repo_Mr360D_I_Bus">#REF!</definedName>
    <definedName name="DF17_Alloc_Repo_Mr360D_I_Ind">#REF!</definedName>
    <definedName name="DF17_Alloc_Repo_Mr360D_I_OthBn">#REF!</definedName>
    <definedName name="DF17_Alloc_RepoF_Mr360D_Am">#REF!</definedName>
    <definedName name="DF17_Alloc_RepoFX_15D_Am">#REF!</definedName>
    <definedName name="DF17_Alloc_RepoFX_15D_I">#REF!</definedName>
    <definedName name="DF17_Alloc_RepoFX_180D_Am">#REF!</definedName>
    <definedName name="DF17_Alloc_RepoFX_180D_I">#REF!</definedName>
    <definedName name="DF17_Alloc_RepoFX_30D_Am">#REF!</definedName>
    <definedName name="DF17_Alloc_RepoFX_30D_I">#REF!</definedName>
    <definedName name="DF17_Alloc_RepoFX_360D_Am">#REF!</definedName>
    <definedName name="DF17_Alloc_RepoFX_360D_I">#REF!</definedName>
    <definedName name="DF17_Alloc_RepoFX_60D_Am">#REF!</definedName>
    <definedName name="DF17_Alloc_RepoFX_60D_I">#REF!</definedName>
    <definedName name="DF17_Alloc_RepoFX_90D_Am">#REF!</definedName>
    <definedName name="DF17_Alloc_RepoFX_90D_I">#REF!</definedName>
    <definedName name="DF17_Alloc_RepoFX_Dem_Am">#REF!</definedName>
    <definedName name="DF17_Alloc_RepoFX_Dem_I">#REF!</definedName>
    <definedName name="DF17_Alloc_RepoFX_Mr360D_I">#REF!</definedName>
    <definedName name="DF17_Tot_15D_Am_AMD">#REF!</definedName>
    <definedName name="DF17_Tot_15D_Am_EUR">#REF!</definedName>
    <definedName name="DF17_Tot_15D_Am_OthC">#REF!</definedName>
    <definedName name="DF17_Tot_15D_Am_RUR">#REF!</definedName>
    <definedName name="DF17_Tot_15D_Am_USD">#REF!</definedName>
    <definedName name="DF17_Tot_15D_I_AMD">#REF!</definedName>
    <definedName name="DF17_Tot_15D_I_EUR">#REF!</definedName>
    <definedName name="DF17_Tot_15D_I_OthC">#REF!</definedName>
    <definedName name="DF17_Tot_15D_I_RUR">#REF!</definedName>
    <definedName name="DF17_Tot_15D_I_USD">#REF!</definedName>
    <definedName name="DF17_Tot_180D_Am_AMD">#REF!</definedName>
    <definedName name="DF17_Tot_180D_Am_EUR">#REF!</definedName>
    <definedName name="DF17_Tot_180D_Am_OthC">#REF!</definedName>
    <definedName name="DF17_Tot_180D_Am_RUR">#REF!</definedName>
    <definedName name="DF17_Tot_180D_Am_USD">#REF!</definedName>
    <definedName name="DF17_Tot_180D_I_AMD">#REF!</definedName>
    <definedName name="DF17_Tot_180D_I_EUR">#REF!</definedName>
    <definedName name="DF17_Tot_180D_I_OthC">#REF!</definedName>
    <definedName name="DF17_Tot_180D_I_RUR">#REF!</definedName>
    <definedName name="DF17_Tot_180D_I_USD">#REF!</definedName>
    <definedName name="DF17_Tot_30D_Am_AMD">#REF!</definedName>
    <definedName name="DF17_Tot_30D_Am_EUR">#REF!</definedName>
    <definedName name="DF17_Tot_30D_Am_OthC">#REF!</definedName>
    <definedName name="DF17_Tot_30D_Am_RUR">#REF!</definedName>
    <definedName name="DF17_Tot_30D_Am_USD">#REF!</definedName>
    <definedName name="DF17_Tot_30D_I_AMD">#REF!</definedName>
    <definedName name="DF17_Tot_30D_I_EUR">#REF!</definedName>
    <definedName name="DF17_Tot_30D_I_OthC">#REF!</definedName>
    <definedName name="DF17_Tot_30D_I_RUR">#REF!</definedName>
    <definedName name="DF17_Tot_30D_I_USD">#REF!</definedName>
    <definedName name="DF17_Tot_360D_Am_AMD">#REF!</definedName>
    <definedName name="DF17_Tot_360D_Am_EUR">#REF!</definedName>
    <definedName name="DF17_Tot_360D_Am_OthC">#REF!</definedName>
    <definedName name="DF17_Tot_360D_Am_RUR">#REF!</definedName>
    <definedName name="DF17_Tot_360D_Am_USD">#REF!</definedName>
    <definedName name="DF17_Tot_360D_I_AMD">#REF!</definedName>
    <definedName name="DF17_Tot_360D_I_EUR">#REF!</definedName>
    <definedName name="DF17_Tot_360D_I_OthC">#REF!</definedName>
    <definedName name="DF17_Tot_360D_I_RUR">#REF!</definedName>
    <definedName name="DF17_Tot_360D_I_USD">#REF!</definedName>
    <definedName name="DF17_Tot_60D_Am_AMD">#REF!</definedName>
    <definedName name="DF17_Tot_60D_Am_EUR">#REF!</definedName>
    <definedName name="DF17_Tot_60D_Am_OthC">#REF!</definedName>
    <definedName name="DF17_Tot_60D_Am_RUR">#REF!</definedName>
    <definedName name="DF17_Tot_60D_Am_USD">#REF!</definedName>
    <definedName name="DF17_Tot_60D_I_AMD">#REF!</definedName>
    <definedName name="DF17_Tot_60D_I_EUR">#REF!</definedName>
    <definedName name="DF17_Tot_60D_I_OthC">#REF!</definedName>
    <definedName name="DF17_Tot_60D_I_RUR">#REF!</definedName>
    <definedName name="DF17_Tot_60D_I_USD">#REF!</definedName>
    <definedName name="DF17_Tot_90D_Am_AMD">#REF!</definedName>
    <definedName name="DF17_Tot_90D_Am_EUR">#REF!</definedName>
    <definedName name="DF17_Tot_90D_Am_OthC">#REF!</definedName>
    <definedName name="DF17_Tot_90D_Am_RUR">#REF!</definedName>
    <definedName name="DF17_Tot_90D_Am_USD">#REF!</definedName>
    <definedName name="DF17_Tot_90D_I_AMD">#REF!</definedName>
    <definedName name="DF17_Tot_90D_I_EUR">#REF!</definedName>
    <definedName name="DF17_Tot_90D_I_OthC">#REF!</definedName>
    <definedName name="DF17_Tot_90D_I_RUR">#REF!</definedName>
    <definedName name="DF17_Tot_90D_I_USD">#REF!</definedName>
    <definedName name="DF17_Tot_Dem_Am_AMD">#REF!</definedName>
    <definedName name="DF17_Tot_Dem_Am_EUR">#REF!</definedName>
    <definedName name="DF17_Tot_Dem_Am_OthC">#REF!</definedName>
    <definedName name="DF17_Tot_Dem_Am_RUR">#REF!</definedName>
    <definedName name="DF17_Tot_Dem_Am_USD">#REF!</definedName>
    <definedName name="DF17_Tot_Dem_I_AMD">#REF!</definedName>
    <definedName name="DF17_Tot_Dem_I_EUR">#REF!</definedName>
    <definedName name="DF17_Tot_Dem_I_OthC">#REF!</definedName>
    <definedName name="DF17_Tot_Dem_I_RUR">#REF!</definedName>
    <definedName name="DF17_Tot_Dem_I_USD">#REF!</definedName>
    <definedName name="DF17_Tot_Mr360D_Am_AMD">#REF!</definedName>
    <definedName name="DF17_Tot_Mr360D_Am_EUR">#REF!</definedName>
    <definedName name="DF17_Tot_Mr360D_Am_OthC">#REF!</definedName>
    <definedName name="DF17_Tot_Mr360D_Am_RUR">#REF!</definedName>
    <definedName name="DF17_Tot_Mr360D_Am_USD">#REF!</definedName>
    <definedName name="DF17_Tot_Mr360D_I_AMD">#REF!</definedName>
    <definedName name="DF17_Tot_Mr360D_I_EUR">#REF!</definedName>
    <definedName name="DF17_Tot_Mr360D_I_OthC">#REF!</definedName>
    <definedName name="DF17_Tot_Mr360D_I_RUR">#REF!</definedName>
    <definedName name="DF17_Tot_Mr360D_I_USD">#REF!</definedName>
    <definedName name="dfas">#REF!</definedName>
    <definedName name="dflt1">#REF!</definedName>
    <definedName name="dh">#REF!</definedName>
    <definedName name="dhgdfh">#REF!</definedName>
    <definedName name="DICS">#REF!</definedName>
    <definedName name="DIFERENCIAS_TOTALES_A_COMPENSAR">#REF!</definedName>
    <definedName name="Difference">#REF!</definedName>
    <definedName name="DINPUT">#REF!</definedName>
    <definedName name="DIRREP">#REF!</definedName>
    <definedName name="Dirty_Price">#REF!</definedName>
    <definedName name="Disagg_AR_Balance">#REF!</definedName>
    <definedName name="Disaggregations">#REF!</definedName>
    <definedName name="DISC">#REF!</definedName>
    <definedName name="DISC_10">#REF!</definedName>
    <definedName name="DISC_11">#REF!</definedName>
    <definedName name="DISC_23">#REF!</definedName>
    <definedName name="DISC_24">#REF!</definedName>
    <definedName name="DISC_29">#REF!</definedName>
    <definedName name="DISC_30">#REF!</definedName>
    <definedName name="DISC_31">#REF!</definedName>
    <definedName name="DISC_32">#REF!</definedName>
    <definedName name="DISC_9">#REF!</definedName>
    <definedName name="DISC_BA">#REF!</definedName>
    <definedName name="DISC_BA_1">#REF!</definedName>
    <definedName name="DISC_BA_20">#REF!</definedName>
    <definedName name="DISC_BA_39">#REF!</definedName>
    <definedName name="DISC_BA_6">#REF!</definedName>
    <definedName name="DISC_BA_8">#REF!</definedName>
    <definedName name="DISC_CISCO">#REF!</definedName>
    <definedName name="DISC_CISCO_10">#REF!</definedName>
    <definedName name="DISC_CISCO_11">#REF!</definedName>
    <definedName name="DISC_CISCO_23">#REF!</definedName>
    <definedName name="DISC_CISCO_24">#REF!</definedName>
    <definedName name="DISC_CISCO_30">#REF!</definedName>
    <definedName name="DISC_CISCO_31">#REF!</definedName>
    <definedName name="DISC_CISCO_32">#REF!</definedName>
    <definedName name="DISC_CISCO_9">#REF!</definedName>
    <definedName name="DISC_PELCO">#REF!</definedName>
    <definedName name="DISC_PELCO_10">#REF!</definedName>
    <definedName name="DISC_PELCO_11">#REF!</definedName>
    <definedName name="DISC_PELCO_23">#REF!</definedName>
    <definedName name="DISC_PELCO_24">#REF!</definedName>
    <definedName name="DISC_PELCO_30">#REF!</definedName>
    <definedName name="DISC_PELCO_31">#REF!</definedName>
    <definedName name="DISC_PELCO_32">#REF!</definedName>
    <definedName name="DISC_PELCO_9">#REF!</definedName>
    <definedName name="DISCBA">#REF!</definedName>
    <definedName name="DISCBA_10">#REF!</definedName>
    <definedName name="DISCBA_11">#REF!</definedName>
    <definedName name="DISCBA_23">#REF!</definedName>
    <definedName name="DISCBA_24">#REF!</definedName>
    <definedName name="DISCBA_29">#REF!</definedName>
    <definedName name="DISCBA_30">#REF!</definedName>
    <definedName name="DISCBA_31">#REF!</definedName>
    <definedName name="DISCBA_32">#REF!</definedName>
    <definedName name="DISCBA_9">#REF!</definedName>
    <definedName name="Discount">#REF!</definedName>
    <definedName name="DiscountRate">#REF!</definedName>
    <definedName name="DiscRate">#REF!</definedName>
    <definedName name="display_area_2">#REF!</definedName>
    <definedName name="DisposalsAccDep">#REF!</definedName>
    <definedName name="DisposalsCost">#REF!</definedName>
    <definedName name="dItemsToTest">#REF!</definedName>
    <definedName name="dividend">#REF!</definedName>
    <definedName name="dIVIDENDOS">#REF!</definedName>
    <definedName name="DividendsPayment">#REF!</definedName>
    <definedName name="djfnbljwn">#REF!</definedName>
    <definedName name="dkkusd">#REF!</definedName>
    <definedName name="DL">#REF!</definedName>
    <definedName name="DM">#REF!</definedName>
    <definedName name="DMO">#REF!</definedName>
    <definedName name="DMOHolidayEnd">#REF!</definedName>
    <definedName name="DMOPrice">#REF!</definedName>
    <definedName name="dName">#REF!</definedName>
    <definedName name="dnjsnhdjk">#REF!</definedName>
    <definedName name="DOC_NO">#REF!</definedName>
    <definedName name="doh160_1">#REF!</definedName>
    <definedName name="doh160_10">#REF!</definedName>
    <definedName name="doh160_11">#REF!</definedName>
    <definedName name="doh160_12">#REF!</definedName>
    <definedName name="doh160_13">#REF!</definedName>
    <definedName name="doh160_14">#REF!</definedName>
    <definedName name="doh160_15">#REF!</definedName>
    <definedName name="doh160_16">#REF!</definedName>
    <definedName name="doh160_17">#REF!</definedName>
    <definedName name="doh160_18">#REF!</definedName>
    <definedName name="doh160_19">#REF!</definedName>
    <definedName name="doh160_2">#REF!</definedName>
    <definedName name="doh160_20">#REF!</definedName>
    <definedName name="doh160_21">#REF!</definedName>
    <definedName name="doh160_22">#REF!</definedName>
    <definedName name="doh160_23">#REF!</definedName>
    <definedName name="doh160_24">#REF!</definedName>
    <definedName name="doh160_3">#REF!</definedName>
    <definedName name="doh160_4">#REF!</definedName>
    <definedName name="doh160_5">#REF!</definedName>
    <definedName name="doh160_6">#REF!</definedName>
    <definedName name="doh160_7">#REF!</definedName>
    <definedName name="doh160_8">#REF!</definedName>
    <definedName name="doh160_9">#REF!</definedName>
    <definedName name="doh80_21">#REF!</definedName>
    <definedName name="doh80_22">#REF!</definedName>
    <definedName name="doh80_23">#REF!</definedName>
    <definedName name="doh80_24">#REF!</definedName>
    <definedName name="dol">#REF!</definedName>
    <definedName name="Dollar_BS">#REF!</definedName>
    <definedName name="Dollar_Cash">#REF!</definedName>
    <definedName name="Dollar_IS">#REF!</definedName>
    <definedName name="Dollar_non_cash_wk">#REF!</definedName>
    <definedName name="DownScenario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">#REF!</definedName>
    <definedName name="Drawings">#REF!</definedName>
    <definedName name="Drilling">#REF!</definedName>
    <definedName name="Drilling1">#REF!</definedName>
    <definedName name="DrillSensitivity">#REF!</definedName>
    <definedName name="DrillSensitivitySU">#REF!</definedName>
    <definedName name="dropdown">#REF!</definedName>
    <definedName name="DropDownList">#REF!</definedName>
    <definedName name="Druck1">#REF!</definedName>
    <definedName name="Druck10">#REF!</definedName>
    <definedName name="Druck2">#REF!</definedName>
    <definedName name="Druck3">#REF!</definedName>
    <definedName name="Druck4">#REF!</definedName>
    <definedName name="Druck5">#REF!</definedName>
    <definedName name="Druck7">#REF!</definedName>
    <definedName name="Druck8">#REF!</definedName>
    <definedName name="ds">#REF!</definedName>
    <definedName name="dsadas">#REF!</definedName>
    <definedName name="dsadsa">#REF!</definedName>
    <definedName name="dsaf">#REF!</definedName>
    <definedName name="dSampleSize">#REF!</definedName>
    <definedName name="DSCR">#REF!</definedName>
    <definedName name="DSCR_Mos">#REF!</definedName>
    <definedName name="dsfjlk">#REF!</definedName>
    <definedName name="dsgdfg">#REF!</definedName>
    <definedName name="dsn">#REF!</definedName>
    <definedName name="DSPIMO">#REF!</definedName>
    <definedName name="dsvrate">#REF!</definedName>
    <definedName name="dth">#REF!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e_to_related_parties">#REF!</definedName>
    <definedName name="DumpCarsAcquisitions">#REF!</definedName>
    <definedName name="DumpCarsDeprRateInput">#REF!</definedName>
    <definedName name="DumpCarsResidualValueInput">#REF!</definedName>
    <definedName name="DumpCarsSale">#REF!</definedName>
    <definedName name="DumpCarsWtiteOff">#REF!</definedName>
    <definedName name="Dutch_CPI">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dw">#REF!</definedName>
    <definedName name="dwl">#REF!</definedName>
    <definedName name="DWLD">#REF!</definedName>
    <definedName name="d土地租赁预付款_土地使用权">#REF!</definedName>
    <definedName name="e">#REF!</definedName>
    <definedName name="E3_function">#REF!</definedName>
    <definedName name="EAR">#REF!</definedName>
    <definedName name="Earnings_per_Share">#REF!</definedName>
    <definedName name="EBIT">#REF!</definedName>
    <definedName name="EBITDA">#REF!</definedName>
    <definedName name="EBITDA_Bridge">#REF!</definedName>
    <definedName name="ed_izm">#REF!</definedName>
    <definedName name="EDCM">#REF!</definedName>
    <definedName name="ee">#REF!</definedName>
    <definedName name="eee">#REF!</definedName>
    <definedName name="eeee">#REF!</definedName>
    <definedName name="eeryju">#REF!</definedName>
    <definedName name="efe">#REF!</definedName>
    <definedName name="efhw">#REF!</definedName>
    <definedName name="eggs">#REF!</definedName>
    <definedName name="egwe">#REF!</definedName>
    <definedName name="EINPUT">#REF!</definedName>
    <definedName name="ELAPSED_S">#REF!</definedName>
    <definedName name="electr_kwt_h">#REF!</definedName>
    <definedName name="elim1">#REF!</definedName>
    <definedName name="elim10">#REF!</definedName>
    <definedName name="elim11">#REF!</definedName>
    <definedName name="elim12">#REF!</definedName>
    <definedName name="elim14">#REF!</definedName>
    <definedName name="elim15">#REF!</definedName>
    <definedName name="elim16">#REF!</definedName>
    <definedName name="elim17">#REF!</definedName>
    <definedName name="elim18">#REF!</definedName>
    <definedName name="elim2">#REF!</definedName>
    <definedName name="elim3">#REF!</definedName>
    <definedName name="elim4">#REF!</definedName>
    <definedName name="elim5">#REF!</definedName>
    <definedName name="elim6">#REF!</definedName>
    <definedName name="elim7">#REF!</definedName>
    <definedName name="elim8">#REF!</definedName>
    <definedName name="elim9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lman">#REF!</definedName>
    <definedName name="Emp_No">#REF!</definedName>
    <definedName name="EmptyRunCost">#REF!</definedName>
    <definedName name="EmptyRunRevenue">#REF!</definedName>
    <definedName name="END">#REF!</definedName>
    <definedName name="END_">#REF!</definedName>
    <definedName name="END_1">#REF!</definedName>
    <definedName name="End_Bal">#REF!</definedName>
    <definedName name="ENDX">#REF!</definedName>
    <definedName name="EnfCapexPerc">#REF!</definedName>
    <definedName name="EnfExR">#REF!</definedName>
    <definedName name="EnfLOF">#REF!</definedName>
    <definedName name="EnfNPV">#REF!</definedName>
    <definedName name="EnfOpexDeduct">#REF!</definedName>
    <definedName name="EnfOpexPerc">#REF!</definedName>
    <definedName name="EnfPrices">#REF!</definedName>
    <definedName name="EnfProdnPerc">#REF!</definedName>
    <definedName name="EnfProdnStart">#REF!</definedName>
    <definedName name="EnfProdProf">#REF!</definedName>
    <definedName name="EnfProdTime">#REF!</definedName>
    <definedName name="EnfSalValues">#REF!</definedName>
    <definedName name="entity">#REF!</definedName>
    <definedName name="Entity_Check">#REF!</definedName>
    <definedName name="Entity_code">#REF!</definedName>
    <definedName name="Entity_name">#REF!</definedName>
    <definedName name="Entity_No">#REF!</definedName>
    <definedName name="Entity_Table">#REF!</definedName>
    <definedName name="entitycell">#REF!</definedName>
    <definedName name="equip2bulks">#REF!</definedName>
    <definedName name="EquipmentDeprRateInput">#REF!</definedName>
    <definedName name="equity">#REF!</definedName>
    <definedName name="EquityIRR">#REF!</definedName>
    <definedName name="er">#REF!</definedName>
    <definedName name="Error">#REF!</definedName>
    <definedName name="ESB">#REF!</definedName>
    <definedName name="EscFactor1">#REF!</definedName>
    <definedName name="EscFactor2">#REF!</definedName>
    <definedName name="EscFactor3">#REF!</definedName>
    <definedName name="EscFactor4">#REF!</definedName>
    <definedName name="EscFactor5">#REF!</definedName>
    <definedName name="EscFactor6">#REF!</definedName>
    <definedName name="EscFactor7">#REF!</definedName>
    <definedName name="EscFactor8">#REF!</definedName>
    <definedName name="EscRate1">#REF!</definedName>
    <definedName name="EscRate2">#REF!</definedName>
    <definedName name="EscRate3">#REF!</definedName>
    <definedName name="EscRate4">#REF!</definedName>
    <definedName name="EscRate5">#REF!</definedName>
    <definedName name="EscRate6">#REF!</definedName>
    <definedName name="EscRate7">#REF!</definedName>
    <definedName name="EscRate8">#REF!</definedName>
    <definedName name="esdbxg">#REF!</definedName>
    <definedName name="est">#REF!</definedName>
    <definedName name="etq">#REF!</definedName>
    <definedName name="EUR_к_USD">#REF!</definedName>
    <definedName name="Eval_year">#REF!</definedName>
    <definedName name="Evaluation_Date">#REF!</definedName>
    <definedName name="Evolución">#REF!</definedName>
    <definedName name="Evolución_de_balance_energético">#REF!</definedName>
    <definedName name="ew">#REF!</definedName>
    <definedName name="EWO_7">#REF!</definedName>
    <definedName name="ewr">#REF!</definedName>
    <definedName name="ewrew">#REF!</definedName>
    <definedName name="ewt">#REF!</definedName>
    <definedName name="exc_ea">#REF!</definedName>
    <definedName name="Excel_BuiltIn__FilterDatabase_1_6">#REF!</definedName>
    <definedName name="Excel_BuiltIn__FilterDatabase_11">#REF!</definedName>
    <definedName name="Excel_BuiltIn__FilterDatabase_11_3">#REF!</definedName>
    <definedName name="Excel_BuiltIn__FilterDatabase_11_6">#REF!</definedName>
    <definedName name="Excel_BuiltIn__FilterDatabase_2">#REF!</definedName>
    <definedName name="Excel_BuiltIn__FilterDatabase_2_3">#REF!</definedName>
    <definedName name="Excel_BuiltIn__FilterDatabase_2_6">#REF!</definedName>
    <definedName name="Excel_BuiltIn__FilterDatabase_29">#REF!</definedName>
    <definedName name="Excel_BuiltIn_Database">#REF!</definedName>
    <definedName name="Excel_BuiltIn_Database_0">#REF!</definedName>
    <definedName name="Excel_BuiltIn_Database_12">#REF!</definedName>
    <definedName name="Excel_BuiltIn_Database_17">#REF!</definedName>
    <definedName name="Excel_BuiltIn_Database_2">#REF!</definedName>
    <definedName name="Excel_BuiltIn_Database_22">#REF!</definedName>
    <definedName name="Excel_BuiltIn_Database_24">#REF!</definedName>
    <definedName name="Excel_BuiltIn_Database_29">#REF!</definedName>
    <definedName name="Excel_BuiltIn_Database_30">#REF!</definedName>
    <definedName name="Excel_BuiltIn_Database_33">#REF!</definedName>
    <definedName name="Excel_BuiltIn_Database_34">#REF!</definedName>
    <definedName name="Excel_BuiltIn_Database_35">#REF!</definedName>
    <definedName name="Excel_BuiltIn_Database_40">#REF!</definedName>
    <definedName name="Excel_BuiltIn_Database_41">#REF!</definedName>
    <definedName name="Excel_BuiltIn_Database_42">#REF!</definedName>
    <definedName name="Excel_BuiltIn_Database_44">#REF!</definedName>
    <definedName name="Excel_BuiltIn_Database_45">#REF!</definedName>
    <definedName name="Excel_BuiltIn_Database_47">#REF!</definedName>
    <definedName name="Excel_BuiltIn_Database_8">#REF!</definedName>
    <definedName name="Excel_BuiltIn_Print_Area_10">#REF!</definedName>
    <definedName name="Excel_BuiltIn_Print_Area_10_3">#REF!</definedName>
    <definedName name="Excel_BuiltIn_Print_Area_10_6">#REF!</definedName>
    <definedName name="Excel_BuiltIn_Print_Area_22">#REF!</definedName>
    <definedName name="Excel_BuiltIn_Print_Area_3">#REF!</definedName>
    <definedName name="Excel_BuiltIn_Print_Area_3_3">#REF!</definedName>
    <definedName name="Excel_BuiltIn_Print_Area_3_6">#REF!</definedName>
    <definedName name="Excel_BuiltIn_Print_Area_45">#REF!</definedName>
    <definedName name="Excel_BuiltIn_Print_Area_6">#REF!</definedName>
    <definedName name="Excel_BuiltIn_Print_Area_6_3">#REF!</definedName>
    <definedName name="Excel_BuiltIn_Print_Area_6_6">#REF!</definedName>
    <definedName name="Excel_BuiltIn_Print_Area_7">#REF!</definedName>
    <definedName name="Excel_BuiltIn_Print_Area_7_3">#REF!</definedName>
    <definedName name="Excel_BuiltIn_Print_Area_7_6">#REF!</definedName>
    <definedName name="Excel_BuiltIn_Print_Titles_1">#REF!</definedName>
    <definedName name="Excel_BuiltIn_Print_Titles_1_3">#REF!</definedName>
    <definedName name="Excel_BuiltIn_Print_Titles_1_6">#REF!</definedName>
    <definedName name="Excel_BuiltIn_Print_Titles_10">#REF!</definedName>
    <definedName name="Excel_BuiltIn_Print_Titles_2_1">#REF!</definedName>
    <definedName name="Excel_BuiltIn_Print_Titles_2_1_3">#REF!</definedName>
    <definedName name="Excel_BuiltIn_Print_Titles_2_1_6">#REF!</definedName>
    <definedName name="Excel_BuiltIn_Print_Titles_3_1">#REF!</definedName>
    <definedName name="Excel_BuiltIn_Print_Titles_3_1_3">#REF!</definedName>
    <definedName name="Excel_BuiltIn_Print_Titles_3_1_6">#REF!</definedName>
    <definedName name="Excel_BuiltIn_Print_Titles_6">#REF!</definedName>
    <definedName name="Excel_BuiltIn_Print_Titles_6_3">#REF!</definedName>
    <definedName name="Excel_BuiltIn_Print_Titles_6_6">#REF!</definedName>
    <definedName name="Excel_BuiltIn_Print_Titles_7">#REF!</definedName>
    <definedName name="Excel_BuiltIn_Print_Titles_7_3">#REF!</definedName>
    <definedName name="Excel_BuiltIn_Print_Titles_7_6">#REF!</definedName>
    <definedName name="Excels">#REF!</definedName>
    <definedName name="excess_count">#REF!</definedName>
    <definedName name="Exchange_Rate_Purchase">#REF!</definedName>
    <definedName name="exchangeae">#REF!</definedName>
    <definedName name="expat_2828_leave">#REF!</definedName>
    <definedName name="expat_2828_public">#REF!</definedName>
    <definedName name="expat_commuting">#REF!</definedName>
    <definedName name="expat_flights">#REF!</definedName>
    <definedName name="expat_std_hrs">#REF!</definedName>
    <definedName name="expat_travelling">#REF!</definedName>
    <definedName name="expats_feeding">#REF!</definedName>
    <definedName name="expats_insurance">#REF!</definedName>
    <definedName name="expats_rotational">#REF!</definedName>
    <definedName name="expats_sick">#REF!</definedName>
    <definedName name="expats_tax_rate">#REF!</definedName>
    <definedName name="Expected_balance">#REF!</definedName>
    <definedName name="Expense">#REF!</definedName>
    <definedName name="expenses">#REF!</definedName>
    <definedName name="EXPOST">#REF!</definedName>
    <definedName name="ExR">#REF!</definedName>
    <definedName name="ExRate">#REF!</definedName>
    <definedName name="ExRateGBP">#REF!</definedName>
    <definedName name="ExRateKD">#REF!</definedName>
    <definedName name="ExRateY">#REF!</definedName>
    <definedName name="ExternalData_2">#REF!</definedName>
    <definedName name="ExternalData_3">#REF!</definedName>
    <definedName name="ExternalData_4">#REF!</definedName>
    <definedName name="ExternalData_5">#REF!</definedName>
    <definedName name="Extra_Pay">#REF!</definedName>
    <definedName name="e投资性房地产">#REF!</definedName>
    <definedName name="f">#REF!</definedName>
    <definedName name="F_38">#REF!</definedName>
    <definedName name="F_39">#REF!</definedName>
    <definedName name="F_40">#REF!</definedName>
    <definedName name="F_41">#REF!</definedName>
    <definedName name="F_42">#REF!</definedName>
    <definedName name="F_BEG">#REF!</definedName>
    <definedName name="F_END">#REF!</definedName>
    <definedName name="F10_EXCHANGE">#REF!</definedName>
    <definedName name="F11_M8">#REF!</definedName>
    <definedName name="F12_PLEDG">#REF!</definedName>
    <definedName name="F13_RAWMATERIAL">#REF!</definedName>
    <definedName name="F14_EQUITY">#REF!</definedName>
    <definedName name="F15_ACCRUED">#REF!</definedName>
    <definedName name="F16_SHARES">#REF!</definedName>
    <definedName name="F17_">#REF!</definedName>
    <definedName name="F17_Alloc_ABnk_15D_Am_AMD">#REF!</definedName>
    <definedName name="F17_Alloc_ABnk_15D_Am_EUR">#REF!</definedName>
    <definedName name="F17_Alloc_ABnk_15D_Am_OthC">#REF!</definedName>
    <definedName name="F17_Alloc_ABnk_15D_Am_RUR">#REF!</definedName>
    <definedName name="F17_Alloc_ABnk_15D_Am_USD">#REF!</definedName>
    <definedName name="F17_Alloc_ABnk_15D_I_AMD">#REF!</definedName>
    <definedName name="F17_Alloc_ABnk_15D_I_EUR">#REF!</definedName>
    <definedName name="F17_Alloc_ABnk_15D_I_OthC">#REF!</definedName>
    <definedName name="F17_Alloc_ABnk_15D_I_RUR">#REF!</definedName>
    <definedName name="F17_Alloc_ABnk_15D_I_USD">#REF!</definedName>
    <definedName name="F17_Alloc_ABnk_180D_Am_AMD">#REF!</definedName>
    <definedName name="F17_Alloc_ABnk_180D_Am_EUR">#REF!</definedName>
    <definedName name="F17_Alloc_ABnk_180D_Am_OthC">#REF!</definedName>
    <definedName name="F17_Alloc_ABnk_180D_Am_RUR">#REF!</definedName>
    <definedName name="F17_Alloc_ABnk_180D_Am_USD">#REF!</definedName>
    <definedName name="F17_Alloc_ABnk_180D_I_AMD">#REF!</definedName>
    <definedName name="F17_Alloc_ABnk_180D_I_EUR">#REF!</definedName>
    <definedName name="F17_Alloc_ABnk_180D_I_OthC">#REF!</definedName>
    <definedName name="F17_Alloc_ABnk_180D_I_RUR">#REF!</definedName>
    <definedName name="F17_Alloc_ABnk_180D_I_USD">#REF!</definedName>
    <definedName name="F17_Alloc_ABnk_30D_Am_AMD">#REF!</definedName>
    <definedName name="F17_Alloc_ABnk_30D_Am_EUR">#REF!</definedName>
    <definedName name="F17_Alloc_ABnk_30D_Am_OthC">#REF!</definedName>
    <definedName name="F17_Alloc_ABnk_30D_Am_RUR">#REF!</definedName>
    <definedName name="F17_Alloc_ABnk_30D_Am_USD">#REF!</definedName>
    <definedName name="F17_Alloc_ABnk_30D_I_AMD">#REF!</definedName>
    <definedName name="F17_Alloc_ABnk_30D_I_EUR">#REF!</definedName>
    <definedName name="F17_Alloc_ABnk_30D_I_OthC">#REF!</definedName>
    <definedName name="F17_Alloc_ABnk_30D_I_RUR">#REF!</definedName>
    <definedName name="F17_Alloc_ABnk_30D_I_USD">#REF!</definedName>
    <definedName name="F17_Alloc_ABnk_360D_Am_AMD">#REF!</definedName>
    <definedName name="F17_Alloc_ABnk_360D_Am_EUR">#REF!</definedName>
    <definedName name="F17_Alloc_ABnk_360D_Am_OthC">#REF!</definedName>
    <definedName name="F17_Alloc_ABnk_360D_Am_RUR">#REF!</definedName>
    <definedName name="F17_Alloc_ABnk_360D_Am_USD">#REF!</definedName>
    <definedName name="F17_Alloc_ABnk_360D_I_AMD">#REF!</definedName>
    <definedName name="F17_Alloc_ABnk_360D_I_EUR">#REF!</definedName>
    <definedName name="F17_Alloc_ABnk_360D_I_OthC">#REF!</definedName>
    <definedName name="F17_Alloc_ABnk_360D_I_RUR">#REF!</definedName>
    <definedName name="F17_Alloc_ABnk_360D_I_USD">#REF!</definedName>
    <definedName name="F17_Alloc_ABnk_60D_Am_AMD">#REF!</definedName>
    <definedName name="F17_Alloc_ABnk_60D_Am_EUR">#REF!</definedName>
    <definedName name="F17_Alloc_ABnk_60D_Am_OthC">#REF!</definedName>
    <definedName name="F17_Alloc_ABnk_60D_Am_RUR">#REF!</definedName>
    <definedName name="F17_Alloc_ABnk_60D_Am_USD">#REF!</definedName>
    <definedName name="F17_Alloc_ABnk_60D_I_AMD">#REF!</definedName>
    <definedName name="F17_Alloc_ABnk_60D_I_EUR">#REF!</definedName>
    <definedName name="F17_Alloc_ABnk_60D_I_OthC">#REF!</definedName>
    <definedName name="F17_Alloc_ABnk_60D_I_RUR">#REF!</definedName>
    <definedName name="F17_Alloc_ABnk_60D_I_USD">#REF!</definedName>
    <definedName name="F17_Alloc_ABnk_90D_Am_AMD">#REF!</definedName>
    <definedName name="F17_Alloc_ABnk_90D_Am_EUR">#REF!</definedName>
    <definedName name="F17_Alloc_ABnk_90D_Am_OthC">#REF!</definedName>
    <definedName name="F17_Alloc_ABnk_90D_Am_RUR">#REF!</definedName>
    <definedName name="F17_Alloc_ABnk_90D_Am_USD">#REF!</definedName>
    <definedName name="F17_Alloc_ABnk_90D_I_AMD">#REF!</definedName>
    <definedName name="F17_Alloc_ABnk_90D_I_EUR">#REF!</definedName>
    <definedName name="F17_Alloc_ABnk_90D_I_OthC">#REF!</definedName>
    <definedName name="F17_Alloc_ABnk_90D_I_RUR">#REF!</definedName>
    <definedName name="F17_Alloc_ABnk_90D_I_USD">#REF!</definedName>
    <definedName name="F17_Alloc_ABnk_Dem_Am_AMD">#REF!</definedName>
    <definedName name="F17_Alloc_ABnk_Dem_Am_EUR">#REF!</definedName>
    <definedName name="F17_Alloc_ABnk_Dem_Am_OthC">#REF!</definedName>
    <definedName name="F17_Alloc_ABnk_Dem_Am_RUR">#REF!</definedName>
    <definedName name="F17_Alloc_ABnk_Dem_Am_USD">#REF!</definedName>
    <definedName name="F17_Alloc_ABnk_Dem_I_AMD">#REF!</definedName>
    <definedName name="F17_Alloc_ABnk_Dem_I_EUR">#REF!</definedName>
    <definedName name="F17_Alloc_ABnk_Dem_I_OthC">#REF!</definedName>
    <definedName name="F17_Alloc_ABnk_Dem_I_RUR">#REF!</definedName>
    <definedName name="F17_Alloc_ABnk_Dem_I_USD">#REF!</definedName>
    <definedName name="F17_Alloc_ABnk_Mr360D_Am_AMD">#REF!</definedName>
    <definedName name="F17_Alloc_ABnk_Mr360D_Am_EUR">#REF!</definedName>
    <definedName name="F17_Alloc_ABnk_Mr360D_Am_OthC">#REF!</definedName>
    <definedName name="F17_Alloc_ABnk_Mr360D_Am_RUR">#REF!</definedName>
    <definedName name="F17_Alloc_ABnk_Mr360D_Am_USD">#REF!</definedName>
    <definedName name="F17_Alloc_ABnk_Mr360D_I_AMD">#REF!</definedName>
    <definedName name="F17_Alloc_ABnk_Mr360D_I_EUR">#REF!</definedName>
    <definedName name="F17_Alloc_ABnk_Mr360D_I_OthC">#REF!</definedName>
    <definedName name="F17_Alloc_ABnk_Mr360D_I_RUR">#REF!</definedName>
    <definedName name="F17_Alloc_ABnk_Mr360D_I_USD">#REF!</definedName>
    <definedName name="F17_Alloc_ABnk_Tot_Am_AMD1">#REF!</definedName>
    <definedName name="F17_Alloc_ABnk_Tot_Am_EUR1">#REF!</definedName>
    <definedName name="F17_Alloc_ABnk_Tot_Am_OthC1">#REF!</definedName>
    <definedName name="F17_Alloc_ABnk_Tot_Am_RUR1">#REF!</definedName>
    <definedName name="F17_Alloc_ABnk_Tot_Am_USD1">#REF!</definedName>
    <definedName name="F17_Alloc_ABnk_Tot_I_AMD11">#REF!</definedName>
    <definedName name="F17_Alloc_ABnk_Tot_I_AMD12">#REF!</definedName>
    <definedName name="F17_Alloc_ABnk_Tot_I_EUR11">#REF!</definedName>
    <definedName name="F17_Alloc_ABnk_Tot_I_EUR12">#REF!</definedName>
    <definedName name="F17_Alloc_ABnk_Tot_I_OthC11">#REF!</definedName>
    <definedName name="F17_Alloc_ABnk_Tot_I_OthC12">#REF!</definedName>
    <definedName name="F17_Alloc_ABnk_Tot_I_RUR11">#REF!</definedName>
    <definedName name="F17_Alloc_ABnk_Tot_I_RUR12">#REF!</definedName>
    <definedName name="F17_Alloc_ABnk_Tot_I_USD11">#REF!</definedName>
    <definedName name="F17_Alloc_ABnk_Tot_I_USD12">#REF!</definedName>
    <definedName name="F17_Alloc_Bus_15D_Am_AMD">#REF!</definedName>
    <definedName name="F17_Alloc_Bus_15D_Am_EUR">#REF!</definedName>
    <definedName name="F17_Alloc_Bus_15D_Am_OthC">#REF!</definedName>
    <definedName name="F17_Alloc_Bus_15D_Am_RUR">#REF!</definedName>
    <definedName name="F17_Alloc_Bus_15D_Am_USD">#REF!</definedName>
    <definedName name="F17_Alloc_Bus_15D_I_AMD">#REF!</definedName>
    <definedName name="F17_Alloc_Bus_15D_I_EUR">#REF!</definedName>
    <definedName name="F17_Alloc_Bus_15D_I_OthC">#REF!</definedName>
    <definedName name="F17_Alloc_Bus_15D_I_RUR">#REF!</definedName>
    <definedName name="F17_Alloc_Bus_15D_I_USD">#REF!</definedName>
    <definedName name="F17_Alloc_Bus_180D_Am_AMD">#REF!</definedName>
    <definedName name="F17_Alloc_Bus_180D_Am_EUR">#REF!</definedName>
    <definedName name="F17_Alloc_Bus_180D_Am_OthC">#REF!</definedName>
    <definedName name="F17_Alloc_Bus_180D_Am_RUR">#REF!</definedName>
    <definedName name="F17_Alloc_Bus_180D_Am_USD">#REF!</definedName>
    <definedName name="F17_Alloc_Bus_180D_I_AMD">#REF!</definedName>
    <definedName name="F17_Alloc_Bus_180D_I_EUR">#REF!</definedName>
    <definedName name="F17_Alloc_Bus_180D_I_OthC">#REF!</definedName>
    <definedName name="F17_Alloc_Bus_180D_I_RUR">#REF!</definedName>
    <definedName name="F17_Alloc_Bus_180D_I_USD">#REF!</definedName>
    <definedName name="F17_Alloc_Bus_30D_Am_AMD">#REF!</definedName>
    <definedName name="F17_Alloc_Bus_30D_Am_EUR">#REF!</definedName>
    <definedName name="F17_Alloc_Bus_30D_Am_OthC">#REF!</definedName>
    <definedName name="F17_Alloc_Bus_30D_Am_RUR">#REF!</definedName>
    <definedName name="F17_Alloc_Bus_30D_Am_USD">#REF!</definedName>
    <definedName name="F17_Alloc_Bus_30D_I_AMD">#REF!</definedName>
    <definedName name="F17_Alloc_Bus_30D_I_EUR">#REF!</definedName>
    <definedName name="F17_Alloc_Bus_30D_I_OthC">#REF!</definedName>
    <definedName name="F17_Alloc_Bus_30D_I_RUR">#REF!</definedName>
    <definedName name="F17_Alloc_Bus_30D_I_USD">#REF!</definedName>
    <definedName name="F17_Alloc_Bus_360D_Am_AMD">#REF!</definedName>
    <definedName name="F17_Alloc_Bus_360D_Am_EUR">#REF!</definedName>
    <definedName name="F17_Alloc_Bus_360D_Am_OthC">#REF!</definedName>
    <definedName name="F17_Alloc_Bus_360D_Am_RUR">#REF!</definedName>
    <definedName name="F17_Alloc_Bus_360D_Am_USD">#REF!</definedName>
    <definedName name="F17_Alloc_Bus_360D_I_AMD">#REF!</definedName>
    <definedName name="F17_Alloc_Bus_360D_I_EUR">#REF!</definedName>
    <definedName name="F17_Alloc_Bus_360D_I_OthC">#REF!</definedName>
    <definedName name="F17_Alloc_Bus_360D_I_RUR">#REF!</definedName>
    <definedName name="F17_Alloc_Bus_360D_I_USD">#REF!</definedName>
    <definedName name="F17_Alloc_Bus_60D_Am_AMD">#REF!</definedName>
    <definedName name="F17_Alloc_Bus_60D_Am_EUR">#REF!</definedName>
    <definedName name="F17_Alloc_Bus_60D_Am_OthC">#REF!</definedName>
    <definedName name="F17_Alloc_Bus_60D_Am_RUR">#REF!</definedName>
    <definedName name="F17_Alloc_Bus_60D_Am_USD">#REF!</definedName>
    <definedName name="F17_Alloc_Bus_60D_I_AMD">#REF!</definedName>
    <definedName name="F17_Alloc_Bus_60D_I_EUR">#REF!</definedName>
    <definedName name="F17_Alloc_Bus_60D_I_OthC">#REF!</definedName>
    <definedName name="F17_Alloc_Bus_60D_I_RUR">#REF!</definedName>
    <definedName name="F17_Alloc_Bus_60D_I_USD">#REF!</definedName>
    <definedName name="F17_Alloc_Bus_90D_Am_AMD">#REF!</definedName>
    <definedName name="F17_Alloc_Bus_90D_Am_EUR">#REF!</definedName>
    <definedName name="F17_Alloc_Bus_90D_Am_OthC">#REF!</definedName>
    <definedName name="F17_Alloc_Bus_90D_Am_RUR">#REF!</definedName>
    <definedName name="F17_Alloc_Bus_90D_Am_USD">#REF!</definedName>
    <definedName name="F17_Alloc_Bus_90D_I_AMD">#REF!</definedName>
    <definedName name="F17_Alloc_Bus_90D_I_EUR">#REF!</definedName>
    <definedName name="F17_Alloc_Bus_90D_I_OthC">#REF!</definedName>
    <definedName name="F17_Alloc_Bus_90D_I_RUR">#REF!</definedName>
    <definedName name="F17_Alloc_Bus_90D_I_USD">#REF!</definedName>
    <definedName name="F17_Alloc_Bus_Dem_Am_AMD">#REF!</definedName>
    <definedName name="F17_Alloc_Bus_Dem_Am_EUR">#REF!</definedName>
    <definedName name="F17_Alloc_Bus_Dem_Am_OthC">#REF!</definedName>
    <definedName name="F17_Alloc_Bus_Dem_Am_RUR">#REF!</definedName>
    <definedName name="F17_Alloc_Bus_Dem_Am_USD">#REF!</definedName>
    <definedName name="F17_Alloc_Bus_Dem_I_AMD">#REF!</definedName>
    <definedName name="F17_Alloc_Bus_Dem_I_EUR">#REF!</definedName>
    <definedName name="F17_Alloc_Bus_Dem_I_OthC">#REF!</definedName>
    <definedName name="F17_Alloc_Bus_Dem_I_RUR">#REF!</definedName>
    <definedName name="F17_Alloc_Bus_Dem_I_USD">#REF!</definedName>
    <definedName name="F17_Alloc_Bus_Mr360D_Am_AMD">#REF!</definedName>
    <definedName name="F17_Alloc_Bus_Mr360D_Am_EUR">#REF!</definedName>
    <definedName name="F17_Alloc_Bus_Mr360D_Am_OthC">#REF!</definedName>
    <definedName name="F17_Alloc_Bus_Mr360D_Am_RUR">#REF!</definedName>
    <definedName name="F17_Alloc_Bus_Mr360D_Am_USD">#REF!</definedName>
    <definedName name="F17_Alloc_Bus_Mr360D_I_AMD">#REF!</definedName>
    <definedName name="F17_Alloc_Bus_Mr360D_I_EUR">#REF!</definedName>
    <definedName name="F17_Alloc_Bus_Mr360D_I_OthC">#REF!</definedName>
    <definedName name="F17_Alloc_Bus_Mr360D_I_RUR">#REF!</definedName>
    <definedName name="F17_Alloc_Bus_Mr360D_I_USD">#REF!</definedName>
    <definedName name="F17_Alloc_Bus_Tot_Am_AMD1">#REF!</definedName>
    <definedName name="F17_Alloc_Bus_Tot_Am_EUR1">#REF!</definedName>
    <definedName name="F17_Alloc_Bus_Tot_Am_OthC1">#REF!</definedName>
    <definedName name="F17_Alloc_Bus_Tot_Am_RUR1">#REF!</definedName>
    <definedName name="F17_Alloc_Bus_Tot_Am_USD1">#REF!</definedName>
    <definedName name="F17_Alloc_Bus_Tot_I_AMD11">#REF!</definedName>
    <definedName name="F17_Alloc_Bus_Tot_I_AMD12">#REF!</definedName>
    <definedName name="F17_Alloc_Bus_Tot_I_EUR11">#REF!</definedName>
    <definedName name="F17_Alloc_Bus_Tot_I_EUR12">#REF!</definedName>
    <definedName name="F17_Alloc_Bus_Tot_I_OthC11">#REF!</definedName>
    <definedName name="F17_Alloc_Bus_Tot_I_OthC12">#REF!</definedName>
    <definedName name="F17_Alloc_Bus_Tot_I_RUR11">#REF!</definedName>
    <definedName name="F17_Alloc_Bus_Tot_I_RUR12">#REF!</definedName>
    <definedName name="F17_Alloc_Bus_Tot_I_USD11">#REF!</definedName>
    <definedName name="F17_Alloc_Bus_Tot_I_USD12">#REF!</definedName>
    <definedName name="F17_Alloc_GovG_15D_Am_AMD">#REF!</definedName>
    <definedName name="F17_Alloc_GovG_15D_Am_EUR">#REF!</definedName>
    <definedName name="F17_Alloc_GovG_15D_Am_OthC">#REF!</definedName>
    <definedName name="F17_Alloc_GovG_15D_Am_RUR">#REF!</definedName>
    <definedName name="F17_Alloc_GovG_15D_Am_USD">#REF!</definedName>
    <definedName name="F17_Alloc_GovG_15D_I_AMD">#REF!</definedName>
    <definedName name="F17_Alloc_GovG_15D_I_EUR">#REF!</definedName>
    <definedName name="F17_Alloc_GovG_15D_I_OthC">#REF!</definedName>
    <definedName name="F17_Alloc_GovG_15D_I_RUR">#REF!</definedName>
    <definedName name="F17_Alloc_GovG_15D_I_USD">#REF!</definedName>
    <definedName name="F17_Alloc_GovG_180D_Am_AMD">#REF!</definedName>
    <definedName name="F17_Alloc_GovG_180D_Am_EUR">#REF!</definedName>
    <definedName name="F17_Alloc_GovG_180D_Am_OthC">#REF!</definedName>
    <definedName name="F17_Alloc_GovG_180D_Am_RUR">#REF!</definedName>
    <definedName name="F17_Alloc_GovG_180D_Am_USD">#REF!</definedName>
    <definedName name="F17_Alloc_GovG_180D_I_AMD">#REF!</definedName>
    <definedName name="F17_Alloc_GovG_180D_I_EUR">#REF!</definedName>
    <definedName name="F17_Alloc_GovG_180D_I_OthC">#REF!</definedName>
    <definedName name="F17_Alloc_GovG_180D_I_RUR">#REF!</definedName>
    <definedName name="F17_Alloc_GovG_180D_I_USD">#REF!</definedName>
    <definedName name="F17_Alloc_GovG_30D_Am_AMD">#REF!</definedName>
    <definedName name="F17_Alloc_GovG_30D_Am_EUR">#REF!</definedName>
    <definedName name="F17_Alloc_GovG_30D_Am_OthC">#REF!</definedName>
    <definedName name="F17_Alloc_GovG_30D_Am_RUR">#REF!</definedName>
    <definedName name="F17_Alloc_GovG_30D_Am_USD">#REF!</definedName>
    <definedName name="F17_Alloc_GovG_30D_I_AMD">#REF!</definedName>
    <definedName name="F17_Alloc_GovG_30D_I_EUR">#REF!</definedName>
    <definedName name="F17_Alloc_GovG_30D_I_OthC">#REF!</definedName>
    <definedName name="F17_Alloc_GovG_30D_I_RUR">#REF!</definedName>
    <definedName name="F17_Alloc_GovG_30D_I_USD">#REF!</definedName>
    <definedName name="F17_Alloc_GovG_360D_Am_AMD">#REF!</definedName>
    <definedName name="F17_Alloc_GovG_360D_Am_EUR">#REF!</definedName>
    <definedName name="F17_Alloc_GovG_360D_Am_OthC">#REF!</definedName>
    <definedName name="F17_Alloc_GovG_360D_Am_RUR">#REF!</definedName>
    <definedName name="F17_Alloc_GovG_360D_Am_USD">#REF!</definedName>
    <definedName name="F17_Alloc_GovG_360D_I_AMD">#REF!</definedName>
    <definedName name="F17_Alloc_GovG_360D_I_EUR">#REF!</definedName>
    <definedName name="F17_Alloc_GovG_360D_I_OthC">#REF!</definedName>
    <definedName name="F17_Alloc_GovG_360D_I_RUR">#REF!</definedName>
    <definedName name="F17_Alloc_GovG_360D_I_USD">#REF!</definedName>
    <definedName name="F17_Alloc_GovG_60D_Am_AMD">#REF!</definedName>
    <definedName name="F17_Alloc_GovG_60D_Am_EUR">#REF!</definedName>
    <definedName name="F17_Alloc_GovG_60D_Am_OthC">#REF!</definedName>
    <definedName name="F17_Alloc_GovG_60D_Am_RUR">#REF!</definedName>
    <definedName name="F17_Alloc_GovG_60D_Am_USD">#REF!</definedName>
    <definedName name="F17_Alloc_GovG_60D_I_AMD">#REF!</definedName>
    <definedName name="F17_Alloc_GovG_60D_I_EUR">#REF!</definedName>
    <definedName name="F17_Alloc_GovG_60D_I_OthC">#REF!</definedName>
    <definedName name="F17_Alloc_GovG_60D_I_RUR">#REF!</definedName>
    <definedName name="F17_Alloc_GovG_60D_I_USD">#REF!</definedName>
    <definedName name="F17_Alloc_GovG_90D_Am_AMD">#REF!</definedName>
    <definedName name="F17_Alloc_GovG_90D_Am_EUR">#REF!</definedName>
    <definedName name="F17_Alloc_GovG_90D_Am_OthC">#REF!</definedName>
    <definedName name="F17_Alloc_GovG_90D_Am_RUR">#REF!</definedName>
    <definedName name="F17_Alloc_GovG_90D_Am_USD">#REF!</definedName>
    <definedName name="F17_Alloc_GovG_90D_I_AMD">#REF!</definedName>
    <definedName name="F17_Alloc_GovG_90D_I_EUR">#REF!</definedName>
    <definedName name="F17_Alloc_GovG_90D_I_OthC">#REF!</definedName>
    <definedName name="F17_Alloc_GovG_90D_I_RUR">#REF!</definedName>
    <definedName name="F17_Alloc_GovG_90D_I_USD">#REF!</definedName>
    <definedName name="F17_Alloc_GovG_Dem_Am_AMD">#REF!</definedName>
    <definedName name="F17_Alloc_GovG_Dem_Am_EUR">#REF!</definedName>
    <definedName name="F17_Alloc_GovG_Dem_Am_OthC">#REF!</definedName>
    <definedName name="F17_Alloc_GovG_Dem_Am_RUR">#REF!</definedName>
    <definedName name="F17_Alloc_GovG_Dem_Am_USD">#REF!</definedName>
    <definedName name="F17_Alloc_GovG_Dem_I_AMD">#REF!</definedName>
    <definedName name="F17_Alloc_GovG_Dem_I_EUR">#REF!</definedName>
    <definedName name="F17_Alloc_GovG_Dem_I_OthC">#REF!</definedName>
    <definedName name="F17_Alloc_GovG_Dem_I_RUR">#REF!</definedName>
    <definedName name="F17_Alloc_GovG_Dem_I_USD">#REF!</definedName>
    <definedName name="F17_Alloc_GovG_Mr360D_Am_AMD">#REF!</definedName>
    <definedName name="F17_Alloc_GovG_Mr360D_Am_EUR">#REF!</definedName>
    <definedName name="F17_Alloc_GovG_Mr360D_Am_OthC">#REF!</definedName>
    <definedName name="F17_Alloc_GovG_Mr360D_Am_RUR">#REF!</definedName>
    <definedName name="F17_Alloc_GovG_Mr360D_Am_USD">#REF!</definedName>
    <definedName name="F17_Alloc_GovG_Mr360D_I_AMD">#REF!</definedName>
    <definedName name="F17_Alloc_GovG_Mr360D_I_EUR">#REF!</definedName>
    <definedName name="F17_Alloc_GovG_Mr360D_I_OthC">#REF!</definedName>
    <definedName name="F17_Alloc_GovG_Mr360D_I_RUR">#REF!</definedName>
    <definedName name="F17_Alloc_GovG_Mr360D_I_USD">#REF!</definedName>
    <definedName name="F17_Alloc_GovG_Tot_Am_AMD1">#REF!</definedName>
    <definedName name="F17_Alloc_GovG_Tot_Am_EUR1">#REF!</definedName>
    <definedName name="F17_Alloc_GovG_Tot_Am_OthC1">#REF!</definedName>
    <definedName name="F17_Alloc_GovG_Tot_Am_RUR1">#REF!</definedName>
    <definedName name="F17_Alloc_GovG_Tot_Am_USD1">#REF!</definedName>
    <definedName name="F17_Alloc_GovG_Tot_I_AMD11">#REF!</definedName>
    <definedName name="F17_Alloc_GovG_Tot_I_AMD12">#REF!</definedName>
    <definedName name="F17_Alloc_GovG_Tot_I_EUR11">#REF!</definedName>
    <definedName name="F17_Alloc_GovG_Tot_I_EUR12">#REF!</definedName>
    <definedName name="F17_Alloc_GovG_Tot_I_OthC11">#REF!</definedName>
    <definedName name="F17_Alloc_GovG_Tot_I_OthC12">#REF!</definedName>
    <definedName name="F17_Alloc_GovG_Tot_I_RUR11">#REF!</definedName>
    <definedName name="F17_Alloc_GovG_Tot_I_RUR12">#REF!</definedName>
    <definedName name="F17_Alloc_GovG_Tot_I_USD11">#REF!</definedName>
    <definedName name="F17_Alloc_GovG_Tot_I_USD12">#REF!</definedName>
    <definedName name="F17_Alloc_Ind_15D_Am_AMD">#REF!</definedName>
    <definedName name="F17_Alloc_Ind_15D_Am_EUR">#REF!</definedName>
    <definedName name="F17_Alloc_Ind_15D_Am_OthC">#REF!</definedName>
    <definedName name="F17_Alloc_Ind_15D_Am_RUR">#REF!</definedName>
    <definedName name="F17_Alloc_Ind_15D_Am_USD">#REF!</definedName>
    <definedName name="F17_Alloc_Ind_15D_I_AMD">#REF!</definedName>
    <definedName name="F17_Alloc_Ind_15D_I_EUR">#REF!</definedName>
    <definedName name="F17_Alloc_Ind_15D_I_OthC">#REF!</definedName>
    <definedName name="F17_Alloc_Ind_15D_I_RUR">#REF!</definedName>
    <definedName name="F17_Alloc_Ind_15D_I_USD">#REF!</definedName>
    <definedName name="F17_Alloc_Ind_180D_Am_AMD">#REF!</definedName>
    <definedName name="F17_Alloc_Ind_180D_Am_EUR">#REF!</definedName>
    <definedName name="F17_Alloc_Ind_180D_Am_OthC">#REF!</definedName>
    <definedName name="F17_Alloc_Ind_180D_Am_RUR">#REF!</definedName>
    <definedName name="F17_Alloc_Ind_180D_Am_USD">#REF!</definedName>
    <definedName name="F17_Alloc_Ind_180D_I_AMD">#REF!</definedName>
    <definedName name="F17_Alloc_Ind_180D_I_EUR">#REF!</definedName>
    <definedName name="F17_Alloc_Ind_180D_I_OthC">#REF!</definedName>
    <definedName name="F17_Alloc_Ind_180D_I_RUR">#REF!</definedName>
    <definedName name="F17_Alloc_Ind_180D_I_USD">#REF!</definedName>
    <definedName name="F17_Alloc_Ind_30D_Am_AMD">#REF!</definedName>
    <definedName name="F17_Alloc_Ind_30D_Am_EUR">#REF!</definedName>
    <definedName name="F17_Alloc_Ind_30D_Am_OthC">#REF!</definedName>
    <definedName name="F17_Alloc_Ind_30D_Am_RUR">#REF!</definedName>
    <definedName name="F17_Alloc_Ind_30D_Am_USD">#REF!</definedName>
    <definedName name="F17_Alloc_Ind_30D_I_AMD">#REF!</definedName>
    <definedName name="F17_Alloc_Ind_30D_I_EUR">#REF!</definedName>
    <definedName name="F17_Alloc_Ind_30D_I_OthC">#REF!</definedName>
    <definedName name="F17_Alloc_Ind_30D_I_RUR">#REF!</definedName>
    <definedName name="F17_Alloc_Ind_30D_I_USD">#REF!</definedName>
    <definedName name="F17_Alloc_Ind_360D_Am_AMD">#REF!</definedName>
    <definedName name="F17_Alloc_Ind_360D_Am_EUR">#REF!</definedName>
    <definedName name="F17_Alloc_Ind_360D_Am_OthC">#REF!</definedName>
    <definedName name="F17_Alloc_Ind_360D_Am_RUR">#REF!</definedName>
    <definedName name="F17_Alloc_Ind_360D_Am_USD">#REF!</definedName>
    <definedName name="F17_Alloc_Ind_360D_I_AMD">#REF!</definedName>
    <definedName name="F17_Alloc_Ind_360D_I_EUR">#REF!</definedName>
    <definedName name="F17_Alloc_Ind_360D_I_OthC">#REF!</definedName>
    <definedName name="F17_Alloc_Ind_360D_I_RUR">#REF!</definedName>
    <definedName name="F17_Alloc_Ind_360D_I_USD">#REF!</definedName>
    <definedName name="F17_Alloc_Ind_60D_Am_AMD">#REF!</definedName>
    <definedName name="F17_Alloc_Ind_60D_Am_EUR">#REF!</definedName>
    <definedName name="F17_Alloc_Ind_60D_Am_OthC">#REF!</definedName>
    <definedName name="F17_Alloc_Ind_60D_Am_RUR">#REF!</definedName>
    <definedName name="F17_Alloc_Ind_60D_Am_USD">#REF!</definedName>
    <definedName name="F17_Alloc_Ind_60D_I_AMD">#REF!</definedName>
    <definedName name="F17_Alloc_Ind_60D_I_EUR">#REF!</definedName>
    <definedName name="F17_Alloc_Ind_60D_I_OthC">#REF!</definedName>
    <definedName name="F17_Alloc_Ind_60D_I_RUR">#REF!</definedName>
    <definedName name="F17_Alloc_Ind_60D_I_USD">#REF!</definedName>
    <definedName name="F17_Alloc_Ind_90D_Am_AMD">#REF!</definedName>
    <definedName name="F17_Alloc_Ind_90D_Am_EUR">#REF!</definedName>
    <definedName name="F17_Alloc_Ind_90D_Am_OthC">#REF!</definedName>
    <definedName name="F17_Alloc_Ind_90D_Am_RUR">#REF!</definedName>
    <definedName name="F17_Alloc_Ind_90D_Am_USD">#REF!</definedName>
    <definedName name="F17_Alloc_Ind_90D_I_AMD">#REF!</definedName>
    <definedName name="F17_Alloc_Ind_90D_I_EUR">#REF!</definedName>
    <definedName name="F17_Alloc_Ind_90D_I_OthC">#REF!</definedName>
    <definedName name="F17_Alloc_Ind_90D_I_RUR">#REF!</definedName>
    <definedName name="F17_Alloc_Ind_90D_I_USD">#REF!</definedName>
    <definedName name="F17_Alloc_Ind_Dem_Am_AMD">#REF!</definedName>
    <definedName name="F17_Alloc_Ind_Dem_Am_EUR">#REF!</definedName>
    <definedName name="F17_Alloc_Ind_Dem_Am_OthC">#REF!</definedName>
    <definedName name="F17_Alloc_Ind_Dem_Am_RUR">#REF!</definedName>
    <definedName name="F17_Alloc_Ind_Dem_Am_USD">#REF!</definedName>
    <definedName name="F17_Alloc_Ind_Dem_I_AMD">#REF!</definedName>
    <definedName name="F17_Alloc_Ind_Dem_I_EUR">#REF!</definedName>
    <definedName name="F17_Alloc_Ind_Dem_I_OthC">#REF!</definedName>
    <definedName name="F17_Alloc_Ind_Dem_I_RUR">#REF!</definedName>
    <definedName name="F17_Alloc_Ind_Dem_I_USD">#REF!</definedName>
    <definedName name="F17_Alloc_Ind_Mr360D_Am_AMD">#REF!</definedName>
    <definedName name="F17_Alloc_Ind_Mr360D_Am_EUR">#REF!</definedName>
    <definedName name="F17_Alloc_Ind_Mr360D_Am_OthC">#REF!</definedName>
    <definedName name="F17_Alloc_Ind_Mr360D_Am_RUR">#REF!</definedName>
    <definedName name="F17_Alloc_Ind_Mr360D_Am_USD">#REF!</definedName>
    <definedName name="F17_Alloc_Ind_Mr360D_I_AMD">#REF!</definedName>
    <definedName name="F17_Alloc_Ind_Mr360D_I_EUR">#REF!</definedName>
    <definedName name="F17_Alloc_Ind_Mr360D_I_OthC">#REF!</definedName>
    <definedName name="F17_Alloc_Ind_Mr360D_I_RUR">#REF!</definedName>
    <definedName name="F17_Alloc_Ind_Mr360D_I_USD">#REF!</definedName>
    <definedName name="F17_Alloc_Ind_Tot_Am_AMD1">#REF!</definedName>
    <definedName name="F17_Alloc_Ind_Tot_Am_EUR1">#REF!</definedName>
    <definedName name="F17_Alloc_Ind_Tot_Am_OthC1">#REF!</definedName>
    <definedName name="F17_Alloc_Ind_Tot_Am_RUR1">#REF!</definedName>
    <definedName name="F17_Alloc_Ind_Tot_Am_USD1">#REF!</definedName>
    <definedName name="F17_Alloc_Ind_Tot_I_AMD11">#REF!</definedName>
    <definedName name="F17_Alloc_Ind_Tot_I_AMD12">#REF!</definedName>
    <definedName name="F17_Alloc_Ind_Tot_I_EUR11">#REF!</definedName>
    <definedName name="F17_Alloc_Ind_Tot_I_EUR12">#REF!</definedName>
    <definedName name="F17_Alloc_Ind_Tot_I_OthC11">#REF!</definedName>
    <definedName name="F17_Alloc_Ind_Tot_I_OthC12">#REF!</definedName>
    <definedName name="F17_Alloc_Ind_Tot_I_RUR11">#REF!</definedName>
    <definedName name="F17_Alloc_Ind_Tot_I_RUR12">#REF!</definedName>
    <definedName name="F17_Alloc_Ind_Tot_I_USD11">#REF!</definedName>
    <definedName name="F17_Alloc_Ind_Tot_I_USD12">#REF!</definedName>
    <definedName name="F17_Alloc_IndCo_Mr360D_Am_OthC">#REF!</definedName>
    <definedName name="F17_Alloc_IndCo_Mr360D_Am_USD">#REF!</definedName>
    <definedName name="F17_Alloc_IndCo_Mr360D_I_OthC">#REF!</definedName>
    <definedName name="F17_Alloc_IndCor_15D_Am_AMD">#REF!</definedName>
    <definedName name="F17_Alloc_IndCor_15D_Am_EUR">#REF!</definedName>
    <definedName name="F17_Alloc_IndCor_15D_Am_OthC">#REF!</definedName>
    <definedName name="F17_Alloc_IndCor_15D_Am_RUR">#REF!</definedName>
    <definedName name="F17_Alloc_IndCor_15D_Am_USD">#REF!</definedName>
    <definedName name="F17_Alloc_IndCor_15D_I_AMD">#REF!</definedName>
    <definedName name="F17_Alloc_IndCor_15D_I_EUR">#REF!</definedName>
    <definedName name="F17_Alloc_IndCor_15D_I_OthC">#REF!</definedName>
    <definedName name="F17_Alloc_IndCor_15D_I_RUR">#REF!</definedName>
    <definedName name="F17_Alloc_IndCor_15D_I_USD">#REF!</definedName>
    <definedName name="F17_Alloc_IndCor_180D_Am_AMD">#REF!</definedName>
    <definedName name="F17_Alloc_IndCor_180D_Am_EUR">#REF!</definedName>
    <definedName name="F17_Alloc_IndCor_180D_Am_OthC">#REF!</definedName>
    <definedName name="F17_Alloc_IndCor_180D_Am_RUR">#REF!</definedName>
    <definedName name="F17_Alloc_IndCor_180D_Am_USD">#REF!</definedName>
    <definedName name="F17_Alloc_IndCor_180D_I_AMD">#REF!</definedName>
    <definedName name="F17_Alloc_IndCor_180D_I_EUR">#REF!</definedName>
    <definedName name="F17_Alloc_IndCor_180D_I_OthC">#REF!</definedName>
    <definedName name="F17_Alloc_IndCor_180D_I_RUR">#REF!</definedName>
    <definedName name="F17_Alloc_IndCor_180D_I_USD">#REF!</definedName>
    <definedName name="F17_Alloc_IndCor_30D_Am_AMD">#REF!</definedName>
    <definedName name="F17_Alloc_IndCor_30D_Am_EUR">#REF!</definedName>
    <definedName name="F17_Alloc_IndCor_30D_Am_OthC">#REF!</definedName>
    <definedName name="F17_Alloc_IndCor_30D_Am_RUR">#REF!</definedName>
    <definedName name="F17_Alloc_IndCor_30D_Am_USD">#REF!</definedName>
    <definedName name="F17_Alloc_IndCor_30D_I_AMD">#REF!</definedName>
    <definedName name="F17_Alloc_IndCor_30D_I_EUR">#REF!</definedName>
    <definedName name="F17_Alloc_IndCor_30D_I_OthC">#REF!</definedName>
    <definedName name="F17_Alloc_IndCor_30D_I_RUR">#REF!</definedName>
    <definedName name="F17_Alloc_IndCor_30D_I_USD">#REF!</definedName>
    <definedName name="F17_Alloc_IndCor_360D_Am_AMD">#REF!</definedName>
    <definedName name="F17_Alloc_IndCor_360D_Am_EUR">#REF!</definedName>
    <definedName name="F17_Alloc_IndCor_360D_Am_OthC">#REF!</definedName>
    <definedName name="F17_Alloc_IndCor_360D_Am_RUR">#REF!</definedName>
    <definedName name="F17_Alloc_IndCor_360D_Am_USD">#REF!</definedName>
    <definedName name="F17_Alloc_IndCor_360D_I_AMD">#REF!</definedName>
    <definedName name="F17_Alloc_IndCor_360D_I_EUR">#REF!</definedName>
    <definedName name="F17_Alloc_IndCor_360D_I_OthC">#REF!</definedName>
    <definedName name="F17_Alloc_IndCor_360D_I_RUR">#REF!</definedName>
    <definedName name="F17_Alloc_IndCor_360D_I_USD">#REF!</definedName>
    <definedName name="F17_Alloc_IndCor_60D_Am_AMD">#REF!</definedName>
    <definedName name="F17_Alloc_IndCor_60D_Am_EUR">#REF!</definedName>
    <definedName name="F17_Alloc_IndCor_60D_Am_OthC">#REF!</definedName>
    <definedName name="F17_Alloc_IndCor_60D_Am_RUR">#REF!</definedName>
    <definedName name="F17_Alloc_IndCor_60D_Am_USD">#REF!</definedName>
    <definedName name="F17_Alloc_IndCor_60D_I_AMD">#REF!</definedName>
    <definedName name="F17_Alloc_IndCor_60D_I_EUR">#REF!</definedName>
    <definedName name="F17_Alloc_IndCor_60D_I_OthC">#REF!</definedName>
    <definedName name="F17_Alloc_IndCor_60D_I_RUR">#REF!</definedName>
    <definedName name="F17_Alloc_IndCor_60D_I_USD">#REF!</definedName>
    <definedName name="F17_Alloc_IndCor_90D_Am_AMD">#REF!</definedName>
    <definedName name="F17_Alloc_IndCor_90D_Am_EUR">#REF!</definedName>
    <definedName name="F17_Alloc_IndCor_90D_Am_OthC">#REF!</definedName>
    <definedName name="F17_Alloc_IndCor_90D_Am_RUR">#REF!</definedName>
    <definedName name="F17_Alloc_IndCor_90D_Am_USD">#REF!</definedName>
    <definedName name="F17_Alloc_IndCor_90D_I_AMD">#REF!</definedName>
    <definedName name="F17_Alloc_IndCor_90D_I_EUR">#REF!</definedName>
    <definedName name="F17_Alloc_IndCor_90D_I_OthC">#REF!</definedName>
    <definedName name="F17_Alloc_IndCor_90D_I_RUR">#REF!</definedName>
    <definedName name="F17_Alloc_IndCor_90D_I_USD">#REF!</definedName>
    <definedName name="F17_Alloc_IndCor_Dem_Am_AMD">#REF!</definedName>
    <definedName name="F17_Alloc_IndCor_Dem_Am_EUR">#REF!</definedName>
    <definedName name="F17_Alloc_IndCor_Dem_Am_OthC">#REF!</definedName>
    <definedName name="F17_Alloc_IndCor_Dem_Am_RUR">#REF!</definedName>
    <definedName name="F17_Alloc_IndCor_Dem_Am_USD">#REF!</definedName>
    <definedName name="F17_Alloc_IndCor_Dem_I_AMD">#REF!</definedName>
    <definedName name="F17_Alloc_IndCor_Dem_I_EUR">#REF!</definedName>
    <definedName name="F17_Alloc_IndCor_Dem_I_OthC">#REF!</definedName>
    <definedName name="F17_Alloc_IndCor_Dem_I_RUR">#REF!</definedName>
    <definedName name="F17_Alloc_IndCor_Dem_I_USD">#REF!</definedName>
    <definedName name="F17_Alloc_IndCor_Mr360D_Am_AMD">#REF!</definedName>
    <definedName name="F17_Alloc_IndCor_Mr360D_Am_EUR">#REF!</definedName>
    <definedName name="F17_Alloc_IndCor_Mr360D_Am_RUR">#REF!</definedName>
    <definedName name="F17_Alloc_IndCor_Mr360D_I_AMD">#REF!</definedName>
    <definedName name="F17_Alloc_IndCor_Mr360D_I_EUR">#REF!</definedName>
    <definedName name="F17_Alloc_IndCor_Mr360D_I_RUR">#REF!</definedName>
    <definedName name="F17_Alloc_IndCor_Mr360D_I_USD">#REF!</definedName>
    <definedName name="F17_Alloc_IndCor_Tot_Am_AMD1">#REF!</definedName>
    <definedName name="F17_Alloc_IndCor_Tot_Am_EUR1">#REF!</definedName>
    <definedName name="F17_Alloc_IndCor_Tot_Am_OthC1">#REF!</definedName>
    <definedName name="F17_Alloc_IndCor_Tot_Am_RUR1">#REF!</definedName>
    <definedName name="F17_Alloc_IndCor_Tot_Am_USD1">#REF!</definedName>
    <definedName name="F17_Alloc_IndCor_Tot_I_AMD11">#REF!</definedName>
    <definedName name="F17_Alloc_IndCor_Tot_I_AMD12">#REF!</definedName>
    <definedName name="F17_Alloc_IndCor_Tot_I_EUR11">#REF!</definedName>
    <definedName name="F17_Alloc_IndCor_Tot_I_EUR12">#REF!</definedName>
    <definedName name="F17_Alloc_IndCor_Tot_I_OthC11">#REF!</definedName>
    <definedName name="F17_Alloc_IndCor_Tot_I_OthC12">#REF!</definedName>
    <definedName name="F17_Alloc_IndCor_Tot_I_RUR11">#REF!</definedName>
    <definedName name="F17_Alloc_IndCor_Tot_I_RUR12">#REF!</definedName>
    <definedName name="F17_Alloc_IndCor_Tot_I_USD11">#REF!</definedName>
    <definedName name="F17_Alloc_IndCor_Tot_I_USD12">#REF!</definedName>
    <definedName name="F17_Alloc_IntOr_15D_Am_AMD">#REF!</definedName>
    <definedName name="F17_Alloc_IntOr_15D_Am_EUR">#REF!</definedName>
    <definedName name="F17_Alloc_IntOr_15D_Am_OthC">#REF!</definedName>
    <definedName name="F17_Alloc_IntOr_15D_Am_RUR">#REF!</definedName>
    <definedName name="F17_Alloc_IntOr_15D_Am_USD">#REF!</definedName>
    <definedName name="F17_Alloc_IntOr_15D_I_AMD">#REF!</definedName>
    <definedName name="F17_Alloc_IntOr_15D_I_EUR">#REF!</definedName>
    <definedName name="F17_Alloc_IntOr_15D_I_OthC">#REF!</definedName>
    <definedName name="F17_Alloc_IntOr_15D_I_RUR">#REF!</definedName>
    <definedName name="F17_Alloc_IntOr_15D_I_USD">#REF!</definedName>
    <definedName name="F17_Alloc_IntOr_180D_Am_AMD">#REF!</definedName>
    <definedName name="F17_Alloc_IntOr_180D_Am_EUR">#REF!</definedName>
    <definedName name="F17_Alloc_IntOr_180D_Am_OthC">#REF!</definedName>
    <definedName name="F17_Alloc_IntOr_180D_Am_RUR">#REF!</definedName>
    <definedName name="F17_Alloc_IntOr_180D_Am_USD">#REF!</definedName>
    <definedName name="F17_Alloc_IntOr_180D_I_AMD">#REF!</definedName>
    <definedName name="F17_Alloc_IntOr_180D_I_EUR">#REF!</definedName>
    <definedName name="F17_Alloc_IntOr_180D_I_OthC">#REF!</definedName>
    <definedName name="F17_Alloc_IntOr_180D_I_RUR">#REF!</definedName>
    <definedName name="F17_Alloc_IntOr_180D_I_USD">#REF!</definedName>
    <definedName name="F17_Alloc_IntOr_30D_Am_AMD">#REF!</definedName>
    <definedName name="F17_Alloc_IntOr_30D_Am_EUR">#REF!</definedName>
    <definedName name="F17_Alloc_IntOr_30D_Am_OthC">#REF!</definedName>
    <definedName name="F17_Alloc_IntOr_30D_Am_RUR">#REF!</definedName>
    <definedName name="F17_Alloc_IntOr_30D_Am_USD">#REF!</definedName>
    <definedName name="F17_Alloc_IntOr_30D_I_AMD">#REF!</definedName>
    <definedName name="F17_Alloc_IntOr_30D_I_EUR">#REF!</definedName>
    <definedName name="F17_Alloc_IntOr_30D_I_OthC">#REF!</definedName>
    <definedName name="F17_Alloc_IntOr_30D_I_RUR">#REF!</definedName>
    <definedName name="F17_Alloc_IntOr_30D_I_USD">#REF!</definedName>
    <definedName name="F17_Alloc_IntOr_360D_Am_AMD">#REF!</definedName>
    <definedName name="F17_Alloc_IntOr_360D_Am_EUR">#REF!</definedName>
    <definedName name="F17_Alloc_IntOr_360D_Am_OthC">#REF!</definedName>
    <definedName name="F17_Alloc_IntOr_360D_Am_RUR">#REF!</definedName>
    <definedName name="F17_Alloc_IntOr_360D_Am_USD">#REF!</definedName>
    <definedName name="F17_Alloc_IntOr_360D_I_AMD">#REF!</definedName>
    <definedName name="F17_Alloc_IntOr_360D_I_EUR">#REF!</definedName>
    <definedName name="F17_Alloc_IntOr_360D_I_OthC">#REF!</definedName>
    <definedName name="F17_Alloc_IntOr_360D_I_RUR">#REF!</definedName>
    <definedName name="F17_Alloc_IntOr_360D_I_USD">#REF!</definedName>
    <definedName name="F17_Alloc_IntOr_60D_Am_AMD">#REF!</definedName>
    <definedName name="F17_Alloc_IntOr_60D_Am_EUR">#REF!</definedName>
    <definedName name="F17_Alloc_IntOr_60D_Am_OthC">#REF!</definedName>
    <definedName name="F17_Alloc_IntOr_60D_Am_RUR">#REF!</definedName>
    <definedName name="F17_Alloc_IntOr_60D_Am_USD">#REF!</definedName>
    <definedName name="F17_Alloc_IntOr_60D_I_AMD">#REF!</definedName>
    <definedName name="F17_Alloc_IntOr_60D_I_EUR">#REF!</definedName>
    <definedName name="F17_Alloc_IntOr_60D_I_OthC">#REF!</definedName>
    <definedName name="F17_Alloc_IntOr_60D_I_RUR">#REF!</definedName>
    <definedName name="F17_Alloc_IntOr_60D_I_USD">#REF!</definedName>
    <definedName name="F17_Alloc_IntOr_90D_Am_AMD">#REF!</definedName>
    <definedName name="F17_Alloc_IntOr_90D_Am_EUR">#REF!</definedName>
    <definedName name="F17_Alloc_IntOr_90D_Am_OthC">#REF!</definedName>
    <definedName name="F17_Alloc_IntOr_90D_Am_RUR">#REF!</definedName>
    <definedName name="F17_Alloc_IntOr_90D_Am_USD">#REF!</definedName>
    <definedName name="F17_Alloc_IntOr_90D_I_AMD">#REF!</definedName>
    <definedName name="F17_Alloc_IntOr_90D_I_EUR">#REF!</definedName>
    <definedName name="F17_Alloc_IntOr_90D_I_OthC">#REF!</definedName>
    <definedName name="F17_Alloc_IntOr_90D_I_RUR">#REF!</definedName>
    <definedName name="F17_Alloc_IntOr_90D_I_USD">#REF!</definedName>
    <definedName name="F17_Alloc_IntOr_Dem_Am_AMD">#REF!</definedName>
    <definedName name="F17_Alloc_IntOr_Dem_Am_EUR">#REF!</definedName>
    <definedName name="F17_Alloc_IntOr_Dem_Am_OthC">#REF!</definedName>
    <definedName name="F17_Alloc_IntOr_Dem_Am_RUR">#REF!</definedName>
    <definedName name="F17_Alloc_IntOr_Dem_Am_USD">#REF!</definedName>
    <definedName name="F17_Alloc_IntOr_Dem_I_AMD">#REF!</definedName>
    <definedName name="F17_Alloc_IntOr_Dem_I_EUR">#REF!</definedName>
    <definedName name="F17_Alloc_IntOr_Dem_I_OthC">#REF!</definedName>
    <definedName name="F17_Alloc_IntOr_Dem_I_RUR">#REF!</definedName>
    <definedName name="F17_Alloc_IntOr_Dem_I_USD">#REF!</definedName>
    <definedName name="F17_Alloc_IntOr_Mr360D_Am_AMD">#REF!</definedName>
    <definedName name="F17_Alloc_IntOr_Mr360D_Am_EUR">#REF!</definedName>
    <definedName name="F17_Alloc_IntOr_Mr360D_Am_OthC">#REF!</definedName>
    <definedName name="F17_Alloc_IntOr_Mr360D_Am_RUR">#REF!</definedName>
    <definedName name="F17_Alloc_IntOr_Mr360D_Am_USD">#REF!</definedName>
    <definedName name="F17_Alloc_IntOr_Mr360D_I_AMD">#REF!</definedName>
    <definedName name="F17_Alloc_IntOr_Mr360D_I_EUR">#REF!</definedName>
    <definedName name="F17_Alloc_IntOr_Mr360D_I_OthC">#REF!</definedName>
    <definedName name="F17_Alloc_IntOr_Mr360D_I_RUR">#REF!</definedName>
    <definedName name="F17_Alloc_IntOr_Mr360D_I_USD">#REF!</definedName>
    <definedName name="F17_Alloc_IntOr_Tot_Am_AMD1">#REF!</definedName>
    <definedName name="F17_Alloc_IntOr_Tot_Am_EUR1">#REF!</definedName>
    <definedName name="F17_Alloc_IntOr_Tot_Am_OthC1">#REF!</definedName>
    <definedName name="F17_Alloc_IntOr_Tot_Am_RUR1">#REF!</definedName>
    <definedName name="F17_Alloc_IntOr_Tot_Am_USD1">#REF!</definedName>
    <definedName name="F17_Alloc_IntOr_Tot_I_AMD11">#REF!</definedName>
    <definedName name="F17_Alloc_IntOr_Tot_I_AMD12">#REF!</definedName>
    <definedName name="F17_Alloc_IntOr_Tot_I_EUR11">#REF!</definedName>
    <definedName name="F17_Alloc_IntOr_Tot_I_EUR12">#REF!</definedName>
    <definedName name="F17_Alloc_IntOr_Tot_I_OthC11">#REF!</definedName>
    <definedName name="F17_Alloc_IntOr_Tot_I_OthC12">#REF!</definedName>
    <definedName name="F17_Alloc_IntOr_Tot_I_RUR11">#REF!</definedName>
    <definedName name="F17_Alloc_IntOr_Tot_I_RUR12">#REF!</definedName>
    <definedName name="F17_Alloc_IntOr_Tot_I_USD11">#REF!</definedName>
    <definedName name="F17_Alloc_IntOr_Tot_I_USD12">#REF!</definedName>
    <definedName name="F17_Alloc_OthBn_15D_Am_AMD">#REF!</definedName>
    <definedName name="F17_Alloc_OthBn_15D_Am_EUR">#REF!</definedName>
    <definedName name="F17_Alloc_OthBn_15D_Am_OthC">#REF!</definedName>
    <definedName name="F17_Alloc_OthBn_15D_Am_RUR">#REF!</definedName>
    <definedName name="F17_Alloc_OthBn_15D_Am_USD">#REF!</definedName>
    <definedName name="F17_Alloc_OthBn_15D_I_AMD">#REF!</definedName>
    <definedName name="F17_Alloc_OthBn_15D_I_EUR">#REF!</definedName>
    <definedName name="F17_Alloc_OthBn_15D_I_OthC">#REF!</definedName>
    <definedName name="F17_Alloc_OthBn_15D_I_RUR">#REF!</definedName>
    <definedName name="F17_Alloc_OthBn_15D_I_USD">#REF!</definedName>
    <definedName name="F17_Alloc_OthBn_180D_Am_AMD">#REF!</definedName>
    <definedName name="F17_Alloc_OthBn_180D_Am_EUR">#REF!</definedName>
    <definedName name="F17_Alloc_OthBn_180D_Am_OthC">#REF!</definedName>
    <definedName name="F17_Alloc_OthBn_180D_Am_RUR">#REF!</definedName>
    <definedName name="F17_Alloc_OthBn_180D_Am_USD">#REF!</definedName>
    <definedName name="F17_Alloc_OthBn_180D_I_AMD">#REF!</definedName>
    <definedName name="F17_Alloc_OthBn_180D_I_EUR">#REF!</definedName>
    <definedName name="F17_Alloc_OthBn_180D_I_OthC">#REF!</definedName>
    <definedName name="F17_Alloc_OthBn_180D_I_RUR">#REF!</definedName>
    <definedName name="F17_Alloc_OthBn_180D_I_USD">#REF!</definedName>
    <definedName name="F17_Alloc_OthBn_30D_Am_AMD">#REF!</definedName>
    <definedName name="F17_Alloc_OthBn_30D_Am_EUR">#REF!</definedName>
    <definedName name="F17_Alloc_OthBn_30D_Am_OthC">#REF!</definedName>
    <definedName name="F17_Alloc_OthBn_30D_Am_RUR">#REF!</definedName>
    <definedName name="F17_Alloc_OthBn_30D_Am_USD">#REF!</definedName>
    <definedName name="F17_Alloc_OthBn_30D_I_AMD">#REF!</definedName>
    <definedName name="F17_Alloc_OthBn_30D_I_EUR">#REF!</definedName>
    <definedName name="F17_Alloc_OthBn_30D_I_OthC">#REF!</definedName>
    <definedName name="F17_Alloc_OthBn_30D_I_RUR">#REF!</definedName>
    <definedName name="F17_Alloc_OthBn_30D_I_USD">#REF!</definedName>
    <definedName name="F17_Alloc_OthBn_360D_Am_AMD">#REF!</definedName>
    <definedName name="F17_Alloc_OthBn_360D_Am_EUR">#REF!</definedName>
    <definedName name="F17_Alloc_OthBn_360D_Am_OthC">#REF!</definedName>
    <definedName name="F17_Alloc_OthBn_360D_Am_RUR">#REF!</definedName>
    <definedName name="F17_Alloc_OthBn_360D_Am_USD">#REF!</definedName>
    <definedName name="F17_Alloc_OthBn_360D_I_AMD">#REF!</definedName>
    <definedName name="F17_Alloc_OthBn_360D_I_EUR">#REF!</definedName>
    <definedName name="F17_Alloc_OthBn_360D_I_OthC">#REF!</definedName>
    <definedName name="F17_Alloc_OthBn_360D_I_RUR">#REF!</definedName>
    <definedName name="F17_Alloc_OthBn_360D_I_USD">#REF!</definedName>
    <definedName name="F17_Alloc_OthBn_60D_Am_AMD">#REF!</definedName>
    <definedName name="F17_Alloc_OthBn_60D_Am_EUR">#REF!</definedName>
    <definedName name="F17_Alloc_OthBn_60D_Am_OthC">#REF!</definedName>
    <definedName name="F17_Alloc_OthBn_60D_Am_RUR">#REF!</definedName>
    <definedName name="F17_Alloc_OthBn_60D_Am_USD">#REF!</definedName>
    <definedName name="F17_Alloc_OthBn_60D_I_AMD">#REF!</definedName>
    <definedName name="F17_Alloc_OthBn_60D_I_EUR">#REF!</definedName>
    <definedName name="F17_Alloc_OthBn_60D_I_OthC">#REF!</definedName>
    <definedName name="F17_Alloc_OthBn_60D_I_RUR">#REF!</definedName>
    <definedName name="F17_Alloc_OthBn_60D_I_USD">#REF!</definedName>
    <definedName name="F17_Alloc_OthBn_90D_Am_AMD">#REF!</definedName>
    <definedName name="F17_Alloc_OthBn_90D_Am_EUR">#REF!</definedName>
    <definedName name="F17_Alloc_OthBn_90D_Am_OthC">#REF!</definedName>
    <definedName name="F17_Alloc_OthBn_90D_Am_RUR">#REF!</definedName>
    <definedName name="F17_Alloc_OthBn_90D_Am_USD">#REF!</definedName>
    <definedName name="F17_Alloc_OthBn_90D_I_AMD">#REF!</definedName>
    <definedName name="F17_Alloc_OthBn_90D_I_EUR">#REF!</definedName>
    <definedName name="F17_Alloc_OthBn_90D_I_OthC">#REF!</definedName>
    <definedName name="F17_Alloc_OthBn_90D_I_RUR">#REF!</definedName>
    <definedName name="F17_Alloc_OthBn_90D_I_USD">#REF!</definedName>
    <definedName name="F17_Alloc_OthBn_Dem_Am_AMD">#REF!</definedName>
    <definedName name="F17_Alloc_OthBn_Dem_Am_EUR">#REF!</definedName>
    <definedName name="F17_Alloc_OthBn_Dem_Am_OthC">#REF!</definedName>
    <definedName name="F17_Alloc_OthBn_Dem_Am_RUR">#REF!</definedName>
    <definedName name="F17_Alloc_OthBn_Dem_Am_USD">#REF!</definedName>
    <definedName name="F17_Alloc_OthBn_Dem_I_AMD">#REF!</definedName>
    <definedName name="F17_Alloc_OthBn_Dem_I_EUR">#REF!</definedName>
    <definedName name="F17_Alloc_OthBn_Dem_I_OthC">#REF!</definedName>
    <definedName name="F17_Alloc_OthBn_Dem_I_RUR">#REF!</definedName>
    <definedName name="F17_Alloc_OthBn_Dem_I_USD">#REF!</definedName>
    <definedName name="F17_Alloc_OthBn_Mr360D_Am_AMD">#REF!</definedName>
    <definedName name="F17_Alloc_OthBn_Mr360D_Am_EUR">#REF!</definedName>
    <definedName name="F17_Alloc_OthBn_Mr360D_Am_OthC">#REF!</definedName>
    <definedName name="F17_Alloc_OthBn_Mr360D_Am_RUR">#REF!</definedName>
    <definedName name="F17_Alloc_OthBn_Mr360D_Am_USD">#REF!</definedName>
    <definedName name="F17_Alloc_OthBn_Mr360D_I_AMD">#REF!</definedName>
    <definedName name="F17_Alloc_OthBn_Mr360D_I_EUR">#REF!</definedName>
    <definedName name="F17_Alloc_OthBn_Mr360D_I_OthC">#REF!</definedName>
    <definedName name="F17_Alloc_OthBn_Mr360D_I_RUR">#REF!</definedName>
    <definedName name="F17_Alloc_OthBn_Mr360D_I_USD">#REF!</definedName>
    <definedName name="F17_Alloc_OthBn_Tot_Am_AMD1">#REF!</definedName>
    <definedName name="F17_Alloc_OthBn_Tot_Am_EUR1">#REF!</definedName>
    <definedName name="F17_Alloc_OthBn_Tot_Am_OthC1">#REF!</definedName>
    <definedName name="F17_Alloc_OthBn_Tot_Am_RUR1">#REF!</definedName>
    <definedName name="F17_Alloc_OthBn_Tot_Am_USD1">#REF!</definedName>
    <definedName name="F17_Alloc_OthBn_Tot_I_AMD11">#REF!</definedName>
    <definedName name="F17_Alloc_OthBn_Tot_I_AMD12">#REF!</definedName>
    <definedName name="F17_Alloc_OthBn_Tot_I_EUR11">#REF!</definedName>
    <definedName name="F17_Alloc_OthBn_Tot_I_EUR12">#REF!</definedName>
    <definedName name="F17_Alloc_OthBn_Tot_I_OthC11">#REF!</definedName>
    <definedName name="F17_Alloc_OthBn_Tot_I_OthC12">#REF!</definedName>
    <definedName name="F17_Alloc_OthBn_Tot_I_RUR11">#REF!</definedName>
    <definedName name="F17_Alloc_OthBn_Tot_I_RUR12">#REF!</definedName>
    <definedName name="F17_Alloc_OthBn_Tot_I_USD11">#REF!</definedName>
    <definedName name="F17_Alloc_OthBn_Tot_I_USD12">#REF!</definedName>
    <definedName name="F17_Alloc_Repo_15D_Am_ABnk">#REF!</definedName>
    <definedName name="F17_Alloc_Repo_15D_Am_Bus">#REF!</definedName>
    <definedName name="F17_Alloc_Repo_15D_Am_Ind">#REF!</definedName>
    <definedName name="F17_Alloc_Repo_15D_Am_OthBn">#REF!</definedName>
    <definedName name="F17_Alloc_Repo_15D_I_ABnk">#REF!</definedName>
    <definedName name="F17_Alloc_Repo_15D_I_Bus">#REF!</definedName>
    <definedName name="F17_Alloc_Repo_15D_I_Ind">#REF!</definedName>
    <definedName name="F17_Alloc_Repo_15D_I_OthBn">#REF!</definedName>
    <definedName name="F17_Alloc_Repo_180D_Am_ABnk">#REF!</definedName>
    <definedName name="F17_Alloc_Repo_180D_Am_Bus">#REF!</definedName>
    <definedName name="F17_Alloc_Repo_180D_Am_Ind">#REF!</definedName>
    <definedName name="F17_Alloc_Repo_180D_Am_OthBn">#REF!</definedName>
    <definedName name="F17_Alloc_Repo_180D_I_ABnk">#REF!</definedName>
    <definedName name="F17_Alloc_Repo_180D_I_Bus">#REF!</definedName>
    <definedName name="F17_Alloc_Repo_180D_I_Ind">#REF!</definedName>
    <definedName name="F17_Alloc_Repo_180D_I_OthBn">#REF!</definedName>
    <definedName name="F17_Alloc_Repo_30D_Am_ABnk">#REF!</definedName>
    <definedName name="F17_Alloc_Repo_30D_Am_Bus">#REF!</definedName>
    <definedName name="F17_Alloc_Repo_30D_Am_Ind">#REF!</definedName>
    <definedName name="F17_Alloc_Repo_30D_Am_OthBn">#REF!</definedName>
    <definedName name="F17_Alloc_Repo_30D_I_ABnk">#REF!</definedName>
    <definedName name="F17_Alloc_Repo_30D_I_Bus">#REF!</definedName>
    <definedName name="F17_Alloc_Repo_30D_I_Ind">#REF!</definedName>
    <definedName name="F17_Alloc_Repo_30D_I_OthBn">#REF!</definedName>
    <definedName name="F17_Alloc_Repo_360D_Am_ABnk">#REF!</definedName>
    <definedName name="F17_Alloc_Repo_360D_Am_Bus">#REF!</definedName>
    <definedName name="F17_Alloc_Repo_360D_Am_Ind">#REF!</definedName>
    <definedName name="F17_Alloc_Repo_360D_Am_OthBn">#REF!</definedName>
    <definedName name="F17_Alloc_Repo_360D_I_ABnk">#REF!</definedName>
    <definedName name="F17_Alloc_Repo_360D_I_Bus">#REF!</definedName>
    <definedName name="F17_Alloc_Repo_360D_I_Ind">#REF!</definedName>
    <definedName name="F17_Alloc_Repo_360D_I_OthBn">#REF!</definedName>
    <definedName name="F17_Alloc_Repo_60D_Am_ABnk">#REF!</definedName>
    <definedName name="F17_Alloc_Repo_60D_Am_Bus">#REF!</definedName>
    <definedName name="F17_Alloc_Repo_60D_Am_Ind">#REF!</definedName>
    <definedName name="F17_Alloc_Repo_60D_Am_OthBn">#REF!</definedName>
    <definedName name="F17_Alloc_Repo_60D_I_ABnk">#REF!</definedName>
    <definedName name="F17_Alloc_Repo_60D_I_Bus">#REF!</definedName>
    <definedName name="F17_Alloc_Repo_60D_I_Ind">#REF!</definedName>
    <definedName name="F17_Alloc_Repo_60D_I_OthBn">#REF!</definedName>
    <definedName name="F17_Alloc_Repo_90D_Am_ABnk">#REF!</definedName>
    <definedName name="F17_Alloc_Repo_90D_Am_Bus">#REF!</definedName>
    <definedName name="F17_Alloc_Repo_90D_Am_Ind">#REF!</definedName>
    <definedName name="F17_Alloc_Repo_90D_Am_OthBn">#REF!</definedName>
    <definedName name="F17_Alloc_Repo_90D_I_ABnk">#REF!</definedName>
    <definedName name="F17_Alloc_Repo_90D_I_Bus">#REF!</definedName>
    <definedName name="F17_Alloc_Repo_90D_I_Ind">#REF!</definedName>
    <definedName name="F17_Alloc_Repo_90D_I_OthBn">#REF!</definedName>
    <definedName name="F17_Alloc_Repo_Dem_Am_ABnk">#REF!</definedName>
    <definedName name="F17_Alloc_Repo_Dem_Am_Bus">#REF!</definedName>
    <definedName name="F17_Alloc_Repo_Dem_Am_Ind">#REF!</definedName>
    <definedName name="F17_Alloc_Repo_Dem_Am_OthBn">#REF!</definedName>
    <definedName name="F17_Alloc_Repo_Dem_I_ABnk">#REF!</definedName>
    <definedName name="F17_Alloc_Repo_Dem_I_Bus">#REF!</definedName>
    <definedName name="F17_Alloc_Repo_Dem_I_Ind">#REF!</definedName>
    <definedName name="F17_Alloc_Repo_Dem_I_OthBn">#REF!</definedName>
    <definedName name="F17_Alloc_Repo_Mr360D_Am_ABnk">#REF!</definedName>
    <definedName name="F17_Alloc_Repo_Mr360D_Am_Bus">#REF!</definedName>
    <definedName name="F17_Alloc_Repo_Mr360D_Am_Ind">#REF!</definedName>
    <definedName name="F17_Alloc_Repo_Mr360D_Am_OthBn">#REF!</definedName>
    <definedName name="F17_Alloc_Repo_Mr360D_I_ABnk">#REF!</definedName>
    <definedName name="F17_Alloc_Repo_Mr360D_I_Bus">#REF!</definedName>
    <definedName name="F17_Alloc_Repo_Mr360D_I_Ind">#REF!</definedName>
    <definedName name="F17_Alloc_Repo_Mr360D_I_OthBn">#REF!</definedName>
    <definedName name="F17_Alloc_Repo_Tot_Am_ABnk1">#REF!</definedName>
    <definedName name="F17_Alloc_Repo_Tot_Am_Bus1">#REF!</definedName>
    <definedName name="F17_Alloc_Repo_Tot_Am_Ind1">#REF!</definedName>
    <definedName name="F17_Alloc_Repo_Tot_Am_OthBn1">#REF!</definedName>
    <definedName name="F17_Alloc_Repo_Tot_I_ABnk11">#REF!</definedName>
    <definedName name="F17_Alloc_Repo_Tot_I_ABnk12">#REF!</definedName>
    <definedName name="F17_Alloc_Repo_Tot_I_Bus11">#REF!</definedName>
    <definedName name="F17_Alloc_Repo_Tot_I_Bus12">#REF!</definedName>
    <definedName name="F17_Alloc_Repo_Tot_I_Ind11">#REF!</definedName>
    <definedName name="F17_Alloc_Repo_Tot_I_Ind12">#REF!</definedName>
    <definedName name="F17_Alloc_Repo_Tot_I_OthBn11">#REF!</definedName>
    <definedName name="F17_Alloc_Repo_Tot_I_OthBn12">#REF!</definedName>
    <definedName name="F17_Alloc_RepoF_Mr360D_Am">#REF!</definedName>
    <definedName name="F17_Alloc_RepoFX_15D_Am">#REF!</definedName>
    <definedName name="F17_Alloc_RepoFX_15D_I">#REF!</definedName>
    <definedName name="F17_Alloc_RepoFX_180D_Am">#REF!</definedName>
    <definedName name="F17_Alloc_RepoFX_180D_I">#REF!</definedName>
    <definedName name="F17_Alloc_RepoFX_30D_Am">#REF!</definedName>
    <definedName name="F17_Alloc_RepoFX_30D_I">#REF!</definedName>
    <definedName name="F17_Alloc_RepoFX_360D_Am">#REF!</definedName>
    <definedName name="F17_Alloc_RepoFX_360D_I">#REF!</definedName>
    <definedName name="F17_Alloc_RepoFX_60D_Am">#REF!</definedName>
    <definedName name="F17_Alloc_RepoFX_60D_I">#REF!</definedName>
    <definedName name="F17_Alloc_RepoFX_90D_Am">#REF!</definedName>
    <definedName name="F17_Alloc_RepoFX_90D_I">#REF!</definedName>
    <definedName name="F17_Alloc_RepoFX_Dem_Am">#REF!</definedName>
    <definedName name="F17_Alloc_RepoFX_Dem_I">#REF!</definedName>
    <definedName name="F17_Alloc_RepoFX_Mr360D_I">#REF!</definedName>
    <definedName name="F17_Alloc_RRepoFX_Tot_Am1">#REF!</definedName>
    <definedName name="F17_Alloc_RRepoFX_Tot_I11">#REF!</definedName>
    <definedName name="F17_Alloc_RRepoFX_Tot_I12">#REF!</definedName>
    <definedName name="F17_Attr_ABnk_15D_Am_AMD">#REF!</definedName>
    <definedName name="F17_Attr_ABnk_15D_Am_EUR">#REF!</definedName>
    <definedName name="F17_Attr_ABnk_15D_Am_OthC">#REF!</definedName>
    <definedName name="F17_Attr_ABnk_15D_Am_RUR">#REF!</definedName>
    <definedName name="F17_Attr_ABnk_15D_Am_USD">#REF!</definedName>
    <definedName name="F17_Attr_ABnk_15D_I_AMD">#REF!</definedName>
    <definedName name="F17_Attr_ABnk_15D_I_EUR">#REF!</definedName>
    <definedName name="F17_Attr_ABnk_15D_I_OthC">#REF!</definedName>
    <definedName name="F17_Attr_ABnk_15D_I_RUR">#REF!</definedName>
    <definedName name="F17_Attr_ABnk_15D_I_USD">#REF!</definedName>
    <definedName name="F17_Attr_ABnk_180D_Am_AMD">#REF!</definedName>
    <definedName name="F17_Attr_ABnk_180D_Am_EUR">#REF!</definedName>
    <definedName name="F17_Attr_ABnk_180D_Am_OthC">#REF!</definedName>
    <definedName name="F17_Attr_ABnk_180D_Am_RUR">#REF!</definedName>
    <definedName name="F17_Attr_ABnk_180D_Am_USD">#REF!</definedName>
    <definedName name="F17_Attr_ABnk_180D_I_AMD">#REF!</definedName>
    <definedName name="F17_Attr_ABnk_180D_I_EUR">#REF!</definedName>
    <definedName name="F17_Attr_ABnk_180D_I_OthC">#REF!</definedName>
    <definedName name="F17_Attr_ABnk_180D_I_RUR">#REF!</definedName>
    <definedName name="F17_Attr_ABnk_180D_I_USD">#REF!</definedName>
    <definedName name="F17_Attr_ABnk_30D_Am_AMD">#REF!</definedName>
    <definedName name="F17_Attr_ABnk_30D_Am_EUR">#REF!</definedName>
    <definedName name="F17_Attr_ABnk_30D_Am_OthC">#REF!</definedName>
    <definedName name="F17_Attr_ABnk_30D_Am_RUR">#REF!</definedName>
    <definedName name="F17_Attr_ABnk_30D_Am_USD">#REF!</definedName>
    <definedName name="F17_Attr_ABnk_30D_I_AMD">#REF!</definedName>
    <definedName name="F17_Attr_ABnk_30D_I_EUR">#REF!</definedName>
    <definedName name="F17_Attr_ABnk_30D_I_OthC">#REF!</definedName>
    <definedName name="F17_Attr_ABnk_30D_I_RUR">#REF!</definedName>
    <definedName name="F17_Attr_ABnk_30D_I_USD">#REF!</definedName>
    <definedName name="F17_Attr_ABnk_360D_Am_AMD">#REF!</definedName>
    <definedName name="F17_Attr_ABnk_360D_Am_EUR">#REF!</definedName>
    <definedName name="F17_Attr_ABnk_360D_Am_OthC">#REF!</definedName>
    <definedName name="F17_Attr_ABnk_360D_Am_RUR">#REF!</definedName>
    <definedName name="F17_Attr_ABnk_360D_Am_USD">#REF!</definedName>
    <definedName name="F17_Attr_ABnk_360D_I_AMD">#REF!</definedName>
    <definedName name="F17_Attr_ABnk_360D_I_EUR">#REF!</definedName>
    <definedName name="F17_Attr_ABnk_360D_I_OthC">#REF!</definedName>
    <definedName name="F17_Attr_ABnk_360D_I_RUR">#REF!</definedName>
    <definedName name="F17_Attr_ABnk_360D_I_USD">#REF!</definedName>
    <definedName name="F17_Attr_ABnk_60D_Am_AMD">#REF!</definedName>
    <definedName name="F17_Attr_ABnk_60D_Am_EUR">#REF!</definedName>
    <definedName name="F17_Attr_ABnk_60D_Am_OthC">#REF!</definedName>
    <definedName name="F17_Attr_ABnk_60D_Am_RUR">#REF!</definedName>
    <definedName name="F17_Attr_ABnk_60D_Am_USD">#REF!</definedName>
    <definedName name="F17_Attr_ABnk_60D_I_AMD">#REF!</definedName>
    <definedName name="F17_Attr_ABnk_60D_I_EUR">#REF!</definedName>
    <definedName name="F17_Attr_ABnk_60D_I_OthC">#REF!</definedName>
    <definedName name="F17_Attr_ABnk_60D_I_RUR">#REF!</definedName>
    <definedName name="F17_Attr_ABnk_60D_I_USD">#REF!</definedName>
    <definedName name="F17_Attr_ABnk_90D_Am_AMD">#REF!</definedName>
    <definedName name="F17_Attr_ABnk_90D_Am_EUR">#REF!</definedName>
    <definedName name="F17_Attr_ABnk_90D_Am_OthC">#REF!</definedName>
    <definedName name="F17_Attr_ABnk_90D_Am_RUR">#REF!</definedName>
    <definedName name="F17_Attr_ABnk_90D_Am_USD">#REF!</definedName>
    <definedName name="F17_Attr_ABnk_90D_I_AMD">#REF!</definedName>
    <definedName name="F17_Attr_ABnk_90D_I_EUR">#REF!</definedName>
    <definedName name="F17_Attr_ABnk_90D_I_OthC">#REF!</definedName>
    <definedName name="F17_Attr_ABnk_90D_I_RUR">#REF!</definedName>
    <definedName name="F17_Attr_ABnk_90D_I_USD">#REF!</definedName>
    <definedName name="F17_Attr_ABnk_Dem_Am_AMD">#REF!</definedName>
    <definedName name="F17_Attr_ABnk_Dem_Am_EUR">#REF!</definedName>
    <definedName name="F17_Attr_ABnk_Dem_Am_OthC">#REF!</definedName>
    <definedName name="F17_Attr_ABnk_Dem_Am_RUR">#REF!</definedName>
    <definedName name="F17_Attr_ABnk_Dem_Am_USD">#REF!</definedName>
    <definedName name="F17_Attr_ABnk_Dem_I_AMD">#REF!</definedName>
    <definedName name="F17_Attr_ABnk_Dem_I_EUR">#REF!</definedName>
    <definedName name="F17_Attr_ABnk_Dem_I_OthC">#REF!</definedName>
    <definedName name="F17_Attr_ABnk_Dem_I_RUR">#REF!</definedName>
    <definedName name="F17_Attr_ABnk_Dem_I_USD">#REF!</definedName>
    <definedName name="F17_Attr_ABnk_Mr360D_Am_AMD">#REF!</definedName>
    <definedName name="F17_Attr_ABnk_Mr360D_Am_EUR">#REF!</definedName>
    <definedName name="F17_Attr_ABnk_Mr360D_Am_OthC">#REF!</definedName>
    <definedName name="F17_Attr_ABnk_Mr360D_Am_RUR">#REF!</definedName>
    <definedName name="F17_Attr_ABnk_Mr360D_Am_USD">#REF!</definedName>
    <definedName name="F17_Attr_ABnk_Mr360D_I_AMD">#REF!</definedName>
    <definedName name="F17_Attr_ABnk_Mr360D_I_EUR">#REF!</definedName>
    <definedName name="F17_Attr_ABnk_Mr360D_I_OthC">#REF!</definedName>
    <definedName name="F17_Attr_ABnk_Mr360D_I_RUR">#REF!</definedName>
    <definedName name="F17_Attr_ABnk_Mr360D_I_USD">#REF!</definedName>
    <definedName name="F17_Attr_ABnk_Tot_Am_AMD1">#REF!</definedName>
    <definedName name="F17_Attr_ABnk_Tot_Am_EUR1">#REF!</definedName>
    <definedName name="F17_Attr_ABnk_Tot_Am_OthC1">#REF!</definedName>
    <definedName name="F17_Attr_ABnk_Tot_Am_RUR1">#REF!</definedName>
    <definedName name="F17_Attr_ABnk_Tot_Am_USD1">#REF!</definedName>
    <definedName name="F17_Attr_ABnk_Tot_I_AMD11">#REF!</definedName>
    <definedName name="F17_Attr_ABnk_Tot_I_AMD12">#REF!</definedName>
    <definedName name="F17_Attr_ABnk_Tot_I_EUR11">#REF!</definedName>
    <definedName name="F17_Attr_ABnk_Tot_I_EUR12">#REF!</definedName>
    <definedName name="F17_Attr_ABnk_Tot_I_OthC11">#REF!</definedName>
    <definedName name="F17_Attr_ABnk_Tot_I_OthC12">#REF!</definedName>
    <definedName name="F17_Attr_ABnk_Tot_I_RUR11">#REF!</definedName>
    <definedName name="F17_Attr_ABnk_Tot_I_RUR12">#REF!</definedName>
    <definedName name="F17_Attr_ABnk_Tot_I_USD11">#REF!</definedName>
    <definedName name="F17_Attr_ABnk_Tot_I_USD12">#REF!</definedName>
    <definedName name="F17_Attr_Bus_15D_Am_AMD">#REF!</definedName>
    <definedName name="F17_Attr_Bus_15D_Am_EUR">#REF!</definedName>
    <definedName name="F17_Attr_Bus_15D_Am_OthC">#REF!</definedName>
    <definedName name="F17_Attr_Bus_15D_Am_RUR">#REF!</definedName>
    <definedName name="F17_Attr_Bus_15D_Am_USD">#REF!</definedName>
    <definedName name="F17_Attr_Bus_15D_I_AMD">#REF!</definedName>
    <definedName name="F17_Attr_Bus_15D_I_EUR">#REF!</definedName>
    <definedName name="F17_Attr_Bus_15D_I_OthC">#REF!</definedName>
    <definedName name="F17_Attr_Bus_15D_I_RUR">#REF!</definedName>
    <definedName name="F17_Attr_Bus_15D_I_USD">#REF!</definedName>
    <definedName name="F17_Attr_Bus_180D_Am_AMD">#REF!</definedName>
    <definedName name="F17_Attr_Bus_180D_Am_EUR">#REF!</definedName>
    <definedName name="F17_Attr_Bus_180D_Am_OthC">#REF!</definedName>
    <definedName name="F17_Attr_Bus_180D_Am_RUR">#REF!</definedName>
    <definedName name="F17_Attr_Bus_180D_Am_USD">#REF!</definedName>
    <definedName name="F17_Attr_Bus_180D_I_AMD">#REF!</definedName>
    <definedName name="F17_Attr_Bus_180D_I_EUR">#REF!</definedName>
    <definedName name="F17_Attr_Bus_180D_I_OthC">#REF!</definedName>
    <definedName name="F17_Attr_Bus_180D_I_RUR">#REF!</definedName>
    <definedName name="F17_Attr_Bus_180D_I_USD">#REF!</definedName>
    <definedName name="F17_Attr_Bus_30D_Am_AMD">#REF!</definedName>
    <definedName name="F17_Attr_Bus_30D_Am_EUR">#REF!</definedName>
    <definedName name="F17_Attr_Bus_30D_Am_OthC">#REF!</definedName>
    <definedName name="F17_Attr_Bus_30D_Am_RUR">#REF!</definedName>
    <definedName name="F17_Attr_Bus_30D_Am_USD">#REF!</definedName>
    <definedName name="F17_Attr_Bus_30D_I_AMD">#REF!</definedName>
    <definedName name="F17_Attr_Bus_30D_I_EUR">#REF!</definedName>
    <definedName name="F17_Attr_Bus_30D_I_OthC">#REF!</definedName>
    <definedName name="F17_Attr_Bus_30D_I_RUR">#REF!</definedName>
    <definedName name="F17_Attr_Bus_30D_I_USD">#REF!</definedName>
    <definedName name="F17_Attr_Bus_360D_Am_AMD">#REF!</definedName>
    <definedName name="F17_Attr_Bus_360D_Am_EUR">#REF!</definedName>
    <definedName name="F17_Attr_Bus_360D_Am_OthC">#REF!</definedName>
    <definedName name="F17_Attr_Bus_360D_Am_RUR">#REF!</definedName>
    <definedName name="F17_Attr_Bus_360D_Am_USD">#REF!</definedName>
    <definedName name="F17_Attr_Bus_360D_I_AMD">#REF!</definedName>
    <definedName name="F17_Attr_Bus_360D_I_EUR">#REF!</definedName>
    <definedName name="F17_Attr_Bus_360D_I_OthC">#REF!</definedName>
    <definedName name="F17_Attr_Bus_360D_I_RUR">#REF!</definedName>
    <definedName name="F17_Attr_Bus_360D_I_USD">#REF!</definedName>
    <definedName name="F17_Attr_Bus_60D_Am_AMD">#REF!</definedName>
    <definedName name="F17_Attr_Bus_60D_Am_EUR">#REF!</definedName>
    <definedName name="F17_Attr_Bus_60D_Am_OthC">#REF!</definedName>
    <definedName name="F17_Attr_Bus_60D_Am_RUR">#REF!</definedName>
    <definedName name="F17_Attr_Bus_60D_Am_USD">#REF!</definedName>
    <definedName name="F17_Attr_Bus_60D_I_AMD">#REF!</definedName>
    <definedName name="F17_Attr_Bus_60D_I_EUR">#REF!</definedName>
    <definedName name="F17_Attr_Bus_60D_I_OthC">#REF!</definedName>
    <definedName name="F17_Attr_Bus_60D_I_RUR">#REF!</definedName>
    <definedName name="F17_Attr_Bus_60D_I_USD">#REF!</definedName>
    <definedName name="F17_Attr_Bus_90D_Am_AMD">#REF!</definedName>
    <definedName name="F17_Attr_Bus_90D_Am_EUR">#REF!</definedName>
    <definedName name="F17_Attr_Bus_90D_Am_OthC">#REF!</definedName>
    <definedName name="F17_Attr_Bus_90D_Am_RUR">#REF!</definedName>
    <definedName name="F17_Attr_Bus_90D_Am_USD">#REF!</definedName>
    <definedName name="F17_Attr_Bus_90D_I_AMD">#REF!</definedName>
    <definedName name="F17_Attr_Bus_90D_I_EUR">#REF!</definedName>
    <definedName name="F17_Attr_Bus_90D_I_OthC">#REF!</definedName>
    <definedName name="F17_Attr_Bus_90D_I_RUR">#REF!</definedName>
    <definedName name="F17_Attr_Bus_90D_I_USD">#REF!</definedName>
    <definedName name="F17_Attr_Bus_Dem_Am_AMD">#REF!</definedName>
    <definedName name="F17_Attr_Bus_Dem_Am_EUR">#REF!</definedName>
    <definedName name="F17_Attr_Bus_Dem_Am_OthC">#REF!</definedName>
    <definedName name="F17_Attr_Bus_Dem_Am_RUR">#REF!</definedName>
    <definedName name="F17_Attr_Bus_Dem_Am_USD">#REF!</definedName>
    <definedName name="F17_Attr_Bus_Dem_I_AMD">#REF!</definedName>
    <definedName name="F17_Attr_Bus_Dem_I_EUR">#REF!</definedName>
    <definedName name="F17_Attr_Bus_Dem_I_OthC">#REF!</definedName>
    <definedName name="F17_Attr_Bus_Dem_I_RUR">#REF!</definedName>
    <definedName name="F17_Attr_Bus_Dem_I_USD">#REF!</definedName>
    <definedName name="F17_Attr_Bus_Mr360D_Am_AMD">#REF!</definedName>
    <definedName name="F17_Attr_Bus_Mr360D_Am_EUR">#REF!</definedName>
    <definedName name="F17_Attr_Bus_Mr360D_Am_OthC">#REF!</definedName>
    <definedName name="F17_Attr_Bus_Mr360D_Am_RUR">#REF!</definedName>
    <definedName name="F17_Attr_Bus_Mr360D_Am_USD">#REF!</definedName>
    <definedName name="F17_Attr_Bus_Mr360D_I_AMD">#REF!</definedName>
    <definedName name="F17_Attr_Bus_Mr360D_I_EUR">#REF!</definedName>
    <definedName name="F17_Attr_Bus_Mr360D_I_OthC">#REF!</definedName>
    <definedName name="F17_Attr_Bus_Mr360D_I_RUR">#REF!</definedName>
    <definedName name="F17_Attr_Bus_Mr360D_I_USD">#REF!</definedName>
    <definedName name="F17_Attr_Bus_Tot_Am_AMD1">#REF!</definedName>
    <definedName name="F17_Attr_Bus_Tot_Am_EUR1">#REF!</definedName>
    <definedName name="F17_Attr_Bus_Tot_Am_OthC1">#REF!</definedName>
    <definedName name="F17_Attr_Bus_Tot_Am_RUR1">#REF!</definedName>
    <definedName name="F17_Attr_Bus_Tot_Am_USD1">#REF!</definedName>
    <definedName name="F17_Attr_Bus_Tot_I_AMD11">#REF!</definedName>
    <definedName name="F17_Attr_Bus_Tot_I_AMD12">#REF!</definedName>
    <definedName name="F17_Attr_Bus_Tot_I_EUR11">#REF!</definedName>
    <definedName name="F17_Attr_Bus_Tot_I_EUR12">#REF!</definedName>
    <definedName name="F17_Attr_Bus_Tot_I_OthC11">#REF!</definedName>
    <definedName name="F17_Attr_Bus_Tot_I_OthC12">#REF!</definedName>
    <definedName name="F17_Attr_Bus_Tot_I_RUR11">#REF!</definedName>
    <definedName name="F17_Attr_Bus_Tot_I_RUR12">#REF!</definedName>
    <definedName name="F17_Attr_Bus_Tot_I_USD11">#REF!</definedName>
    <definedName name="F17_Attr_Bus_Tot_I_USD12">#REF!</definedName>
    <definedName name="F17_Attr_Ind_15D_Am_AMD">#REF!</definedName>
    <definedName name="F17_Attr_Ind_15D_Am_EUR">#REF!</definedName>
    <definedName name="F17_Attr_Ind_15D_Am_OthC">#REF!</definedName>
    <definedName name="F17_Attr_Ind_15D_Am_RUR">#REF!</definedName>
    <definedName name="F17_Attr_Ind_15D_Am_USD">#REF!</definedName>
    <definedName name="F17_Attr_Ind_15D_I_AMD">#REF!</definedName>
    <definedName name="F17_Attr_Ind_15D_I_EUR">#REF!</definedName>
    <definedName name="F17_Attr_Ind_15D_I_OthC">#REF!</definedName>
    <definedName name="F17_Attr_Ind_15D_I_RUR">#REF!</definedName>
    <definedName name="F17_Attr_Ind_15D_I_USD">#REF!</definedName>
    <definedName name="F17_Attr_Ind_180D_Am_AMD">#REF!</definedName>
    <definedName name="F17_Attr_Ind_180D_Am_EUR">#REF!</definedName>
    <definedName name="F17_Attr_Ind_180D_Am_OthC">#REF!</definedName>
    <definedName name="F17_Attr_Ind_180D_Am_RUR">#REF!</definedName>
    <definedName name="F17_Attr_Ind_180D_Am_USD">#REF!</definedName>
    <definedName name="F17_Attr_Ind_180D_I_AMD">#REF!</definedName>
    <definedName name="F17_Attr_Ind_180D_I_EUR">#REF!</definedName>
    <definedName name="F17_Attr_Ind_180D_I_OthC">#REF!</definedName>
    <definedName name="F17_Attr_Ind_180D_I_RUR">#REF!</definedName>
    <definedName name="F17_Attr_Ind_180D_I_USD">#REF!</definedName>
    <definedName name="F17_Attr_Ind_30D_Am_AMD">#REF!</definedName>
    <definedName name="F17_Attr_Ind_30D_Am_EUR">#REF!</definedName>
    <definedName name="F17_Attr_Ind_30D_Am_OthC">#REF!</definedName>
    <definedName name="F17_Attr_Ind_30D_Am_RUR">#REF!</definedName>
    <definedName name="F17_Attr_Ind_30D_Am_USD">#REF!</definedName>
    <definedName name="F17_Attr_Ind_30D_I_AMD">#REF!</definedName>
    <definedName name="F17_Attr_Ind_30D_I_EUR">#REF!</definedName>
    <definedName name="F17_Attr_Ind_30D_I_OthC">#REF!</definedName>
    <definedName name="F17_Attr_Ind_30D_I_RUR">#REF!</definedName>
    <definedName name="F17_Attr_Ind_30D_I_USD">#REF!</definedName>
    <definedName name="F17_Attr_Ind_360D_Am_AMD">#REF!</definedName>
    <definedName name="F17_Attr_Ind_360D_Am_EUR">#REF!</definedName>
    <definedName name="F17_Attr_Ind_360D_Am_OthC">#REF!</definedName>
    <definedName name="F17_Attr_Ind_360D_Am_RUR">#REF!</definedName>
    <definedName name="F17_Attr_Ind_360D_Am_USD">#REF!</definedName>
    <definedName name="F17_Attr_Ind_360D_I_AMD">#REF!</definedName>
    <definedName name="F17_Attr_Ind_360D_I_EUR">#REF!</definedName>
    <definedName name="F17_Attr_Ind_360D_I_OthC">#REF!</definedName>
    <definedName name="F17_Attr_Ind_360D_I_RUR">#REF!</definedName>
    <definedName name="F17_Attr_Ind_360D_I_USD">#REF!</definedName>
    <definedName name="F17_Attr_Ind_60D_Am_AMD">#REF!</definedName>
    <definedName name="F17_Attr_Ind_60D_Am_EUR">#REF!</definedName>
    <definedName name="F17_Attr_Ind_60D_Am_OthC">#REF!</definedName>
    <definedName name="F17_Attr_Ind_60D_Am_RUR">#REF!</definedName>
    <definedName name="F17_Attr_Ind_60D_Am_USD">#REF!</definedName>
    <definedName name="F17_Attr_Ind_60D_I_AMD">#REF!</definedName>
    <definedName name="F17_Attr_Ind_60D_I_EUR">#REF!</definedName>
    <definedName name="F17_Attr_Ind_60D_I_OthC">#REF!</definedName>
    <definedName name="F17_Attr_Ind_60D_I_RUR">#REF!</definedName>
    <definedName name="F17_Attr_Ind_60D_I_USD">#REF!</definedName>
    <definedName name="F17_Attr_Ind_90D_Am_AMD">#REF!</definedName>
    <definedName name="F17_Attr_Ind_90D_Am_EUR">#REF!</definedName>
    <definedName name="F17_Attr_Ind_90D_Am_OthC">#REF!</definedName>
    <definedName name="F17_Attr_Ind_90D_Am_RUR">#REF!</definedName>
    <definedName name="F17_Attr_Ind_90D_Am_USD">#REF!</definedName>
    <definedName name="F17_Attr_Ind_90D_I_AMD">#REF!</definedName>
    <definedName name="F17_Attr_Ind_90D_I_EUR">#REF!</definedName>
    <definedName name="F17_Attr_Ind_90D_I_OthC">#REF!</definedName>
    <definedName name="F17_Attr_Ind_90D_I_RUR">#REF!</definedName>
    <definedName name="F17_Attr_Ind_90D_I_USD">#REF!</definedName>
    <definedName name="F17_Attr_Ind_Dem_Am_AMD">#REF!</definedName>
    <definedName name="F17_Attr_Ind_Dem_Am_EUR">#REF!</definedName>
    <definedName name="F17_Attr_Ind_Dem_Am_OthC">#REF!</definedName>
    <definedName name="F17_Attr_Ind_Dem_Am_RUR">#REF!</definedName>
    <definedName name="F17_Attr_Ind_Dem_Am_USD">#REF!</definedName>
    <definedName name="F17_Attr_Ind_Dem_I_AMD">#REF!</definedName>
    <definedName name="F17_Attr_Ind_Dem_I_EUR">#REF!</definedName>
    <definedName name="F17_Attr_Ind_Dem_I_OthC">#REF!</definedName>
    <definedName name="F17_Attr_Ind_Dem_I_RUR">#REF!</definedName>
    <definedName name="F17_Attr_Ind_Dem_I_USD">#REF!</definedName>
    <definedName name="F17_Attr_Ind_Mr360D_Am_AMD">#REF!</definedName>
    <definedName name="F17_Attr_Ind_Mr360D_Am_EUR">#REF!</definedName>
    <definedName name="F17_Attr_Ind_Mr360D_Am_OthC">#REF!</definedName>
    <definedName name="F17_Attr_Ind_Mr360D_Am_RUR">#REF!</definedName>
    <definedName name="F17_Attr_Ind_Mr360D_Am_USD">#REF!</definedName>
    <definedName name="F17_Attr_Ind_Mr360D_I_AMD">#REF!</definedName>
    <definedName name="F17_Attr_Ind_Mr360D_I_EUR">#REF!</definedName>
    <definedName name="F17_Attr_Ind_Mr360D_I_OthC">#REF!</definedName>
    <definedName name="F17_Attr_Ind_Mr360D_I_RUR">#REF!</definedName>
    <definedName name="F17_Attr_Ind_Mr360D_I_USD">#REF!</definedName>
    <definedName name="F17_Attr_Ind_Tot_Am_AMD1">#REF!</definedName>
    <definedName name="F17_Attr_Ind_Tot_Am_EUR1">#REF!</definedName>
    <definedName name="F17_Attr_Ind_Tot_Am_OthC1">#REF!</definedName>
    <definedName name="F17_Attr_Ind_Tot_Am_RUR1">#REF!</definedName>
    <definedName name="F17_Attr_Ind_Tot_Am_USD1">#REF!</definedName>
    <definedName name="F17_Attr_Ind_Tot_I_AMD11">#REF!</definedName>
    <definedName name="F17_Attr_Ind_Tot_I_AMD12">#REF!</definedName>
    <definedName name="F17_Attr_Ind_Tot_I_EUR11">#REF!</definedName>
    <definedName name="F17_Attr_Ind_Tot_I_EUR12">#REF!</definedName>
    <definedName name="F17_Attr_Ind_Tot_I_OthC11">#REF!</definedName>
    <definedName name="F17_Attr_Ind_Tot_I_OthC12">#REF!</definedName>
    <definedName name="F17_Attr_Ind_Tot_I_RUR11">#REF!</definedName>
    <definedName name="F17_Attr_Ind_Tot_I_RUR12">#REF!</definedName>
    <definedName name="F17_Attr_Ind_Tot_I_USD11">#REF!</definedName>
    <definedName name="F17_Attr_Ind_Tot_I_USD12">#REF!</definedName>
    <definedName name="F17_Attr_IndCo_Mr360D_Am_OthC">#REF!</definedName>
    <definedName name="F17_Attr_IndCor_15D_Am_AMD">#REF!</definedName>
    <definedName name="F17_Attr_IndCor_15D_Am_EUR">#REF!</definedName>
    <definedName name="F17_Attr_IndCor_15D_Am_OthC">#REF!</definedName>
    <definedName name="F17_Attr_IndCor_15D_Am_RUR">#REF!</definedName>
    <definedName name="F17_Attr_IndCor_15D_Am_USD">#REF!</definedName>
    <definedName name="F17_Attr_IndCor_15D_I_AMD">#REF!</definedName>
    <definedName name="F17_Attr_IndCor_15D_I_EUR">#REF!</definedName>
    <definedName name="F17_Attr_IndCor_15D_I_OthC">#REF!</definedName>
    <definedName name="F17_Attr_IndCor_15D_I_RUR">#REF!</definedName>
    <definedName name="F17_Attr_IndCor_15D_I_USD">#REF!</definedName>
    <definedName name="F17_Attr_IndCor_180D_Am_AMD">#REF!</definedName>
    <definedName name="F17_Attr_IndCor_180D_Am_EUR">#REF!</definedName>
    <definedName name="F17_Attr_IndCor_180D_Am_OthC">#REF!</definedName>
    <definedName name="F17_Attr_IndCor_180D_Am_RUR">#REF!</definedName>
    <definedName name="F17_Attr_IndCor_180D_Am_USD">#REF!</definedName>
    <definedName name="F17_Attr_IndCor_180D_I_AMD">#REF!</definedName>
    <definedName name="F17_Attr_IndCor_180D_I_EUR">#REF!</definedName>
    <definedName name="F17_Attr_IndCor_180D_I_OthC">#REF!</definedName>
    <definedName name="F17_Attr_IndCor_180D_I_RUR">#REF!</definedName>
    <definedName name="F17_Attr_IndCor_180D_I_USD">#REF!</definedName>
    <definedName name="F17_Attr_IndCor_30D_Am_AMD">#REF!</definedName>
    <definedName name="F17_Attr_IndCor_30D_Am_EUR">#REF!</definedName>
    <definedName name="F17_Attr_IndCor_30D_Am_OthC">#REF!</definedName>
    <definedName name="F17_Attr_IndCor_30D_Am_RUR">#REF!</definedName>
    <definedName name="F17_Attr_IndCor_30D_Am_USD">#REF!</definedName>
    <definedName name="F17_Attr_IndCor_30D_I_AMD">#REF!</definedName>
    <definedName name="F17_Attr_IndCor_30D_I_EUR">#REF!</definedName>
    <definedName name="F17_Attr_IndCor_30D_I_OthC">#REF!</definedName>
    <definedName name="F17_Attr_IndCor_30D_I_RUR">#REF!</definedName>
    <definedName name="F17_Attr_IndCor_30D_I_USD">#REF!</definedName>
    <definedName name="F17_Attr_IndCor_360D_Am_AMD">#REF!</definedName>
    <definedName name="F17_Attr_IndCor_360D_Am_EUR">#REF!</definedName>
    <definedName name="F17_Attr_IndCor_360D_Am_OthC">#REF!</definedName>
    <definedName name="F17_Attr_IndCor_360D_Am_RUR">#REF!</definedName>
    <definedName name="F17_Attr_IndCor_360D_Am_USD">#REF!</definedName>
    <definedName name="F17_Attr_IndCor_360D_I_AMD">#REF!</definedName>
    <definedName name="F17_Attr_IndCor_360D_I_EUR">#REF!</definedName>
    <definedName name="F17_Attr_IndCor_360D_I_OthC">#REF!</definedName>
    <definedName name="F17_Attr_IndCor_360D_I_RUR">#REF!</definedName>
    <definedName name="F17_Attr_IndCor_360D_I_USD">#REF!</definedName>
    <definedName name="F17_Attr_IndCor_60D_Am_AMD">#REF!</definedName>
    <definedName name="F17_Attr_IndCor_60D_Am_EUR">#REF!</definedName>
    <definedName name="F17_Attr_IndCor_60D_Am_OthC">#REF!</definedName>
    <definedName name="F17_Attr_IndCor_60D_Am_RUR">#REF!</definedName>
    <definedName name="F17_Attr_IndCor_60D_Am_USD">#REF!</definedName>
    <definedName name="F17_Attr_IndCor_60D_I_AMD">#REF!</definedName>
    <definedName name="F17_Attr_IndCor_60D_I_EUR">#REF!</definedName>
    <definedName name="F17_Attr_IndCor_60D_I_OthC">#REF!</definedName>
    <definedName name="F17_Attr_IndCor_60D_I_RUR">#REF!</definedName>
    <definedName name="F17_Attr_IndCor_60D_I_USD">#REF!</definedName>
    <definedName name="F17_Attr_IndCor_90D_Am_AMD">#REF!</definedName>
    <definedName name="F17_Attr_IndCor_90D_Am_EUR">#REF!</definedName>
    <definedName name="F17_Attr_IndCor_90D_Am_OthC">#REF!</definedName>
    <definedName name="F17_Attr_IndCor_90D_Am_RUR">#REF!</definedName>
    <definedName name="F17_Attr_IndCor_90D_Am_USD">#REF!</definedName>
    <definedName name="F17_Attr_IndCor_90D_I_AMD">#REF!</definedName>
    <definedName name="F17_Attr_IndCor_90D_I_EUR">#REF!</definedName>
    <definedName name="F17_Attr_IndCor_90D_I_OthC">#REF!</definedName>
    <definedName name="F17_Attr_IndCor_90D_I_RUR">#REF!</definedName>
    <definedName name="F17_Attr_IndCor_90D_I_USD">#REF!</definedName>
    <definedName name="F17_Attr_IndCor_Dem_Am_AMD">#REF!</definedName>
    <definedName name="F17_Attr_IndCor_Dem_Am_EUR">#REF!</definedName>
    <definedName name="F17_Attr_IndCor_Dem_Am_OthC">#REF!</definedName>
    <definedName name="F17_Attr_IndCor_Dem_Am_RUR">#REF!</definedName>
    <definedName name="F17_Attr_IndCor_Dem_Am_USD">#REF!</definedName>
    <definedName name="F17_Attr_IndCor_Dem_I_AMD">#REF!</definedName>
    <definedName name="F17_Attr_IndCor_Dem_I_EUR">#REF!</definedName>
    <definedName name="F17_Attr_IndCor_Dem_I_OthC">#REF!</definedName>
    <definedName name="F17_Attr_IndCor_Dem_I_RUR">#REF!</definedName>
    <definedName name="F17_Attr_IndCor_Dem_I_USD">#REF!</definedName>
    <definedName name="F17_Attr_IndCor_Mr360D_Am_AMD">#REF!</definedName>
    <definedName name="F17_Attr_IndCor_Mr360D_Am_EUR">#REF!</definedName>
    <definedName name="F17_Attr_IndCor_Mr360D_Am_RUR">#REF!</definedName>
    <definedName name="F17_Attr_IndCor_Mr360D_Am_USD">#REF!</definedName>
    <definedName name="F17_Attr_IndCor_Mr360D_I_AMD">#REF!</definedName>
    <definedName name="F17_Attr_IndCor_Mr360D_I_EUR">#REF!</definedName>
    <definedName name="F17_Attr_IndCor_Mr360D_I_OthC">#REF!</definedName>
    <definedName name="F17_Attr_IndCor_Mr360D_I_RUR">#REF!</definedName>
    <definedName name="F17_Attr_IndCor_Mr360D_I_USD">#REF!</definedName>
    <definedName name="F17_Attr_IndCor_Tot_Am_AMD1">#REF!</definedName>
    <definedName name="F17_Attr_IndCor_Tot_Am_EUR1">#REF!</definedName>
    <definedName name="F17_Attr_IndCor_Tot_Am_OthC1">#REF!</definedName>
    <definedName name="F17_Attr_IndCor_Tot_Am_RUR1">#REF!</definedName>
    <definedName name="F17_Attr_IndCor_Tot_Am_USD1">#REF!</definedName>
    <definedName name="F17_Attr_IndCor_Tot_I_AMD11">#REF!</definedName>
    <definedName name="F17_Attr_IndCor_Tot_I_AMD12">#REF!</definedName>
    <definedName name="F17_Attr_IndCor_Tot_I_EUR11">#REF!</definedName>
    <definedName name="F17_Attr_IndCor_Tot_I_EUR12">#REF!</definedName>
    <definedName name="F17_Attr_IndCor_Tot_I_OthC11">#REF!</definedName>
    <definedName name="F17_Attr_IndCor_Tot_I_OthC12">#REF!</definedName>
    <definedName name="F17_Attr_IndCor_Tot_I_RUR11">#REF!</definedName>
    <definedName name="F17_Attr_IndCor_Tot_I_RUR12">#REF!</definedName>
    <definedName name="F17_Attr_IndCor_Tot_I_USD11">#REF!</definedName>
    <definedName name="F17_Attr_IndCor_Tot_I_USD12">#REF!</definedName>
    <definedName name="F17_Attr_InterPo_Mr360D_Am_AMD">#REF!</definedName>
    <definedName name="F17_Attr_InterPo_Mr360D_Am_EUR">#REF!</definedName>
    <definedName name="F17_Attr_InterPo_Mr360D_Am_Oth">#REF!</definedName>
    <definedName name="F17_Attr_InterPo_Mr360D_Am_RUR">#REF!</definedName>
    <definedName name="F17_Attr_InterPo_Mr360D_Am_USD">#REF!</definedName>
    <definedName name="F17_Attr_InterPo_Mr360D_I_EUR">#REF!</definedName>
    <definedName name="F17_Attr_InterPo_Mr360D_I_Oth">#REF!</definedName>
    <definedName name="F17_Attr_InterPo_Mr360D_I_RUR">#REF!</definedName>
    <definedName name="F17_Attr_InterPo_Mr360D_I_USD">#REF!</definedName>
    <definedName name="F17_Attr_InterPog_15D_Am_AMD">#REF!</definedName>
    <definedName name="F17_Attr_InterPog_15D_Am_EUR">#REF!</definedName>
    <definedName name="F17_Attr_InterPog_15D_Am_OthC">#REF!</definedName>
    <definedName name="F17_Attr_InterPog_15D_Am_RUR">#REF!</definedName>
    <definedName name="F17_Attr_InterPog_15D_Am_USD">#REF!</definedName>
    <definedName name="F17_Attr_InterPog_15D_I_AMD">#REF!</definedName>
    <definedName name="F17_Attr_InterPog_15D_I_EUR">#REF!</definedName>
    <definedName name="F17_Attr_InterPog_15D_I_OthC">#REF!</definedName>
    <definedName name="F17_Attr_InterPog_15D_I_RUR">#REF!</definedName>
    <definedName name="F17_Attr_InterPog_15D_I_USD">#REF!</definedName>
    <definedName name="F17_Attr_InterPog_180D_Am_AMD">#REF!</definedName>
    <definedName name="F17_Attr_InterPog_180D_Am_EUR">#REF!</definedName>
    <definedName name="F17_Attr_InterPog_180D_Am_OthC">#REF!</definedName>
    <definedName name="F17_Attr_InterPog_180D_Am_RUR">#REF!</definedName>
    <definedName name="F17_Attr_InterPog_180D_Am_USD">#REF!</definedName>
    <definedName name="F17_Attr_InterPog_180D_I_AMD">#REF!</definedName>
    <definedName name="F17_Attr_InterPog_180D_I_EUR">#REF!</definedName>
    <definedName name="F17_Attr_InterPog_180D_I_OthC">#REF!</definedName>
    <definedName name="F17_Attr_InterPog_180D_I_RUR">#REF!</definedName>
    <definedName name="F17_Attr_InterPog_180D_I_USD">#REF!</definedName>
    <definedName name="F17_Attr_InterPog_30D_Am_AMD">#REF!</definedName>
    <definedName name="F17_Attr_InterPog_30D_Am_EUR">#REF!</definedName>
    <definedName name="F17_Attr_InterPog_30D_Am_OthC">#REF!</definedName>
    <definedName name="F17_Attr_InterPog_30D_Am_RUR">#REF!</definedName>
    <definedName name="F17_Attr_InterPog_30D_Am_USD">#REF!</definedName>
    <definedName name="F17_Attr_InterPog_30D_I_AMD">#REF!</definedName>
    <definedName name="F17_Attr_InterPog_30D_I_EUR">#REF!</definedName>
    <definedName name="F17_Attr_InterPog_30D_I_OthC">#REF!</definedName>
    <definedName name="F17_Attr_InterPog_30D_I_RUR">#REF!</definedName>
    <definedName name="F17_Attr_InterPog_30D_I_USD">#REF!</definedName>
    <definedName name="F17_Attr_InterPog_360D_Am_AMD">#REF!</definedName>
    <definedName name="F17_Attr_InterPog_360D_Am_EUR">#REF!</definedName>
    <definedName name="F17_Attr_InterPog_360D_Am_OthC">#REF!</definedName>
    <definedName name="F17_Attr_InterPog_360D_Am_RUR">#REF!</definedName>
    <definedName name="F17_Attr_InterPog_360D_Am_USD">#REF!</definedName>
    <definedName name="F17_Attr_InterPog_360D_I_AMD">#REF!</definedName>
    <definedName name="F17_Attr_InterPog_360D_I_EUR">#REF!</definedName>
    <definedName name="F17_Attr_InterPog_360D_I_OthC">#REF!</definedName>
    <definedName name="F17_Attr_InterPog_360D_I_RUR">#REF!</definedName>
    <definedName name="F17_Attr_InterPog_360D_I_USD">#REF!</definedName>
    <definedName name="F17_Attr_InterPog_60D_Am_AMD">#REF!</definedName>
    <definedName name="F17_Attr_InterPog_60D_Am_EUR">#REF!</definedName>
    <definedName name="F17_Attr_InterPog_60D_Am_OthC">#REF!</definedName>
    <definedName name="F17_Attr_InterPog_60D_Am_RUR">#REF!</definedName>
    <definedName name="F17_Attr_InterPog_60D_Am_USD">#REF!</definedName>
    <definedName name="F17_Attr_InterPog_60D_I_AMD">#REF!</definedName>
    <definedName name="F17_Attr_InterPog_60D_I_EUR">#REF!</definedName>
    <definedName name="F17_Attr_InterPog_60D_I_OthC">#REF!</definedName>
    <definedName name="F17_Attr_InterPog_60D_I_RUR">#REF!</definedName>
    <definedName name="F17_Attr_InterPog_60D_I_USD">#REF!</definedName>
    <definedName name="F17_Attr_InterPog_90D_Am_AMD">#REF!</definedName>
    <definedName name="F17_Attr_InterPog_90D_Am_EUR">#REF!</definedName>
    <definedName name="F17_Attr_InterPog_90D_Am_OthC">#REF!</definedName>
    <definedName name="F17_Attr_InterPog_90D_Am_RUR">#REF!</definedName>
    <definedName name="F17_Attr_InterPog_90D_Am_USD">#REF!</definedName>
    <definedName name="F17_Attr_InterPog_90D_I_AMD">#REF!</definedName>
    <definedName name="F17_Attr_InterPog_90D_I_EUR">#REF!</definedName>
    <definedName name="F17_Attr_InterPog_90D_I_OthC">#REF!</definedName>
    <definedName name="F17_Attr_InterPog_90D_I_RUR">#REF!</definedName>
    <definedName name="F17_Attr_InterPog_90D_I_USD">#REF!</definedName>
    <definedName name="F17_Attr_InterPog_Dem_Am_AMD">#REF!</definedName>
    <definedName name="F17_Attr_InterPog_Dem_Am_EUR">#REF!</definedName>
    <definedName name="F17_Attr_InterPog_Dem_Am_OthC">#REF!</definedName>
    <definedName name="F17_Attr_InterPog_Dem_Am_RUR">#REF!</definedName>
    <definedName name="F17_Attr_InterPog_Dem_Am_USD">#REF!</definedName>
    <definedName name="F17_Attr_InterPog_Dem_I_AMD">#REF!</definedName>
    <definedName name="F17_Attr_InterPog_Dem_I_EUR">#REF!</definedName>
    <definedName name="F17_Attr_InterPog_Dem_I_OthC">#REF!</definedName>
    <definedName name="F17_Attr_InterPog_Dem_I_RUR">#REF!</definedName>
    <definedName name="F17_Attr_InterPog_Dem_I_USD">#REF!</definedName>
    <definedName name="F17_Attr_InterPog_Mr360D_I_AMD">#REF!</definedName>
    <definedName name="F17_Attr_InterPog_Tot_Am_AMD1">#REF!</definedName>
    <definedName name="F17_Attr_InterPog_Tot_Am_EUR1">#REF!</definedName>
    <definedName name="F17_Attr_InterPog_Tot_Am_OthC1">#REF!</definedName>
    <definedName name="F17_Attr_InterPog_Tot_Am_RUR1">#REF!</definedName>
    <definedName name="F17_Attr_InterPog_Tot_Am_USD1">#REF!</definedName>
    <definedName name="F17_Attr_InterPog_Tot_I_AMD11">#REF!</definedName>
    <definedName name="F17_Attr_InterPog_Tot_I_AMD12">#REF!</definedName>
    <definedName name="F17_Attr_InterPog_Tot_I_EUR11">#REF!</definedName>
    <definedName name="F17_Attr_InterPog_Tot_I_EUR12">#REF!</definedName>
    <definedName name="F17_Attr_InterPog_Tot_I_OthC11">#REF!</definedName>
    <definedName name="F17_Attr_InterPog_Tot_I_OthC12">#REF!</definedName>
    <definedName name="F17_Attr_InterPog_Tot_I_RUR11">#REF!</definedName>
    <definedName name="F17_Attr_InterPog_Tot_I_RUR12">#REF!</definedName>
    <definedName name="F17_Attr_InterPog_Tot_I_USD11">#REF!</definedName>
    <definedName name="F17_Attr_InterPog_Tot_I_USD12">#REF!</definedName>
    <definedName name="F17_Attr_OthBnk_15D_Am_AMD">#REF!</definedName>
    <definedName name="F17_Attr_OthBnk_15D_Am_EUR">#REF!</definedName>
    <definedName name="F17_Attr_OthBnk_15D_Am_OthC">#REF!</definedName>
    <definedName name="F17_Attr_OthBnk_15D_Am_RUR">#REF!</definedName>
    <definedName name="F17_Attr_OthBnk_15D_Am_USD">#REF!</definedName>
    <definedName name="F17_Attr_OthBnk_15D_I_AMD">#REF!</definedName>
    <definedName name="F17_Attr_OthBnk_15D_I_EUR">#REF!</definedName>
    <definedName name="F17_Attr_OthBnk_15D_I_OthC">#REF!</definedName>
    <definedName name="F17_Attr_OthBnk_15D_I_RUR">#REF!</definedName>
    <definedName name="F17_Attr_OthBnk_15D_I_USD">#REF!</definedName>
    <definedName name="F17_Attr_OthBnk_180D_Am_AMD">#REF!</definedName>
    <definedName name="F17_Attr_OthBnk_180D_Am_EUR">#REF!</definedName>
    <definedName name="F17_Attr_OthBnk_180D_Am_OthC">#REF!</definedName>
    <definedName name="F17_Attr_OthBnk_180D_Am_RUR">#REF!</definedName>
    <definedName name="F17_Attr_OthBnk_180D_Am_USD">#REF!</definedName>
    <definedName name="F17_Attr_OthBnk_180D_I_AMD">#REF!</definedName>
    <definedName name="F17_Attr_OthBnk_180D_I_EUR">#REF!</definedName>
    <definedName name="F17_Attr_OthBnk_180D_I_OthC">#REF!</definedName>
    <definedName name="F17_Attr_OthBnk_180D_I_RUR">#REF!</definedName>
    <definedName name="F17_Attr_OthBnk_180D_I_USD">#REF!</definedName>
    <definedName name="F17_Attr_OthBnk_30D_Am_AMD">#REF!</definedName>
    <definedName name="F17_Attr_OthBnk_30D_Am_EUR">#REF!</definedName>
    <definedName name="F17_Attr_OthBnk_30D_Am_OthC">#REF!</definedName>
    <definedName name="F17_Attr_OthBnk_30D_Am_RUR">#REF!</definedName>
    <definedName name="F17_Attr_OthBnk_30D_Am_USD">#REF!</definedName>
    <definedName name="F17_Attr_OthBnk_30D_I_AMD">#REF!</definedName>
    <definedName name="F17_Attr_OthBnk_30D_I_EUR">#REF!</definedName>
    <definedName name="F17_Attr_OthBnk_30D_I_OthC">#REF!</definedName>
    <definedName name="F17_Attr_OthBnk_30D_I_RUR">#REF!</definedName>
    <definedName name="F17_Attr_OthBnk_30D_I_USD">#REF!</definedName>
    <definedName name="F17_Attr_OthBnk_360D_Am_AMD">#REF!</definedName>
    <definedName name="F17_Attr_OthBnk_360D_Am_EUR">#REF!</definedName>
    <definedName name="F17_Attr_OthBnk_360D_Am_OthC">#REF!</definedName>
    <definedName name="F17_Attr_OthBnk_360D_Am_RUR">#REF!</definedName>
    <definedName name="F17_Attr_OthBnk_360D_Am_USD">#REF!</definedName>
    <definedName name="F17_Attr_OthBnk_360D_I_AMD">#REF!</definedName>
    <definedName name="F17_Attr_OthBnk_360D_I_EUR">#REF!</definedName>
    <definedName name="F17_Attr_OthBnk_360D_I_OthC">#REF!</definedName>
    <definedName name="F17_Attr_OthBnk_360D_I_RUR">#REF!</definedName>
    <definedName name="F17_Attr_OthBnk_360D_I_USD">#REF!</definedName>
    <definedName name="F17_Attr_OthBnk_60D_Am_AMD">#REF!</definedName>
    <definedName name="F17_Attr_OthBnk_60D_Am_EUR">#REF!</definedName>
    <definedName name="F17_Attr_OthBnk_60D_Am_OthC">#REF!</definedName>
    <definedName name="F17_Attr_OthBnk_60D_Am_RUR">#REF!</definedName>
    <definedName name="F17_Attr_OthBnk_60D_Am_USD">#REF!</definedName>
    <definedName name="F17_Attr_OthBnk_60D_I_AMD">#REF!</definedName>
    <definedName name="F17_Attr_OthBnk_60D_I_EUR">#REF!</definedName>
    <definedName name="F17_Attr_OthBnk_60D_I_OthC">#REF!</definedName>
    <definedName name="F17_Attr_OthBnk_60D_I_RUR">#REF!</definedName>
    <definedName name="F17_Attr_OthBnk_60D_I_USD">#REF!</definedName>
    <definedName name="F17_Attr_OthBnk_90D_Am_AMD">#REF!</definedName>
    <definedName name="F17_Attr_OthBnk_90D_Am_EUR">#REF!</definedName>
    <definedName name="F17_Attr_OthBnk_90D_Am_OthC">#REF!</definedName>
    <definedName name="F17_Attr_OthBnk_90D_Am_RUR">#REF!</definedName>
    <definedName name="F17_Attr_OthBnk_90D_Am_USD">#REF!</definedName>
    <definedName name="F17_Attr_OthBnk_90D_I_AMD">#REF!</definedName>
    <definedName name="F17_Attr_OthBnk_90D_I_EUR">#REF!</definedName>
    <definedName name="F17_Attr_OthBnk_90D_I_OthC">#REF!</definedName>
    <definedName name="F17_Attr_OthBnk_90D_I_RUR">#REF!</definedName>
    <definedName name="F17_Attr_OthBnk_90D_I_USD">#REF!</definedName>
    <definedName name="F17_Attr_OthBnk_Dem_Am_AMD">#REF!</definedName>
    <definedName name="F17_Attr_OthBnk_Dem_Am_EUR">#REF!</definedName>
    <definedName name="F17_Attr_OthBnk_Dem_Am_OthC">#REF!</definedName>
    <definedName name="F17_Attr_OthBnk_Dem_Am_RUR">#REF!</definedName>
    <definedName name="F17_Attr_OthBnk_Dem_Am_USD">#REF!</definedName>
    <definedName name="F17_Attr_OthBnk_Dem_I_AMD">#REF!</definedName>
    <definedName name="F17_Attr_OthBnk_Dem_I_EUR">#REF!</definedName>
    <definedName name="F17_Attr_OthBnk_Dem_I_OthC">#REF!</definedName>
    <definedName name="F17_Attr_OthBnk_Dem_I_RUR">#REF!</definedName>
    <definedName name="F17_Attr_OthBnk_Dem_I_USD">#REF!</definedName>
    <definedName name="F17_Attr_OthBnk_Mr360D_Am_AMD">#REF!</definedName>
    <definedName name="F17_Attr_OthBnk_Mr360D_Am_EUR">#REF!</definedName>
    <definedName name="F17_Attr_OthBnk_Mr360D_Am_OthC">#REF!</definedName>
    <definedName name="F17_Attr_OthBnk_Mr360D_Am_RUR">#REF!</definedName>
    <definedName name="F17_Attr_OthBnk_Mr360D_Am_USD">#REF!</definedName>
    <definedName name="F17_Attr_OthBnk_Mr360D_I_AMD">#REF!</definedName>
    <definedName name="F17_Attr_OthBnk_Mr360D_I_EUR">#REF!</definedName>
    <definedName name="F17_Attr_OthBnk_Mr360D_I_OthC">#REF!</definedName>
    <definedName name="F17_Attr_OthBnk_Mr360D_I_RUR">#REF!</definedName>
    <definedName name="F17_Attr_OthBnk_Mr360D_I_USD">#REF!</definedName>
    <definedName name="F17_Attr_OthBnk_Tot_Am_AMD1">#REF!</definedName>
    <definedName name="F17_Attr_OthBnk_Tot_Am_EUR1">#REF!</definedName>
    <definedName name="F17_Attr_OthBnk_Tot_Am_OthC1">#REF!</definedName>
    <definedName name="F17_Attr_OthBnk_Tot_Am_RUR1">#REF!</definedName>
    <definedName name="F17_Attr_OthBnk_Tot_Am_USD1">#REF!</definedName>
    <definedName name="F17_Attr_OthBnk_Tot_I_AMD11">#REF!</definedName>
    <definedName name="F17_Attr_OthBnk_Tot_I_AMD12">#REF!</definedName>
    <definedName name="F17_Attr_OthBnk_Tot_I_EUR11">#REF!</definedName>
    <definedName name="F17_Attr_OthBnk_Tot_I_EUR12">#REF!</definedName>
    <definedName name="F17_Attr_OthBnk_Tot_I_OthC11">#REF!</definedName>
    <definedName name="F17_Attr_OthBnk_Tot_I_OthC12">#REF!</definedName>
    <definedName name="F17_Attr_OthBnk_Tot_I_RUR11">#REF!</definedName>
    <definedName name="F17_Attr_OthBnk_Tot_I_RUR12">#REF!</definedName>
    <definedName name="F17_Attr_OthBnk_Tot_I_USD11">#REF!</definedName>
    <definedName name="F17_Attr_OthBnk_Tot_I_USD12">#REF!</definedName>
    <definedName name="F17_Attr_RRepo_15D_Am_ABnk">#REF!</definedName>
    <definedName name="F17_Attr_RRepo_15D_Am_Bus">#REF!</definedName>
    <definedName name="F17_Attr_RRepo_15D_Am_Ind">#REF!</definedName>
    <definedName name="F17_Attr_RRepo_15D_Am_OthBn">#REF!</definedName>
    <definedName name="F17_Attr_RRepo_15D_I_ABnk">#REF!</definedName>
    <definedName name="F17_Attr_RRepo_15D_I_Bus">#REF!</definedName>
    <definedName name="F17_Attr_RRepo_15D_I_Ind">#REF!</definedName>
    <definedName name="F17_Attr_RRepo_15D_I_OthBn">#REF!</definedName>
    <definedName name="F17_Attr_RRepo_180D_Am_ABnk">#REF!</definedName>
    <definedName name="F17_Attr_RRepo_180D_Am_Bus">#REF!</definedName>
    <definedName name="F17_Attr_RRepo_180D_Am_Ind">#REF!</definedName>
    <definedName name="F17_Attr_RRepo_180D_Am_OthBn">#REF!</definedName>
    <definedName name="F17_Attr_RRepo_180D_I_ABnk">#REF!</definedName>
    <definedName name="F17_Attr_RRepo_180D_I_Bus">#REF!</definedName>
    <definedName name="F17_Attr_RRepo_180D_I_Ind">#REF!</definedName>
    <definedName name="F17_Attr_RRepo_180D_I_OthBn">#REF!</definedName>
    <definedName name="F17_Attr_RRepo_30D_Am_ABnk">#REF!</definedName>
    <definedName name="F17_Attr_RRepo_30D_Am_Bus">#REF!</definedName>
    <definedName name="F17_Attr_RRepo_30D_Am_Ind">#REF!</definedName>
    <definedName name="F17_Attr_RRepo_30D_Am_OthBn">#REF!</definedName>
    <definedName name="F17_Attr_RRepo_30D_I_ABnk">#REF!</definedName>
    <definedName name="F17_Attr_RRepo_30D_I_Bus">#REF!</definedName>
    <definedName name="F17_Attr_RRepo_30D_I_Ind">#REF!</definedName>
    <definedName name="F17_Attr_RRepo_30D_I_OthBn">#REF!</definedName>
    <definedName name="F17_Attr_RRepo_360D_Am_ABnk">#REF!</definedName>
    <definedName name="F17_Attr_RRepo_360D_Am_Bus">#REF!</definedName>
    <definedName name="F17_Attr_RRepo_360D_Am_Ind">#REF!</definedName>
    <definedName name="F17_Attr_RRepo_360D_Am_OthBn">#REF!</definedName>
    <definedName name="F17_Attr_RRepo_360D_I_ABnk">#REF!</definedName>
    <definedName name="F17_Attr_RRepo_360D_I_Bus">#REF!</definedName>
    <definedName name="F17_Attr_RRepo_360D_I_Ind">#REF!</definedName>
    <definedName name="F17_Attr_RRepo_360D_I_OthBn">#REF!</definedName>
    <definedName name="F17_Attr_RRepo_60D_Am_ABnk">#REF!</definedName>
    <definedName name="F17_Attr_RRepo_60D_Am_Bus">#REF!</definedName>
    <definedName name="F17_Attr_RRepo_60D_Am_Ind">#REF!</definedName>
    <definedName name="F17_Attr_RRepo_60D_Am_OthBn">#REF!</definedName>
    <definedName name="F17_Attr_RRepo_60D_I_ABnk">#REF!</definedName>
    <definedName name="F17_Attr_RRepo_60D_I_Bus">#REF!</definedName>
    <definedName name="F17_Attr_RRepo_60D_I_Ind">#REF!</definedName>
    <definedName name="F17_Attr_RRepo_60D_I_OthBn">#REF!</definedName>
    <definedName name="F17_Attr_RRepo_90D_Am_ABnk">#REF!</definedName>
    <definedName name="F17_Attr_RRepo_90D_Am_Bus">#REF!</definedName>
    <definedName name="F17_Attr_RRepo_90D_Am_Ind">#REF!</definedName>
    <definedName name="F17_Attr_RRepo_90D_Am_OthBn">#REF!</definedName>
    <definedName name="F17_Attr_RRepo_90D_I_ABnk">#REF!</definedName>
    <definedName name="F17_Attr_RRepo_90D_I_Bus">#REF!</definedName>
    <definedName name="F17_Attr_RRepo_90D_I_Ind">#REF!</definedName>
    <definedName name="F17_Attr_RRepo_90D_I_OthBn">#REF!</definedName>
    <definedName name="F17_Attr_RRepo_Dem_Am_ABnk">#REF!</definedName>
    <definedName name="F17_Attr_RRepo_Dem_Am_Bus">#REF!</definedName>
    <definedName name="F17_Attr_RRepo_Dem_Am_Ind">#REF!</definedName>
    <definedName name="F17_Attr_RRepo_Dem_Am_OthBn">#REF!</definedName>
    <definedName name="F17_Attr_RRepo_Dem_I_ABnk">#REF!</definedName>
    <definedName name="F17_Attr_RRepo_Dem_I_Bus">#REF!</definedName>
    <definedName name="F17_Attr_RRepo_Dem_I_Ind">#REF!</definedName>
    <definedName name="F17_Attr_RRepo_Dem_I_OthBn">#REF!</definedName>
    <definedName name="F17_Attr_RRepo_Mr360D_Am_ABnk">#REF!</definedName>
    <definedName name="F17_Attr_RRepo_Mr360D_Am_Bus">#REF!</definedName>
    <definedName name="F17_Attr_RRepo_Mr360D_Am_Ind">#REF!</definedName>
    <definedName name="F17_Attr_RRepo_Mr360D_Am_OthBn">#REF!</definedName>
    <definedName name="F17_Attr_RRepo_Mr360D_I_ABnk">#REF!</definedName>
    <definedName name="F17_Attr_RRepo_Mr360D_I_Bus">#REF!</definedName>
    <definedName name="F17_Attr_RRepo_Mr360D_I_Ind">#REF!</definedName>
    <definedName name="F17_Attr_RRepo_Mr360D_I_OthBn">#REF!</definedName>
    <definedName name="F17_Attr_RRepo_Tot_Am_ABnk1">#REF!</definedName>
    <definedName name="F17_Attr_RRepo_Tot_Am_Bus1">#REF!</definedName>
    <definedName name="F17_Attr_RRepo_Tot_Am_Ind1">#REF!</definedName>
    <definedName name="F17_Attr_RRepo_Tot_Am_OthBn1">#REF!</definedName>
    <definedName name="F17_Attr_RRepo_Tot_I_Bnk11">#REF!</definedName>
    <definedName name="F17_Attr_RRepo_Tot_I_Bnk12">#REF!</definedName>
    <definedName name="F17_Attr_RRepo_Tot_I_Bus11">#REF!</definedName>
    <definedName name="F17_Attr_RRepo_Tot_I_Bus12">#REF!</definedName>
    <definedName name="F17_Attr_RRepo_Tot_I_Ind11">#REF!</definedName>
    <definedName name="F17_Attr_RRepo_Tot_I_Ind12">#REF!</definedName>
    <definedName name="F17_Attr_RRepo_Tot_I_OthBn11">#REF!</definedName>
    <definedName name="F17_Attr_RRepo_Tot_I_OthBn12">#REF!</definedName>
    <definedName name="F17_Attr_RRepoF_Mr360D_Am">#REF!</definedName>
    <definedName name="F17_Attr_RRepoFX_15D_Am">#REF!</definedName>
    <definedName name="F17_Attr_RRepoFX_15D_I">#REF!</definedName>
    <definedName name="F17_Attr_RRepoFX_180D_Am">#REF!</definedName>
    <definedName name="F17_Attr_RRepoFX_180D_I">#REF!</definedName>
    <definedName name="F17_Attr_RRepoFX_30D_Am">#REF!</definedName>
    <definedName name="F17_Attr_RRepoFX_30D_I">#REF!</definedName>
    <definedName name="F17_Attr_RRepoFX_360D_Am">#REF!</definedName>
    <definedName name="F17_Attr_RRepoFX_360D_I">#REF!</definedName>
    <definedName name="F17_Attr_RRepoFX_60D_Am">#REF!</definedName>
    <definedName name="F17_Attr_RRepoFX_60D_I">#REF!</definedName>
    <definedName name="F17_Attr_RRepoFX_90D_Am">#REF!</definedName>
    <definedName name="F17_Attr_RRepoFX_90D_I">#REF!</definedName>
    <definedName name="F17_Attr_RRepoFX_Dem_Am">#REF!</definedName>
    <definedName name="F17_Attr_RRepoFX_Dem_I">#REF!</definedName>
    <definedName name="F17_Attr_RRepoFX_Mr360D_I">#REF!</definedName>
    <definedName name="F17_Attr_RRepoFX_Tot_Am1">#REF!</definedName>
    <definedName name="F17_Attr_RRepoFX_Tot_I11">#REF!</definedName>
    <definedName name="F17_Attr_RRepoFX_Tot_I12">#REF!</definedName>
    <definedName name="F17_Tot_Am_AMD">#REF!</definedName>
    <definedName name="F17_Tot_Am_AMD1">#REF!</definedName>
    <definedName name="F17_Tot_Am_EUR">#REF!</definedName>
    <definedName name="F17_Tot_Am_EUR1">#REF!</definedName>
    <definedName name="F17_Tot_Am_OthC">#REF!</definedName>
    <definedName name="F17_Tot_Am_OthC1">#REF!</definedName>
    <definedName name="F17_Tot_Am_RUR">#REF!</definedName>
    <definedName name="F17_Tot_Am_RUR1">#REF!</definedName>
    <definedName name="F17_Tot_Am_USD">#REF!</definedName>
    <definedName name="F17_Tot_Am_USD1">#REF!</definedName>
    <definedName name="F17_Tot_AMD">#REF!</definedName>
    <definedName name="F17_Tot_AMD1">#REF!</definedName>
    <definedName name="F17_Tot_EUR">#REF!</definedName>
    <definedName name="F17_Tot_EUR1">#REF!</definedName>
    <definedName name="F17_Tot_I_AMD">#REF!</definedName>
    <definedName name="F17_Tot_I_AMD1">#REF!</definedName>
    <definedName name="F17_Tot_I_EUR">#REF!</definedName>
    <definedName name="F17_Tot_I_EUR1">#REF!</definedName>
    <definedName name="F17_Tot_I_OthC">#REF!</definedName>
    <definedName name="F17_Tot_I_OthC1">#REF!</definedName>
    <definedName name="F17_Tot_I_RUR">#REF!</definedName>
    <definedName name="F17_Tot_I_RUR1">#REF!</definedName>
    <definedName name="F17_Tot_I_USD">#REF!</definedName>
    <definedName name="F17_Tot_I_USD1">#REF!</definedName>
    <definedName name="F17_Tot_OthC">#REF!</definedName>
    <definedName name="F17_Tot_OthC1">#REF!</definedName>
    <definedName name="F17_Tot_RUR">#REF!</definedName>
    <definedName name="F17_Tot_RUR1">#REF!</definedName>
    <definedName name="F17_Tot_USD">#REF!</definedName>
    <definedName name="F17_Tot_USD1">#REF!</definedName>
    <definedName name="F18_CashFlow">#REF!</definedName>
    <definedName name="F19_INTERCSALES">#REF!</definedName>
    <definedName name="F2_BS">#REF!</definedName>
    <definedName name="F22_INVENT">#REF!</definedName>
    <definedName name="F28_">#REF!</definedName>
    <definedName name="F33A_">#REF!</definedName>
    <definedName name="F33B">#REF!</definedName>
    <definedName name="F33B_">#REF!</definedName>
    <definedName name="F34_PROV">#REF!</definedName>
    <definedName name="F35_ASSOC">#REF!</definedName>
    <definedName name="F4_Reconcile">#REF!</definedName>
    <definedName name="F5_Interc">#REF!</definedName>
    <definedName name="F6A_1803">#REF!</definedName>
    <definedName name="F6A_1806">#REF!</definedName>
    <definedName name="F6A_1816">#REF!</definedName>
    <definedName name="F6B_1808">#REF!</definedName>
    <definedName name="F6B_1811">#REF!</definedName>
    <definedName name="F6C_1801">#REF!</definedName>
    <definedName name="F6C_1820">#REF!</definedName>
    <definedName name="F7A_1701">#REF!</definedName>
    <definedName name="F7A_1702">#REF!</definedName>
    <definedName name="F7B_1700">#REF!</definedName>
    <definedName name="F7B_2795">#REF!</definedName>
    <definedName name="F7C_2861">#REF!</definedName>
    <definedName name="F8_">#REF!</definedName>
    <definedName name="fac">#REF!</definedName>
    <definedName name="FacsSensitivity">#REF!</definedName>
    <definedName name="FacsSensitivitySU">#REF!</definedName>
    <definedName name="FactoryRepairWheelsCost">#REF!</definedName>
    <definedName name="fbgthn">#REF!</definedName>
    <definedName name="FCode">#REF!</definedName>
    <definedName name="fd">#REF!</definedName>
    <definedName name="fdf">#REF!</definedName>
    <definedName name="fdfdfdf">#REF!</definedName>
    <definedName name="fdgd">#REF!</definedName>
    <definedName name="fdh">#REF!</definedName>
    <definedName name="fdhgc">#REF!</definedName>
    <definedName name="fdjfd">#REF!</definedName>
    <definedName name="fdjlsj">#REF!</definedName>
    <definedName name="fdkjsfjsjhjsk">#REF!</definedName>
    <definedName name="fdn">#REF!</definedName>
    <definedName name="fdn___0">#REF!</definedName>
    <definedName name="fdn___11">#REF!</definedName>
    <definedName name="fdn___47">#REF!</definedName>
    <definedName name="fdn___9">#REF!</definedName>
    <definedName name="FECHA_INICIO_APLICACION">#REF!</definedName>
    <definedName name="FEFee">#REF!</definedName>
    <definedName name="ff">#REF!</definedName>
    <definedName name="fffff">#REF!</definedName>
    <definedName name="ffk">#REF!</definedName>
    <definedName name="FFR_EURO">#REF!</definedName>
    <definedName name="fg">#REF!</definedName>
    <definedName name="FGIP_SM3">#REF!</definedName>
    <definedName name="FGIR_SM3">#REF!</definedName>
    <definedName name="FGIT_SM3">#REF!</definedName>
    <definedName name="fgj">#REF!</definedName>
    <definedName name="FGPRTG_SM3">#REF!</definedName>
    <definedName name="FGPT_SM3">#REF!</definedName>
    <definedName name="FGRPTREE">#REF!</definedName>
    <definedName name="FGRUPTREE">#REF!</definedName>
    <definedName name="fi_商誉">#REF!</definedName>
    <definedName name="Fibor_Rate_12">#REF!</definedName>
    <definedName name="Fibor_Rate_3">#REF!</definedName>
    <definedName name="Fibor_Rate_6">#REF!</definedName>
    <definedName name="figures">#REF!</definedName>
    <definedName name="FiguresText">#REF!</definedName>
    <definedName name="fii_负商誉">#REF!</definedName>
    <definedName name="fiii_研究及开发费用">#REF!</definedName>
    <definedName name="Final_Date">#REF!</definedName>
    <definedName name="Final_NPV">#REF!</definedName>
    <definedName name="Final_Period">#REF!</definedName>
    <definedName name="FinalMaturityDateIn">#REF!</definedName>
    <definedName name="FINANCE">#REF!</definedName>
    <definedName name="Financing1">#REF!</definedName>
    <definedName name="Financing2">#REF!</definedName>
    <definedName name="Financing3">#REF!</definedName>
    <definedName name="Financing4">#REF!</definedName>
    <definedName name="FinanOptions">#REF!</definedName>
    <definedName name="findata_БазаДанных_Таблица">#REF!</definedName>
    <definedName name="finish">#REF!</definedName>
    <definedName name="first_duration">#REF!</definedName>
    <definedName name="First_Hook">#REF!</definedName>
    <definedName name="First_payment_due">#REF!</definedName>
    <definedName name="FISCAL_YEARS">#REF!</definedName>
    <definedName name="fiv_专利权和商标">#REF!</definedName>
    <definedName name="fix">#REF!</definedName>
    <definedName name="Fixed_Opex_Delay">#REF!</definedName>
    <definedName name="fjsf">#REF!</definedName>
    <definedName name="fklk">#REF!</definedName>
    <definedName name="Flatcars40Acquisitions">#REF!</definedName>
    <definedName name="Flatcars40DeprRateInput">#REF!</definedName>
    <definedName name="Flatcars40ResidualValueInput">#REF!</definedName>
    <definedName name="Flatcars40Sale">#REF!</definedName>
    <definedName name="Flatcars40TerminLease">#REF!</definedName>
    <definedName name="Flatcars40WriteOff">#REF!</definedName>
    <definedName name="Flatcars80Acquisitions">#REF!</definedName>
    <definedName name="Flatcars80DeprRateInput">#REF!</definedName>
    <definedName name="Flatcars80ResidualValueInput">#REF!</definedName>
    <definedName name="Flatcars80Sale">#REF!</definedName>
    <definedName name="Flatcars80TerminLease">#REF!</definedName>
    <definedName name="Flatcars80WtiteOff">#REF!</definedName>
    <definedName name="FlatcarsDeliveryRevenue">#REF!</definedName>
    <definedName name="FlatcarsOtherAcquisitions">#REF!</definedName>
    <definedName name="FlatcarsOtherDeprRateInput">#REF!</definedName>
    <definedName name="FlatcarsOtherResidualValueInput">#REF!</definedName>
    <definedName name="FlatcarsOtherSale">#REF!</definedName>
    <definedName name="FlatcarsOtherTerminLease">#REF!</definedName>
    <definedName name="FlatcarsOtherWtiteOff">#REF!</definedName>
    <definedName name="FlatcarsPublicServiceRevenue">#REF!</definedName>
    <definedName name="FlatcarsRentalServiceRevenue">#REF!</definedName>
    <definedName name="FlatcarsRollSteelRevenue">#REF!</definedName>
    <definedName name="FlatcarsTotalRevenue">#REF!</definedName>
    <definedName name="Flour_shift">#REF!</definedName>
    <definedName name="FM">#REF!</definedName>
    <definedName name="FOIP_SM3">#REF!</definedName>
    <definedName name="FOOD">#REF!</definedName>
    <definedName name="footer">#REF!</definedName>
    <definedName name="FOPR_SM3">#REF!</definedName>
    <definedName name="FOPT_SM3">#REF!</definedName>
    <definedName name="FORData">#REF!</definedName>
    <definedName name="forecast">#REF!</definedName>
    <definedName name="ForeignUnit">#REF!</definedName>
    <definedName name="Form__F_38_____Non___Interest_bearing_balance_sheet_items">#REF!</definedName>
    <definedName name="Format0Dec">#REF!</definedName>
    <definedName name="Format2Dec">#REF!</definedName>
    <definedName name="FPR_BAR">#REF!</definedName>
    <definedName name="FRID">#REF!</definedName>
    <definedName name="FTP">#REF!</definedName>
    <definedName name="fuck">#REF!</definedName>
    <definedName name="FuelFlareGasPortion">#REF!</definedName>
    <definedName name="Full_Print">#REF!</definedName>
    <definedName name="fv_后续支出">#REF!</definedName>
    <definedName name="fvi_摊销">#REF!</definedName>
    <definedName name="FWIR_SM3">#REF!</definedName>
    <definedName name="FWIT_SM3">#REF!</definedName>
    <definedName name="FWPR_SM3">#REF!</definedName>
    <definedName name="FWPT_SM3">#REF!</definedName>
    <definedName name="fx">#REF!</definedName>
    <definedName name="FX_gain_loss">#REF!</definedName>
    <definedName name="fxd">#REF!</definedName>
    <definedName name="FXGain_Loss">#REF!</definedName>
    <definedName name="fxtop">#REF!</definedName>
    <definedName name="fyCurrencyUnit">#REF!</definedName>
    <definedName name="fytf">#REF!</definedName>
    <definedName name="g">#REF!</definedName>
    <definedName name="G_70">#REF!</definedName>
    <definedName name="GA">#REF!</definedName>
    <definedName name="GAAP_ACC">#REF!</definedName>
    <definedName name="gaap_GRID">#REF!</definedName>
    <definedName name="Gas_Profit_Share">#REF!</definedName>
    <definedName name="GasPrice">#REF!</definedName>
    <definedName name="gbp">#REF!</definedName>
    <definedName name="GCID1">#REF!</definedName>
    <definedName name="GDBUT">#REF!</definedName>
    <definedName name="GDRAP">#REF!</definedName>
    <definedName name="GEBUT">#REF!</definedName>
    <definedName name="gen_path">#REF!</definedName>
    <definedName name="ger">#REF!</definedName>
    <definedName name="GERAP">#REF!</definedName>
    <definedName name="Germany_CPI">#REF!</definedName>
    <definedName name="GetSANDValue">#REF!</definedName>
    <definedName name="GetVal">#REF!</definedName>
    <definedName name="gf">#REF!</definedName>
    <definedName name="ggfc">#REF!</definedName>
    <definedName name="ggg">#REF!</definedName>
    <definedName name="GGK">#REF!</definedName>
    <definedName name="ggt">#REF!</definedName>
    <definedName name="gh">#REF!</definedName>
    <definedName name="ghb">#REF!</definedName>
    <definedName name="ghg">#REF!</definedName>
    <definedName name="ghgh">#REF!</definedName>
    <definedName name="ghhhh">#REF!</definedName>
    <definedName name="ghjf">#REF!</definedName>
    <definedName name="glmk">#REF!</definedName>
    <definedName name="GNI_8">#REF!</definedName>
    <definedName name="GoAssetChart">#REF!</definedName>
    <definedName name="GoBack">#REF!</definedName>
    <definedName name="GoBalanceSheet">#REF!</definedName>
    <definedName name="GoCashFlow">#REF!</definedName>
    <definedName name="GoData">#REF!</definedName>
    <definedName name="GoIncomeChart">#REF!</definedName>
    <definedName name="GondolasAcquisitions">#REF!</definedName>
    <definedName name="GondolasDeprRateInput">#REF!</definedName>
    <definedName name="GondolasResidualValueInput">#REF!</definedName>
    <definedName name="GondolasSale">#REF!</definedName>
    <definedName name="GondolasWtiteOff">#REF!</definedName>
    <definedName name="Govfixtab">#REF!</definedName>
    <definedName name="GP_1">#REF!</definedName>
    <definedName name="GPC_10">#REF!</definedName>
    <definedName name="GR">#REF!</definedName>
    <definedName name="Gr_100">#REF!</definedName>
    <definedName name="Gr_101">#REF!</definedName>
    <definedName name="Gr_105">#REF!</definedName>
    <definedName name="Gr_110">#REF!</definedName>
    <definedName name="Gr_120">#REF!</definedName>
    <definedName name="Gr_120_1">#REF!</definedName>
    <definedName name="Gr_125">#REF!</definedName>
    <definedName name="Gr_130">#REF!</definedName>
    <definedName name="Gr_132">#REF!</definedName>
    <definedName name="Gr_135">#REF!</definedName>
    <definedName name="Gr_140">#REF!</definedName>
    <definedName name="Gr_145">#REF!</definedName>
    <definedName name="Gr_146">#REF!</definedName>
    <definedName name="Gr_147">#REF!</definedName>
    <definedName name="Gr_155">#REF!</definedName>
    <definedName name="Gr_160">#REF!</definedName>
    <definedName name="Gr_165">#REF!</definedName>
    <definedName name="Gr_170">#REF!</definedName>
    <definedName name="Gr_179">#REF!</definedName>
    <definedName name="Gr_181">#REF!</definedName>
    <definedName name="Gr_183">#REF!</definedName>
    <definedName name="Gr_185">#REF!</definedName>
    <definedName name="Gr_189">#REF!</definedName>
    <definedName name="Gr_201">#REF!</definedName>
    <definedName name="Gr_202">#REF!</definedName>
    <definedName name="Gr_203">#REF!</definedName>
    <definedName name="Gr_204">#REF!</definedName>
    <definedName name="Gr_205">#REF!</definedName>
    <definedName name="Gr_206">#REF!</definedName>
    <definedName name="Gr_211">#REF!</definedName>
    <definedName name="Gr_212">#REF!</definedName>
    <definedName name="Gr_215">#REF!</definedName>
    <definedName name="Gr_220">#REF!</definedName>
    <definedName name="Gr_230">#REF!</definedName>
    <definedName name="Gr_240">#REF!</definedName>
    <definedName name="Gr_255">#REF!</definedName>
    <definedName name="Gr_270">#REF!</definedName>
    <definedName name="Gr_279">#REF!</definedName>
    <definedName name="Gr_281">#REF!</definedName>
    <definedName name="Gr_283">#REF!</definedName>
    <definedName name="Gr_285">#REF!</definedName>
    <definedName name="Gr_289">#REF!</definedName>
    <definedName name="Gr_300">#REF!</definedName>
    <definedName name="Gr_310">#REF!</definedName>
    <definedName name="Gr_350">#REF!</definedName>
    <definedName name="Gr_405">#REF!</definedName>
    <definedName name="Gr_410">#REF!</definedName>
    <definedName name="Gr_420">#REF!</definedName>
    <definedName name="Gr_425">#REF!</definedName>
    <definedName name="Gr_430">#REF!</definedName>
    <definedName name="Gr_432">#REF!</definedName>
    <definedName name="Gr_435">#REF!</definedName>
    <definedName name="Gr_440">#REF!</definedName>
    <definedName name="Gr_445">#REF!</definedName>
    <definedName name="Gr_447">#REF!</definedName>
    <definedName name="Gr_450">#REF!</definedName>
    <definedName name="Gr_460">#REF!</definedName>
    <definedName name="Gr_470">#REF!</definedName>
    <definedName name="Gr_473">#REF!</definedName>
    <definedName name="Gr_485">#REF!</definedName>
    <definedName name="Gr_487">#REF!</definedName>
    <definedName name="Gr_489">#REF!</definedName>
    <definedName name="Gr_492">#REF!</definedName>
    <definedName name="Gr_494">#REF!</definedName>
    <definedName name="Gr_502">#REF!</definedName>
    <definedName name="Gr_503">#REF!</definedName>
    <definedName name="Gr_504">#REF!</definedName>
    <definedName name="Gr_505">#REF!</definedName>
    <definedName name="Gr_506">#REF!</definedName>
    <definedName name="Gr_509">#REF!</definedName>
    <definedName name="Gr_511">#REF!</definedName>
    <definedName name="Gr_512">#REF!</definedName>
    <definedName name="Gr_515">#REF!</definedName>
    <definedName name="Gr_520">#REF!</definedName>
    <definedName name="Gr_530">#REF!</definedName>
    <definedName name="Gr_540">#REF!</definedName>
    <definedName name="Gr_545">#REF!</definedName>
    <definedName name="Gr_550">#REF!</definedName>
    <definedName name="Gr_560">#REF!</definedName>
    <definedName name="Gr_570">#REF!</definedName>
    <definedName name="Gr_572">#REF!</definedName>
    <definedName name="Gr_573">#REF!</definedName>
    <definedName name="Gr_574">#REF!</definedName>
    <definedName name="Gr_576">#REF!</definedName>
    <definedName name="Gr_578">#REF!</definedName>
    <definedName name="Gr_585">#REF!</definedName>
    <definedName name="Gr_587">#REF!</definedName>
    <definedName name="Gr_589">#REF!</definedName>
    <definedName name="Gr_592">#REF!</definedName>
    <definedName name="Gr_594">#REF!</definedName>
    <definedName name="Gr_600">#REF!</definedName>
    <definedName name="Gr_605">#REF!</definedName>
    <definedName name="Gr_610">#REF!</definedName>
    <definedName name="Gr_615">#REF!</definedName>
    <definedName name="Gr_620">#REF!</definedName>
    <definedName name="Gr_630">#REF!</definedName>
    <definedName name="Gr_640">#REF!</definedName>
    <definedName name="Gr_650">#REF!</definedName>
    <definedName name="Gr_655">#REF!</definedName>
    <definedName name="Gr_660">#REF!</definedName>
    <definedName name="Gr_665">#REF!</definedName>
    <definedName name="Gr_670">#REF!</definedName>
    <definedName name="Gr_680">#REF!</definedName>
    <definedName name="Gr_690">#REF!</definedName>
    <definedName name="Gr_710">#REF!</definedName>
    <definedName name="Gr_720">#REF!</definedName>
    <definedName name="Gr_730">#REF!</definedName>
    <definedName name="Gr_740">#REF!</definedName>
    <definedName name="Gr_750">#REF!</definedName>
    <definedName name="Gr_763">#REF!</definedName>
    <definedName name="Gr_765">#REF!</definedName>
    <definedName name="Gr_766">#REF!</definedName>
    <definedName name="Grace_Factor">#REF!</definedName>
    <definedName name="grades">#REF!</definedName>
    <definedName name="gráficos">#REF!</definedName>
    <definedName name="Grand_Total">#REF!</definedName>
    <definedName name="Grid_Assets">#REF!</definedName>
    <definedName name="Grid_bs">#REF!</definedName>
    <definedName name="Grid_is">#REF!</definedName>
    <definedName name="group">#REF!</definedName>
    <definedName name="grp">#REF!</definedName>
    <definedName name="GRPOUT">#REF!</definedName>
    <definedName name="GRPOUT3">#REF!</definedName>
    <definedName name="GRPOUT8">#REF!</definedName>
    <definedName name="GRPOUT9">#REF!</definedName>
    <definedName name="GRPSUMS">#REF!</definedName>
    <definedName name="GRUPTREE">#REF!</definedName>
    <definedName name="gs">#REF!</definedName>
    <definedName name="GSTARTUP">#REF!</definedName>
    <definedName name="gtxb">#REF!</definedName>
    <definedName name="Guarantees">#REF!</definedName>
    <definedName name="gyuui">#REF!</definedName>
    <definedName name="g证券投资">#REF!</definedName>
    <definedName name="hdas">#REF!</definedName>
    <definedName name="Head_AD">#REF!</definedName>
    <definedName name="Head_CD">#REF!</definedName>
    <definedName name="Head_CS">#REF!</definedName>
    <definedName name="Head_FD">#REF!</definedName>
    <definedName name="Head_Free">#REF!</definedName>
    <definedName name="Head_MD">#REF!</definedName>
    <definedName name="Head_PR">#REF!</definedName>
    <definedName name="Head_TD">#REF!</definedName>
    <definedName name="HeaderTitle">#REF!</definedName>
    <definedName name="HEDACT">#REF!</definedName>
    <definedName name="HEDPOS">#REF!</definedName>
    <definedName name="HEDPOSBYR">#REF!</definedName>
    <definedName name="HELP">#REF!</definedName>
    <definedName name="HFсушка_печ">#REF!</definedName>
    <definedName name="HFсушка_печать">#REF!</definedName>
    <definedName name="hg">#REF!</definedName>
    <definedName name="hgf">#REF!</definedName>
    <definedName name="hghg">#REF!</definedName>
    <definedName name="hh">#REF!</definedName>
    <definedName name="HH_inv">#REF!</definedName>
    <definedName name="HILH">#REF!</definedName>
    <definedName name="hjhj">#REF!</definedName>
    <definedName name="hjj">#REF!</definedName>
    <definedName name="hjjjjj">#REF!</definedName>
    <definedName name="HN">#REF!</definedName>
    <definedName name="How">#REF!</definedName>
    <definedName name="hozu">#REF!</definedName>
    <definedName name="HR">#REF!</definedName>
    <definedName name="HUBDCS">#REF!</definedName>
    <definedName name="Hungary_CPI">#REF!</definedName>
    <definedName name="hvlkhg">#REF!</definedName>
    <definedName name="hydrotest">#REF!</definedName>
    <definedName name="h存货">#REF!</definedName>
    <definedName name="i">#REF!</definedName>
    <definedName name="I___0">#REF!</definedName>
    <definedName name="I___12">#REF!</definedName>
    <definedName name="I___17">#REF!</definedName>
    <definedName name="I___2">#REF!</definedName>
    <definedName name="I___22">#REF!</definedName>
    <definedName name="I___24">#REF!</definedName>
    <definedName name="I___29">#REF!</definedName>
    <definedName name="I___30">#REF!</definedName>
    <definedName name="I___33">#REF!</definedName>
    <definedName name="I___34">#REF!</definedName>
    <definedName name="I___35">#REF!</definedName>
    <definedName name="I___40">#REF!</definedName>
    <definedName name="I___41">#REF!</definedName>
    <definedName name="I___44">#REF!</definedName>
    <definedName name="I___45">#REF!</definedName>
    <definedName name="I___47">#REF!</definedName>
    <definedName name="IAS_BS1998">#REF!</definedName>
    <definedName name="IAS_IS1998">#REF!</definedName>
    <definedName name="Igr_100">#REF!</definedName>
    <definedName name="Igr_101">#REF!</definedName>
    <definedName name="Igr_105">#REF!</definedName>
    <definedName name="Igr_110">#REF!</definedName>
    <definedName name="Igr_115">#REF!</definedName>
    <definedName name="Igr_120">#REF!</definedName>
    <definedName name="Igr_125">#REF!</definedName>
    <definedName name="Igr_130">#REF!</definedName>
    <definedName name="Igr_132">#REF!</definedName>
    <definedName name="Igr_135">#REF!</definedName>
    <definedName name="Igr_140">#REF!</definedName>
    <definedName name="Igr_145">#REF!</definedName>
    <definedName name="Igr_146">#REF!</definedName>
    <definedName name="Igr_147">#REF!</definedName>
    <definedName name="Igr_148">#REF!</definedName>
    <definedName name="Igr_155">#REF!</definedName>
    <definedName name="Igr_160">#REF!</definedName>
    <definedName name="Igr_165">#REF!</definedName>
    <definedName name="Igr_170">#REF!</definedName>
    <definedName name="Igr_179">#REF!</definedName>
    <definedName name="Igr_181">#REF!</definedName>
    <definedName name="Igr_183">#REF!</definedName>
    <definedName name="Igr_185">#REF!</definedName>
    <definedName name="Igr_189">#REF!</definedName>
    <definedName name="Igr_201">#REF!</definedName>
    <definedName name="Igr_202">#REF!</definedName>
    <definedName name="Igr_203">#REF!</definedName>
    <definedName name="Igr_204">#REF!</definedName>
    <definedName name="Igr_205">#REF!</definedName>
    <definedName name="Igr_211">#REF!</definedName>
    <definedName name="Igr_212">#REF!</definedName>
    <definedName name="Igr_215">#REF!</definedName>
    <definedName name="Igr_220">#REF!</definedName>
    <definedName name="Igr_225">#REF!</definedName>
    <definedName name="Igr_230">#REF!</definedName>
    <definedName name="Igr_240">#REF!</definedName>
    <definedName name="Igr_255">#REF!</definedName>
    <definedName name="Igr_270">#REF!</definedName>
    <definedName name="Igr_277">#REF!</definedName>
    <definedName name="Igr_279">#REF!</definedName>
    <definedName name="Igr_281">#REF!</definedName>
    <definedName name="Igr_283">#REF!</definedName>
    <definedName name="Igr_285">#REF!</definedName>
    <definedName name="Igr_289">#REF!</definedName>
    <definedName name="Igr_300">#REF!</definedName>
    <definedName name="Igr_310">#REF!</definedName>
    <definedName name="Igr_312">#REF!</definedName>
    <definedName name="Igr_350">#REF!</definedName>
    <definedName name="Igr_405">#REF!</definedName>
    <definedName name="Igr_410">#REF!</definedName>
    <definedName name="Igr_420">#REF!</definedName>
    <definedName name="Igr_425">#REF!</definedName>
    <definedName name="Igr_430">#REF!</definedName>
    <definedName name="Igr_432">#REF!</definedName>
    <definedName name="Igr_435">#REF!</definedName>
    <definedName name="Igr_440">#REF!</definedName>
    <definedName name="Igr_445">#REF!</definedName>
    <definedName name="Igr_446">#REF!</definedName>
    <definedName name="Igr_447">#REF!</definedName>
    <definedName name="Igr_450">#REF!</definedName>
    <definedName name="Igr_460">#REF!</definedName>
    <definedName name="Igr_470">#REF!</definedName>
    <definedName name="Igr_473">#REF!</definedName>
    <definedName name="Igr_485">#REF!</definedName>
    <definedName name="Igr_487">#REF!</definedName>
    <definedName name="Igr_489">#REF!</definedName>
    <definedName name="Igr_490">#REF!</definedName>
    <definedName name="Igr_492">#REF!</definedName>
    <definedName name="Igr_494">#REF!</definedName>
    <definedName name="Igr_499">#REF!</definedName>
    <definedName name="Igr_502">#REF!</definedName>
    <definedName name="Igr_503">#REF!</definedName>
    <definedName name="Igr_504">#REF!</definedName>
    <definedName name="Igr_505">#REF!</definedName>
    <definedName name="Igr_506">#REF!</definedName>
    <definedName name="Igr_509">#REF!</definedName>
    <definedName name="Igr_511">#REF!</definedName>
    <definedName name="Igr_512">#REF!</definedName>
    <definedName name="Igr_515">#REF!</definedName>
    <definedName name="Igr_520">#REF!</definedName>
    <definedName name="Igr_525">#REF!</definedName>
    <definedName name="Igr_530">#REF!</definedName>
    <definedName name="Igr_540">#REF!</definedName>
    <definedName name="Igr_545">#REF!</definedName>
    <definedName name="Igr_550">#REF!</definedName>
    <definedName name="Igr_560">#REF!</definedName>
    <definedName name="Igr_570">#REF!</definedName>
    <definedName name="Igr_572">#REF!</definedName>
    <definedName name="Igr_573">#REF!</definedName>
    <definedName name="Igr_574">#REF!</definedName>
    <definedName name="Igr_576">#REF!</definedName>
    <definedName name="Igr_578">#REF!</definedName>
    <definedName name="Igr_585">#REF!</definedName>
    <definedName name="Igr_587">#REF!</definedName>
    <definedName name="Igr_589">#REF!</definedName>
    <definedName name="Igr_590">#REF!</definedName>
    <definedName name="Igr_592">#REF!</definedName>
    <definedName name="Igr_594">#REF!</definedName>
    <definedName name="Igr_599">#REF!</definedName>
    <definedName name="Igr_600">#REF!</definedName>
    <definedName name="Igr_605">#REF!</definedName>
    <definedName name="Igr_608">#REF!</definedName>
    <definedName name="Igr_610">#REF!</definedName>
    <definedName name="Igr_615">#REF!</definedName>
    <definedName name="Igr_618">#REF!</definedName>
    <definedName name="Igr_620">#REF!</definedName>
    <definedName name="Igr_630">#REF!</definedName>
    <definedName name="Igr_640">#REF!</definedName>
    <definedName name="Igr_650">#REF!</definedName>
    <definedName name="Igr_655">#REF!</definedName>
    <definedName name="Igr_658">#REF!</definedName>
    <definedName name="Igr_660">#REF!</definedName>
    <definedName name="Igr_665">#REF!</definedName>
    <definedName name="Igr_668">#REF!</definedName>
    <definedName name="Igr_670">#REF!</definedName>
    <definedName name="Igr_680">#REF!</definedName>
    <definedName name="Igr_690">#REF!</definedName>
    <definedName name="Igr_710">#REF!</definedName>
    <definedName name="Igr_720">#REF!</definedName>
    <definedName name="Igr_730">#REF!</definedName>
    <definedName name="Igr_740">#REF!</definedName>
    <definedName name="Igr_750">#REF!</definedName>
    <definedName name="ii">#REF!</definedName>
    <definedName name="ij">#REF!</definedName>
    <definedName name="IJD">#REF!</definedName>
    <definedName name="ijku324h">#REF!</definedName>
    <definedName name="Ik_1">#REF!</definedName>
    <definedName name="Ik_2">#REF!</definedName>
    <definedName name="Ik_3">#REF!</definedName>
    <definedName name="Ik_4">#REF!</definedName>
    <definedName name="Ik_5">#REF!</definedName>
    <definedName name="iki">#REF!</definedName>
    <definedName name="IKN">#REF!</definedName>
    <definedName name="IL">#REF!</definedName>
    <definedName name="IL_MS_20Access_3BMaxBufferSize_2048_3BPageTimeout_5_3B">#REF!</definedName>
    <definedName name="IL_MS_20Access_3BMaxBufferSize_2048_3BPageTimeout_5_3B_1">#REF!</definedName>
    <definedName name="Im_64">#REF!</definedName>
    <definedName name="Im_66">#REF!</definedName>
    <definedName name="Inc_Stmt">#REF!</definedName>
    <definedName name="Inc_Stmt1">#REF!</definedName>
    <definedName name="IncomeTaxIn">#REF!</definedName>
    <definedName name="IncomeTaxTotal">#REF!</definedName>
    <definedName name="IndCapexPerc">#REF!</definedName>
    <definedName name="IndExR">#REF!</definedName>
    <definedName name="IndInflation">#REF!</definedName>
    <definedName name="IndLOF">#REF!</definedName>
    <definedName name="IndNPV">#REF!</definedName>
    <definedName name="IndOpexDeduct">#REF!</definedName>
    <definedName name="IndOpexPerc">#REF!</definedName>
    <definedName name="IndPrices">#REF!</definedName>
    <definedName name="IndProdnPerc">#REF!</definedName>
    <definedName name="IndProdnStart">#REF!</definedName>
    <definedName name="IndProdProf">#REF!</definedName>
    <definedName name="IndProdTime">#REF!</definedName>
    <definedName name="IndSalValues">#REF!</definedName>
    <definedName name="Inflation">#REF!</definedName>
    <definedName name="Infra">#REF!</definedName>
    <definedName name="INGRESOS_BRUTOS">#REF!</definedName>
    <definedName name="input">#REF!</definedName>
    <definedName name="Input_Mth">#REF!</definedName>
    <definedName name="InsuranceRateWagonsInput">#REF!</definedName>
    <definedName name="Int">#REF!</definedName>
    <definedName name="Int_Scroll">#REF!</definedName>
    <definedName name="INTCAP">#REF!</definedName>
    <definedName name="intcopy">#REF!</definedName>
    <definedName name="intellititle">#REF!</definedName>
    <definedName name="intellititlegroup">#REF!</definedName>
    <definedName name="inter">#REF!</definedName>
    <definedName name="Interest_accrued">#REF!</definedName>
    <definedName name="Interest_expenses">#REF!</definedName>
    <definedName name="Interest_Income">#REF!</definedName>
    <definedName name="Interest_Rate">#REF!</definedName>
    <definedName name="interestrate">#REF!</definedName>
    <definedName name="Interim_Date">#REF!</definedName>
    <definedName name="interm_level">#REF!</definedName>
    <definedName name="Interval">#REF!</definedName>
    <definedName name="intpaste">#REF!</definedName>
    <definedName name="INV">#REF!</definedName>
    <definedName name="INVADJ99">#REF!</definedName>
    <definedName name="InventoriesEoP">#REF!</definedName>
    <definedName name="Inventory_close">#REF!</definedName>
    <definedName name="Inventory_open">#REF!</definedName>
    <definedName name="INVEST">#REF!</definedName>
    <definedName name="investing">#REF!</definedName>
    <definedName name="InvestmentsContainers">#REF!</definedName>
    <definedName name="InvestmentsGondolas">#REF!</definedName>
    <definedName name="InvestmentsRollingStock">#REF!</definedName>
    <definedName name="INVNOV2399">#REF!</definedName>
    <definedName name="IQB_BOOKMARK_LOCATION_0">#REF!</definedName>
    <definedName name="IQRAllselectedE100">#REF!</definedName>
    <definedName name="IQRAllselectedE106">#REF!</definedName>
    <definedName name="IQRAllselectedE113">#REF!</definedName>
    <definedName name="IQRAllselectedE120">#REF!</definedName>
    <definedName name="IQRAllselectedE127">#REF!</definedName>
    <definedName name="IQRAllselectedE133">#REF!</definedName>
    <definedName name="IQRAllselectedE140">#REF!</definedName>
    <definedName name="IQRAllselectedE146">#REF!</definedName>
    <definedName name="IQRAllselectedE15">#REF!</definedName>
    <definedName name="IQRAllselectedE151">#REF!</definedName>
    <definedName name="IQRAllselectedE156">#REF!</definedName>
    <definedName name="IQRAllselectedE187">#REF!</definedName>
    <definedName name="IQRAllselectedE197">#REF!</definedName>
    <definedName name="IQRAllselectedE2">#REF!</definedName>
    <definedName name="IQRAllselectedE207">#REF!</definedName>
    <definedName name="IQRAllselectedE212">#REF!</definedName>
    <definedName name="IQRAllselectedE22">#REF!</definedName>
    <definedName name="IQRAllselectedE227">#REF!</definedName>
    <definedName name="IQRAllselectedE233">#REF!</definedName>
    <definedName name="IQRAllselectedE239">#REF!</definedName>
    <definedName name="IQRAllselectedE245">#REF!</definedName>
    <definedName name="IQRAllselectedE261">#REF!</definedName>
    <definedName name="IQRAllselectedE267">#REF!</definedName>
    <definedName name="IQRAllselectedE273">#REF!</definedName>
    <definedName name="IQRAllselectedE278">#REF!</definedName>
    <definedName name="IQRAllselectedE28">#REF!</definedName>
    <definedName name="IQRAllselectedE283">#REF!</definedName>
    <definedName name="IQRAllselectedE289">#REF!</definedName>
    <definedName name="IQRAllselectedE295">#REF!</definedName>
    <definedName name="IQRAllselectedE300">#REF!</definedName>
    <definedName name="IQRAllselectedE310">#REF!</definedName>
    <definedName name="IQRAllselectedE321">#REF!</definedName>
    <definedName name="IQRAllselectedE327">#REF!</definedName>
    <definedName name="IQRAllselectedE333">#REF!</definedName>
    <definedName name="IQRAllselectedE34">#REF!</definedName>
    <definedName name="IQRAllselectedE340">#REF!</definedName>
    <definedName name="IQRAllselectedE350">#REF!</definedName>
    <definedName name="IQRAllselectedE358">#REF!</definedName>
    <definedName name="IQRAllselectedE367">#REF!</definedName>
    <definedName name="IQRAllselectedE377">#REF!</definedName>
    <definedName name="IQRAllselectedE381">#REF!</definedName>
    <definedName name="IQRAllselectedE390">#REF!</definedName>
    <definedName name="IQRAllselectedE40">#REF!</definedName>
    <definedName name="IQRAllselectedE400">#REF!</definedName>
    <definedName name="IQRAllselectedE409">#REF!</definedName>
    <definedName name="IQRAllselectedE418">#REF!</definedName>
    <definedName name="IQRAllselectedE46">#REF!</definedName>
    <definedName name="IQRAllselectedE53">#REF!</definedName>
    <definedName name="IQRAllselectedE60">#REF!</definedName>
    <definedName name="IQRAllselectedE66">#REF!</definedName>
    <definedName name="IQRAllselectedE72">#REF!</definedName>
    <definedName name="IQRAllselectedE78">#REF!</definedName>
    <definedName name="IQRAllselectedE84">#REF!</definedName>
    <definedName name="IQRAllselectedE89">#REF!</definedName>
    <definedName name="IQRAllselectedE9">#REF!</definedName>
    <definedName name="IQRAllselectedE94">#REF!</definedName>
    <definedName name="IQRAllselectedF100">#REF!</definedName>
    <definedName name="IQRAllselectedF106">#REF!</definedName>
    <definedName name="IQRAllselectedF113">#REF!</definedName>
    <definedName name="IQRAllselectedF120">#REF!</definedName>
    <definedName name="IQRAllselectedF127">#REF!</definedName>
    <definedName name="IQRAllselectedF133">#REF!</definedName>
    <definedName name="IQRAllselectedF140">#REF!</definedName>
    <definedName name="IQRAllselectedF146">#REF!</definedName>
    <definedName name="IQRAllselectedF15">#REF!</definedName>
    <definedName name="IQRAllselectedF151">#REF!</definedName>
    <definedName name="IQRAllselectedF156">#REF!</definedName>
    <definedName name="IQRAllselectedF187">#REF!</definedName>
    <definedName name="IQRAllselectedF197">#REF!</definedName>
    <definedName name="IQRAllselectedF2">#REF!</definedName>
    <definedName name="IQRAllselectedF207">#REF!</definedName>
    <definedName name="IQRAllselectedF212">#REF!</definedName>
    <definedName name="IQRAllselectedF22">#REF!</definedName>
    <definedName name="IQRAllselectedF227">#REF!</definedName>
    <definedName name="IQRAllselectedF233">#REF!</definedName>
    <definedName name="IQRAllselectedF239">#REF!</definedName>
    <definedName name="IQRAllselectedF245">#REF!</definedName>
    <definedName name="IQRAllselectedF261">#REF!</definedName>
    <definedName name="IQRAllselectedF267">#REF!</definedName>
    <definedName name="IQRAllselectedF273">#REF!</definedName>
    <definedName name="IQRAllselectedF278">#REF!</definedName>
    <definedName name="IQRAllselectedF28">#REF!</definedName>
    <definedName name="IQRAllselectedF283">#REF!</definedName>
    <definedName name="IQRAllselectedF289">#REF!</definedName>
    <definedName name="IQRAllselectedF295">#REF!</definedName>
    <definedName name="IQRAllselectedF300">#REF!</definedName>
    <definedName name="IQRAllselectedF310">#REF!</definedName>
    <definedName name="IQRAllselectedF321">#REF!</definedName>
    <definedName name="IQRAllselectedF327">#REF!</definedName>
    <definedName name="IQRAllselectedF333">#REF!</definedName>
    <definedName name="IQRAllselectedF34">#REF!</definedName>
    <definedName name="IQRAllselectedF340">#REF!</definedName>
    <definedName name="IQRAllselectedF350">#REF!</definedName>
    <definedName name="IQRAllselectedF358">#REF!</definedName>
    <definedName name="IQRAllselectedF367">#REF!</definedName>
    <definedName name="IQRAllselectedF377">#REF!</definedName>
    <definedName name="IQRAllselectedF381">#REF!</definedName>
    <definedName name="IQRAllselectedF390">#REF!</definedName>
    <definedName name="IQRAllselectedF40">#REF!</definedName>
    <definedName name="IQRAllselectedF400">#REF!</definedName>
    <definedName name="IQRAllselectedF409">#REF!</definedName>
    <definedName name="IQRAllselectedF418">#REF!</definedName>
    <definedName name="IQRAllselectedF46">#REF!</definedName>
    <definedName name="IQRAllselectedF53">#REF!</definedName>
    <definedName name="IQRAllselectedF60">#REF!</definedName>
    <definedName name="IQRAllselectedF66">#REF!</definedName>
    <definedName name="IQRAllselectedF72">#REF!</definedName>
    <definedName name="IQRAllselectedF78">#REF!</definedName>
    <definedName name="IQRAllselectedF84">#REF!</definedName>
    <definedName name="IQRAllselectedF89">#REF!</definedName>
    <definedName name="IQRAllselectedF9">#REF!</definedName>
    <definedName name="IQRAllselectedF94">#REF!</definedName>
    <definedName name="Ireland_CPI">#REF!</definedName>
    <definedName name="IRR">#REF!</definedName>
    <definedName name="IRR_1">#REF!</definedName>
    <definedName name="IRR_2">#REF!</definedName>
    <definedName name="ISO">#REF!</definedName>
    <definedName name="Iss">#REF!</definedName>
    <definedName name="isy">#REF!</definedName>
    <definedName name="IS注1">#REF!</definedName>
    <definedName name="IS注2">#REF!</definedName>
    <definedName name="IS注3">#REF!</definedName>
    <definedName name="IS注4">#REF!</definedName>
    <definedName name="item">#REF!</definedName>
    <definedName name="itemm">#REF!</definedName>
    <definedName name="i现金及现金等价物">#REF!</definedName>
    <definedName name="j">#REF!</definedName>
    <definedName name="J___0">#REF!</definedName>
    <definedName name="J___12">#REF!</definedName>
    <definedName name="J___17">#REF!</definedName>
    <definedName name="J___2">#REF!</definedName>
    <definedName name="J___22">#REF!</definedName>
    <definedName name="J___24">#REF!</definedName>
    <definedName name="J___29">#REF!</definedName>
    <definedName name="J___30">#REF!</definedName>
    <definedName name="J___33">#REF!</definedName>
    <definedName name="J___34">#REF!</definedName>
    <definedName name="J___35">#REF!</definedName>
    <definedName name="J___40">#REF!</definedName>
    <definedName name="J___41">#REF!</definedName>
    <definedName name="J___44">#REF!</definedName>
    <definedName name="J___45">#REF!</definedName>
    <definedName name="J___47">#REF!</definedName>
    <definedName name="jam">#REF!</definedName>
    <definedName name="jfh">#REF!</definedName>
    <definedName name="jh">#REF!</definedName>
    <definedName name="jhkh">#REF!</definedName>
    <definedName name="ji_可收回价值的计算">#REF!</definedName>
    <definedName name="jii_减值损失的拨回">#REF!</definedName>
    <definedName name="jj">#REF!</definedName>
    <definedName name="jjj">#REF!</definedName>
    <definedName name="jk">#REF!</definedName>
    <definedName name="jkjl">#REF!</definedName>
    <definedName name="jkljkl">#REF!</definedName>
    <definedName name="jkljlkjl">#REF!</definedName>
    <definedName name="JPYExR">#REF!</definedName>
    <definedName name="jx">#REF!</definedName>
    <definedName name="k">#REF!</definedName>
    <definedName name="k_oth_eqt">#REF!</definedName>
    <definedName name="Kair_1st_prod_quarter">#REF!</definedName>
    <definedName name="Kair_1st_prod_year">#REF!</definedName>
    <definedName name="Kairan_DPlan_year">#REF!</definedName>
    <definedName name="Kairan_last_prod">#REF!</definedName>
    <definedName name="Kalam_1st_prod_quarter">#REF!</definedName>
    <definedName name="Kalam_1st_prod_year">#REF!</definedName>
    <definedName name="Kalam_DPlan_year">#REF!</definedName>
    <definedName name="Kalamkas_last_prod">#REF!</definedName>
    <definedName name="kana">#REF!</definedName>
    <definedName name="Kash_1st_prod_quarter">#REF!</definedName>
    <definedName name="Kash_1st_prod_year">#REF!</definedName>
    <definedName name="Kash_DPlan_year">#REF!</definedName>
    <definedName name="Kash_flag_incr_bonus">#REF!</definedName>
    <definedName name="Kash_incr_bonus">#REF!</definedName>
    <definedName name="Kash_last_prod">#REF!</definedName>
    <definedName name="Kash_max_incr_bonus">#REF!</definedName>
    <definedName name="Kash_prod_bonus_year">#REF!</definedName>
    <definedName name="Kash_quarter_incr_bonus">#REF!</definedName>
    <definedName name="Kash_ref_startup">#REF!</definedName>
    <definedName name="Kashagan_share">#REF!</definedName>
    <definedName name="KashSW_1st_prod_quarter">#REF!</definedName>
    <definedName name="KashSW_1st_prod_year">#REF!</definedName>
    <definedName name="KashSW_DPlan_year">#REF!</definedName>
    <definedName name="KashSW_last_prod">#REF!</definedName>
    <definedName name="kfjkefef">#REF!</definedName>
    <definedName name="kgh">#REF!</definedName>
    <definedName name="kghkljg">#REF!</definedName>
    <definedName name="ki">#REF!</definedName>
    <definedName name="kjh">#REF!</definedName>
    <definedName name="kjhj">#REF!</definedName>
    <definedName name="kjj">#REF!</definedName>
    <definedName name="kjlj">#REF!</definedName>
    <definedName name="kjljkl">#REF!</definedName>
    <definedName name="kkkk">#REF!</definedName>
    <definedName name="kkllj">#REF!</definedName>
    <definedName name="kl">#REF!</definedName>
    <definedName name="kljj">#REF!</definedName>
    <definedName name="kljj1">#REF!</definedName>
    <definedName name="klk">#REF!</definedName>
    <definedName name="kmd">#REF!</definedName>
    <definedName name="Kod">#REF!</definedName>
    <definedName name="kom">#REF!</definedName>
    <definedName name="kpmg">#REF!</definedName>
    <definedName name="ksajdn">#REF!</definedName>
    <definedName name="kty">#REF!</definedName>
    <definedName name="kurs">#REF!</definedName>
    <definedName name="KZT_BS">#REF!</definedName>
    <definedName name="KZT_cash">#REF!</definedName>
    <definedName name="KZT_IS">#REF!</definedName>
    <definedName name="KZT_non_cash_wk">#REF!</definedName>
    <definedName name="KZT_RUR_AveInput">#REF!</definedName>
    <definedName name="KZT_RUR_EoPInput">#REF!</definedName>
    <definedName name="KZT_USD_AveInput">#REF!</definedName>
    <definedName name="KZT_USD_EoPInput">#REF!</definedName>
    <definedName name="k股利分配">#REF!</definedName>
    <definedName name="l">#REF!</definedName>
    <definedName name="L_Adjust">#REF!</definedName>
    <definedName name="L_AJE_Tot">#REF!</definedName>
    <definedName name="L_CY_Beg">#REF!</definedName>
    <definedName name="L_CY_End">#REF!</definedName>
    <definedName name="L_PY_End">#REF!</definedName>
    <definedName name="L_RJE_Tot">#REF!</definedName>
    <definedName name="LandTax">#REF!</definedName>
    <definedName name="lang">#REF!</definedName>
    <definedName name="last_roo">#REF!</definedName>
    <definedName name="last_row">#REF!</definedName>
    <definedName name="last_rows">#REF!</definedName>
    <definedName name="LastHistoricYear">#REF!</definedName>
    <definedName name="lastpi">#REF!</definedName>
    <definedName name="LavCapexPerc">#REF!</definedName>
    <definedName name="LavExR">#REF!</definedName>
    <definedName name="LavInflation">#REF!</definedName>
    <definedName name="LavLOF">#REF!</definedName>
    <definedName name="LavNPV">#REF!</definedName>
    <definedName name="LavOpexDeduct">#REF!</definedName>
    <definedName name="LavOpexPerc">#REF!</definedName>
    <definedName name="LavPrices">#REF!</definedName>
    <definedName name="LavProdnPerc">#REF!</definedName>
    <definedName name="LavProdnStart">#REF!</definedName>
    <definedName name="LavProdProf">#REF!</definedName>
    <definedName name="LavProdTime">#REF!</definedName>
    <definedName name="LavSalValues">#REF!</definedName>
    <definedName name="layrate">#REF!</definedName>
    <definedName name="LC_1">#REF!</definedName>
    <definedName name="LC_10">#REF!</definedName>
    <definedName name="LC_11">#REF!</definedName>
    <definedName name="LC_14">#REF!</definedName>
    <definedName name="LC_2">#REF!</definedName>
    <definedName name="LC_3">#REF!</definedName>
    <definedName name="LC_4">#REF!</definedName>
    <definedName name="LC_5">#REF!</definedName>
    <definedName name="LC_6">#REF!</definedName>
    <definedName name="LC_7">#REF!</definedName>
    <definedName name="LC_8">#REF!</definedName>
    <definedName name="LC_9">#REF!</definedName>
    <definedName name="LCOST_11">#REF!</definedName>
    <definedName name="LCOST14">#REF!</definedName>
    <definedName name="LCOST14_2">#REF!</definedName>
    <definedName name="LdgTxt1">#REF!</definedName>
    <definedName name="LdgTxt10">#REF!</definedName>
    <definedName name="LdgTxt11">#REF!</definedName>
    <definedName name="LdgTxt12">#REF!</definedName>
    <definedName name="LdgTxt2">#REF!</definedName>
    <definedName name="LdgTxt3">#REF!</definedName>
    <definedName name="LdgTxt4">#REF!</definedName>
    <definedName name="LdgTxt5">#REF!</definedName>
    <definedName name="LdgTxt6">#REF!</definedName>
    <definedName name="LdgTxt7">#REF!</definedName>
    <definedName name="LdgTxt8">#REF!</definedName>
    <definedName name="LdgTxt9">#REF!</definedName>
    <definedName name="lead">#REF!</definedName>
    <definedName name="LeasedBoxcarsTotalEoP">#REF!</definedName>
    <definedName name="LeasedContainersTotalEoP">#REF!</definedName>
    <definedName name="LeasedDumpCarsTotalEoP">#REF!</definedName>
    <definedName name="LeasedFlatcars40TotalEoP">#REF!</definedName>
    <definedName name="LeasedFlatcars40TotalEoP_Delivery">#REF!</definedName>
    <definedName name="LeasedFlatcars40TotalEoP_Service">#REF!</definedName>
    <definedName name="LeasedFlatcars40TotalEoP_Spec">#REF!</definedName>
    <definedName name="LeasedFlatcars80TotalEoP">#REF!</definedName>
    <definedName name="LeasedFlatcarsOtherTotalEoP">#REF!</definedName>
    <definedName name="LeasedGondolasRentRate">#REF!</definedName>
    <definedName name="LeasedGondolasTotalEoP">#REF!</definedName>
    <definedName name="LeasedLocomotivesTotalEoP">#REF!</definedName>
    <definedName name="LeasedLPGCarsTotalEoP">#REF!</definedName>
    <definedName name="LeasedLPGRentRate">#REF!</definedName>
    <definedName name="LeasedOilCarsTotalEoP">#REF!</definedName>
    <definedName name="LeasedSpecContainersTotalEoP">#REF!</definedName>
    <definedName name="LeasedUniContainersTotalEoP">#REF!</definedName>
    <definedName name="LeaseIncreaseIn">#REF!</definedName>
    <definedName name="LeaseIncreaseInAfter">#REF!</definedName>
    <definedName name="LeaseInterests">#REF!</definedName>
    <definedName name="LeaseRepayment">#REF!</definedName>
    <definedName name="LEAV">#REF!</definedName>
    <definedName name="lerik">#REF!</definedName>
    <definedName name="Levels">#REF!</definedName>
    <definedName name="LH">#REF!</definedName>
    <definedName name="Libor_Rate_12">#REF!</definedName>
    <definedName name="Libor_Rate_3">#REF!</definedName>
    <definedName name="Libor_Rate_6">#REF!</definedName>
    <definedName name="LILAC_CPI">#REF!</definedName>
    <definedName name="limit15GRP">#REF!</definedName>
    <definedName name="limit200GRP">#REF!</definedName>
    <definedName name="limit40GRP">#REF!</definedName>
    <definedName name="limit600GRP">#REF!</definedName>
    <definedName name="line_rang1_1">#REF!</definedName>
    <definedName name="line_rang1_2">#REF!</definedName>
    <definedName name="line_rang1_3">#REF!</definedName>
    <definedName name="line_rang1_4">#REF!</definedName>
    <definedName name="line_rang1_5">#REF!</definedName>
    <definedName name="line_rang1_6">#REF!</definedName>
    <definedName name="line_rang1_7">#REF!</definedName>
    <definedName name="line_rang1_8">#REF!</definedName>
    <definedName name="line_rang2_2">#REF!</definedName>
    <definedName name="line_rang2_3">#REF!</definedName>
    <definedName name="line_rang2_4">#REF!</definedName>
    <definedName name="line_rang2_5">#REF!</definedName>
    <definedName name="line_rang2_6">#REF!</definedName>
    <definedName name="line_rang2_7">#REF!</definedName>
    <definedName name="line_rang2_8">#REF!</definedName>
    <definedName name="line_rang3_3">#REF!</definedName>
    <definedName name="line_rang3_4">#REF!</definedName>
    <definedName name="line_rang3_5">#REF!</definedName>
    <definedName name="line_rang3_6">#REF!</definedName>
    <definedName name="line_rang3_7">#REF!</definedName>
    <definedName name="line_rang3_8">#REF!</definedName>
    <definedName name="line_rang4_4">#REF!</definedName>
    <definedName name="line_rang4_5">#REF!</definedName>
    <definedName name="line_rang4_6">#REF!</definedName>
    <definedName name="line_rang4_7">#REF!</definedName>
    <definedName name="line_rang4_8">#REF!</definedName>
    <definedName name="line_rang5_5">#REF!</definedName>
    <definedName name="line_rang5_6">#REF!</definedName>
    <definedName name="line_rang5_7">#REF!</definedName>
    <definedName name="line_rang5_8">#REF!</definedName>
    <definedName name="line_rang6_6">#REF!</definedName>
    <definedName name="line_rang6_7">#REF!</definedName>
    <definedName name="line_rang6_8">#REF!</definedName>
    <definedName name="line_rang7_7">#REF!</definedName>
    <definedName name="line_rang7_8">#REF!</definedName>
    <definedName name="line_rang8_8">#REF!</definedName>
    <definedName name="LIQ_1">#REF!</definedName>
    <definedName name="LIQ_10">#REF!</definedName>
    <definedName name="LIQ_11">#REF!</definedName>
    <definedName name="LIQ_2">#REF!</definedName>
    <definedName name="LIQ_3">#REF!</definedName>
    <definedName name="LIQ_4">#REF!</definedName>
    <definedName name="LIQ_5">#REF!</definedName>
    <definedName name="LIQ_6">#REF!</definedName>
    <definedName name="LIQ_7">#REF!</definedName>
    <definedName name="LIQ_8">#REF!</definedName>
    <definedName name="LIQ_9">#REF!</definedName>
    <definedName name="LiqRevAdd_1">#REF!</definedName>
    <definedName name="LiqRevAdd_10">#REF!</definedName>
    <definedName name="LiqRevAdd_11">#REF!</definedName>
    <definedName name="LiqRevAdd_2">#REF!</definedName>
    <definedName name="LiqRevAdd_3">#REF!</definedName>
    <definedName name="LiqRevAdd_4">#REF!</definedName>
    <definedName name="LiqRevAdd_5">#REF!</definedName>
    <definedName name="LiqRevAdd_6">#REF!</definedName>
    <definedName name="LiqRevAdd_7">#REF!</definedName>
    <definedName name="LiqRevAdd_8">#REF!</definedName>
    <definedName name="LiqRevAdd_9">#REF!</definedName>
    <definedName name="ljkljlkjlj">#REF!</definedName>
    <definedName name="ljljlkjlkj">#REF!</definedName>
    <definedName name="ljlkjlkjl">#REF!</definedName>
    <definedName name="lk">#REF!</definedName>
    <definedName name="lkj">#REF!</definedName>
    <definedName name="ll">#REF!</definedName>
    <definedName name="lll">#REF!</definedName>
    <definedName name="llll">#REF!</definedName>
    <definedName name="loadoutlabperc">#REF!</definedName>
    <definedName name="loadoutmatallperc">#REF!</definedName>
    <definedName name="loadoutvesselrate">#REF!</definedName>
    <definedName name="Loan_Amount">#REF!</definedName>
    <definedName name="Loan_Choice">#REF!</definedName>
    <definedName name="Loan_from_Halyk">#REF!</definedName>
    <definedName name="Loan_Halyk_acquisition">#REF!</definedName>
    <definedName name="Loan_Start">#REF!</definedName>
    <definedName name="Loan_Years">#REF!</definedName>
    <definedName name="loan08">#REF!</definedName>
    <definedName name="loan09_not_zalog">#REF!</definedName>
    <definedName name="Loancommit">#REF!</definedName>
    <definedName name="LoanCommitment">#REF!</definedName>
    <definedName name="Loans_CP">#REF!</definedName>
    <definedName name="Loans_NP">#REF!</definedName>
    <definedName name="LocalRepairCostBoxcars">#REF!</definedName>
    <definedName name="LocalRepairCostDumpcars">#REF!</definedName>
    <definedName name="LocalRepairCostFlatcars40">#REF!</definedName>
    <definedName name="LocalRepairCostFlatcars80">#REF!</definedName>
    <definedName name="LocalRepairCostFlatcarsOther">#REF!</definedName>
    <definedName name="LocalRepairCostGondolas">#REF!</definedName>
    <definedName name="LocalRepairCostLocomotives">#REF!</definedName>
    <definedName name="LocalRepairCostLPG">#REF!</definedName>
    <definedName name="LocalRepairCostOil">#REF!</definedName>
    <definedName name="LocalRepairCostTotal">#REF!</definedName>
    <definedName name="locals_2828_feeding">#REF!</definedName>
    <definedName name="locals_2828_insurance">#REF!</definedName>
    <definedName name="locals_2828_sick">#REF!</definedName>
    <definedName name="locals_52_feeding">#REF!</definedName>
    <definedName name="locals_52_insurance">#REF!</definedName>
    <definedName name="locals_52_sick">#REF!</definedName>
    <definedName name="locals_52_travelling">#REF!</definedName>
    <definedName name="locfacatshore">#REF!</definedName>
    <definedName name="locfacoffshorelabour">#REF!</definedName>
    <definedName name="locfrt">#REF!</definedName>
    <definedName name="LocomotivesAcquisitions">#REF!</definedName>
    <definedName name="LocomotivesDeprRateInput">#REF!</definedName>
    <definedName name="LocomotivesRepairPriceInput">#REF!</definedName>
    <definedName name="LocomotivesResidualValueInput">#REF!</definedName>
    <definedName name="LocomotivesSale">#REF!</definedName>
    <definedName name="LocomotivesWtiteOff">#REF!</definedName>
    <definedName name="LOG">#REF!</definedName>
    <definedName name="log_file_path">#REF!</definedName>
    <definedName name="Long_term_debts_to_affiliates">#REF!</definedName>
    <definedName name="loop1">#REF!</definedName>
    <definedName name="LP">#REF!</definedName>
    <definedName name="LP_1">#REF!</definedName>
    <definedName name="LP_10">#REF!</definedName>
    <definedName name="LP_11">#REF!</definedName>
    <definedName name="LP_2">#REF!</definedName>
    <definedName name="LP_3">#REF!</definedName>
    <definedName name="LP_4">#REF!</definedName>
    <definedName name="LP_5">#REF!</definedName>
    <definedName name="LP_6">#REF!</definedName>
    <definedName name="LP_7">#REF!</definedName>
    <definedName name="LP_8">#REF!</definedName>
    <definedName name="LP_9">#REF!</definedName>
    <definedName name="LPGCarsAcquisitions">#REF!</definedName>
    <definedName name="LPGCarsDeprRateInput">#REF!</definedName>
    <definedName name="LPGCarsResidualValueInput">#REF!</definedName>
    <definedName name="LPGCarsSale">#REF!</definedName>
    <definedName name="LPGCarsWtiteOff">#REF!</definedName>
    <definedName name="Lst_CoName_Qual">#REF!</definedName>
    <definedName name="LTBR">#REF!</definedName>
    <definedName name="lvnc">#REF!</definedName>
    <definedName name="l银行借款">#REF!</definedName>
    <definedName name="m">#REF!</definedName>
    <definedName name="m_2">#REF!</definedName>
    <definedName name="m_2005">#REF!</definedName>
    <definedName name="m_2006">#REF!</definedName>
    <definedName name="m_2007">#REF!</definedName>
    <definedName name="m_dep_I">#REF!</definedName>
    <definedName name="m_dep_I1">#REF!</definedName>
    <definedName name="m_dep_N">#REF!</definedName>
    <definedName name="m_f2002">#REF!</definedName>
    <definedName name="m_Key2">#REF!</definedName>
    <definedName name="m_o2003">#REF!</definedName>
    <definedName name="m_p2003">#REF!</definedName>
    <definedName name="m_Predpr_I">#REF!</definedName>
    <definedName name="m_Predpr_N">#REF!</definedName>
    <definedName name="M12_COSTS">#REF!</definedName>
    <definedName name="M13_TRADEREC">#REF!</definedName>
    <definedName name="Macro">#REF!</definedName>
    <definedName name="macros10">#REF!</definedName>
    <definedName name="Macros2">#REF!</definedName>
    <definedName name="Macros3">#REF!</definedName>
    <definedName name="Macros4">#REF!</definedName>
    <definedName name="Macros5">#REF!</definedName>
    <definedName name="macros6">#REF!</definedName>
    <definedName name="macros7">#REF!</definedName>
    <definedName name="macros8">#REF!</definedName>
    <definedName name="macros9">#REF!</definedName>
    <definedName name="madasd">#REF!</definedName>
    <definedName name="majorequiptotal">#REF!</definedName>
    <definedName name="margin">#REF!</definedName>
    <definedName name="marinespreadunitrate">#REF!</definedName>
    <definedName name="mas_1">#REF!</definedName>
    <definedName name="mas_2">#REF!</definedName>
    <definedName name="mas_2_new">#REF!</definedName>
    <definedName name="mas_3">#REF!</definedName>
    <definedName name="mas_4">#REF!</definedName>
    <definedName name="mas_new">#REF!</definedName>
    <definedName name="mas_old">#REF!</definedName>
    <definedName name="mas_spisok">#REF!</definedName>
    <definedName name="Mask_Kashagan_Base">#REF!</definedName>
    <definedName name="Materiality">#REF!</definedName>
    <definedName name="MATURITIESBYYR">#REF!</definedName>
    <definedName name="Max">#REF!</definedName>
    <definedName name="Maxprice">#REF!</definedName>
    <definedName name="MCG_1">#REF!</definedName>
    <definedName name="MCG_10">#REF!</definedName>
    <definedName name="MCG_11">#REF!</definedName>
    <definedName name="MCG_2">#REF!</definedName>
    <definedName name="MCG_3">#REF!</definedName>
    <definedName name="MCG_4">#REF!</definedName>
    <definedName name="MCG_5">#REF!</definedName>
    <definedName name="MCG_6">#REF!</definedName>
    <definedName name="MCG_7">#REF!</definedName>
    <definedName name="MCG_8">#REF!</definedName>
    <definedName name="MCG_9">#REF!</definedName>
    <definedName name="MCGPR_1">#REF!</definedName>
    <definedName name="MCGPR_10">#REF!</definedName>
    <definedName name="MCGPR_11">#REF!</definedName>
    <definedName name="MCGPR_2">#REF!</definedName>
    <definedName name="MCGPR_3">#REF!</definedName>
    <definedName name="MCGPR_4">#REF!</definedName>
    <definedName name="MCGPR_5">#REF!</definedName>
    <definedName name="MCGPR_6">#REF!</definedName>
    <definedName name="MCGPR_7">#REF!</definedName>
    <definedName name="MCGPR_8">#REF!</definedName>
    <definedName name="MCGPR_9">#REF!</definedName>
    <definedName name="MCL_1">#REF!</definedName>
    <definedName name="MCL_10">#REF!</definedName>
    <definedName name="MCL_11">#REF!</definedName>
    <definedName name="MCL_2">#REF!</definedName>
    <definedName name="MCL_3">#REF!</definedName>
    <definedName name="MCL_4">#REF!</definedName>
    <definedName name="MCL_5">#REF!</definedName>
    <definedName name="MCL_6">#REF!</definedName>
    <definedName name="MCL_7">#REF!</definedName>
    <definedName name="MCL_8">#REF!</definedName>
    <definedName name="MCL_9">#REF!</definedName>
    <definedName name="MCLPR_1">#REF!</definedName>
    <definedName name="MCLPR_10">#REF!</definedName>
    <definedName name="MCLPR_11">#REF!</definedName>
    <definedName name="MCLPR_2">#REF!</definedName>
    <definedName name="MCLPR_3">#REF!</definedName>
    <definedName name="MCLPR_4">#REF!</definedName>
    <definedName name="MCLPR_5">#REF!</definedName>
    <definedName name="MCLPR_6">#REF!</definedName>
    <definedName name="MCLPR_7">#REF!</definedName>
    <definedName name="MCLPR_8">#REF!</definedName>
    <definedName name="MCLPR_9">#REF!</definedName>
    <definedName name="MCNPR_1">#REF!</definedName>
    <definedName name="MCNPR_10">#REF!</definedName>
    <definedName name="MCNPR_11">#REF!</definedName>
    <definedName name="MCNPR_2">#REF!</definedName>
    <definedName name="MCNPR_3">#REF!</definedName>
    <definedName name="MCNPR_4">#REF!</definedName>
    <definedName name="MCNPR_5">#REF!</definedName>
    <definedName name="MCNPR_6">#REF!</definedName>
    <definedName name="MCNPR_7">#REF!</definedName>
    <definedName name="MCNPR_8">#REF!</definedName>
    <definedName name="MCNPR_9">#REF!</definedName>
    <definedName name="mcurr">#REF!</definedName>
    <definedName name="MDC_1">#REF!</definedName>
    <definedName name="MDC_10">#REF!</definedName>
    <definedName name="MDC_11">#REF!</definedName>
    <definedName name="MDC_2">#REF!</definedName>
    <definedName name="MDC_3">#REF!</definedName>
    <definedName name="MDC_4">#REF!</definedName>
    <definedName name="MDC_5">#REF!</definedName>
    <definedName name="MDC_6">#REF!</definedName>
    <definedName name="MDC_7">#REF!</definedName>
    <definedName name="MDC_8">#REF!</definedName>
    <definedName name="MDC_9">#REF!</definedName>
    <definedName name="mdl">#REF!</definedName>
    <definedName name="Meal_Code">#REF!</definedName>
    <definedName name="meal_margin">#REF!</definedName>
    <definedName name="mealsallow">#REF!</definedName>
    <definedName name="medical">#REF!</definedName>
    <definedName name="Medim">#REF!</definedName>
    <definedName name="megrowth">#REF!</definedName>
    <definedName name="meinspn">#REF!</definedName>
    <definedName name="Member">#REF!</definedName>
    <definedName name="MemberSet_R320_R321_ParentAfter">#REF!</definedName>
    <definedName name="memo1">#REF!</definedName>
    <definedName name="memo2">#REF!</definedName>
    <definedName name="MezzIn">#REF!</definedName>
    <definedName name="MezzMarginIn">#REF!</definedName>
    <definedName name="MHR">#REF!</definedName>
    <definedName name="mhvk">#REF!</definedName>
    <definedName name="Midi">#REF!</definedName>
    <definedName name="MIDOR_1">#REF!</definedName>
    <definedName name="MIDOR_10">#REF!</definedName>
    <definedName name="MIDOR_11">#REF!</definedName>
    <definedName name="MIDOR_2">#REF!</definedName>
    <definedName name="MIDOR_3">#REF!</definedName>
    <definedName name="MIDOR_4">#REF!</definedName>
    <definedName name="MIDOR_5">#REF!</definedName>
    <definedName name="MIDOR_6">#REF!</definedName>
    <definedName name="MIDOR_7">#REF!</definedName>
    <definedName name="MIDOR_8">#REF!</definedName>
    <definedName name="MIDOR_9">#REF!</definedName>
    <definedName name="MidPdCF">#REF!</definedName>
    <definedName name="MIF">#REF!</definedName>
    <definedName name="milk">#REF!</definedName>
    <definedName name="MIN_Sal_from_July">#REF!</definedName>
    <definedName name="MIN_SALARY">#REF!</definedName>
    <definedName name="MINED">#REF!</definedName>
    <definedName name="Minprice">#REF!</definedName>
    <definedName name="mirr1">#REF!</definedName>
    <definedName name="mirr2">#REF!</definedName>
    <definedName name="MiY">#REF!</definedName>
    <definedName name="mj">#REF!</definedName>
    <definedName name="MKN">#REF!</definedName>
    <definedName name="mlx">#REF!</definedName>
    <definedName name="mm">#REF!</definedName>
    <definedName name="mmm">#REF!</definedName>
    <definedName name="mmmm">#REF!</definedName>
    <definedName name="mmmmmm">#REF!</definedName>
    <definedName name="MnemonicList">#REF!</definedName>
    <definedName name="mnrmn">#REF!</definedName>
    <definedName name="moderate_level">#REF!</definedName>
    <definedName name="mokm">#REF!</definedName>
    <definedName name="mole_wt">#REF!</definedName>
    <definedName name="Monetary_Precision">#REF!</definedName>
    <definedName name="month">#REF!</definedName>
    <definedName name="Month_title">#REF!</definedName>
    <definedName name="Morozova">#REF!</definedName>
    <definedName name="Movimiento_de_caja">#REF!</definedName>
    <definedName name="MP">#REF!</definedName>
    <definedName name="MP_AR_Balance">#REF!</definedName>
    <definedName name="MP_SRD">#REF!</definedName>
    <definedName name="mrp">#REF!</definedName>
    <definedName name="MRP_rate">#REF!</definedName>
    <definedName name="MSI_1">#REF!</definedName>
    <definedName name="MSI_10">#REF!</definedName>
    <definedName name="MSI_11">#REF!</definedName>
    <definedName name="MSI_2">#REF!</definedName>
    <definedName name="MSI_3">#REF!</definedName>
    <definedName name="MSI_4">#REF!</definedName>
    <definedName name="MSI_5">#REF!</definedName>
    <definedName name="MSI_6">#REF!</definedName>
    <definedName name="MSI_7">#REF!</definedName>
    <definedName name="MSI_8">#REF!</definedName>
    <definedName name="MSI_9">#REF!</definedName>
    <definedName name="MSIA_1">#REF!</definedName>
    <definedName name="MSIA_10">#REF!</definedName>
    <definedName name="MSIA_11">#REF!</definedName>
    <definedName name="MSIA_2">#REF!</definedName>
    <definedName name="MSIA_3">#REF!</definedName>
    <definedName name="MSIA_4">#REF!</definedName>
    <definedName name="MSIA_5">#REF!</definedName>
    <definedName name="MSIA_6">#REF!</definedName>
    <definedName name="MSIA_7">#REF!</definedName>
    <definedName name="MSIA_8">#REF!</definedName>
    <definedName name="MSIA_9">#REF!</definedName>
    <definedName name="MTASalesConversion">#REF!</definedName>
    <definedName name="mui">#REF!</definedName>
    <definedName name="mx">#REF!</definedName>
    <definedName name="m质量保修准备">#REF!</definedName>
    <definedName name="N">#REF!</definedName>
    <definedName name="n_sv">#REF!</definedName>
    <definedName name="n2560_1">#REF!</definedName>
    <definedName name="Nagim">#REF!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alogOC_From">#REF!</definedName>
    <definedName name="NalogOC_To">#REF!</definedName>
    <definedName name="Name">#REF!</definedName>
    <definedName name="Name_rang1_1">#REF!</definedName>
    <definedName name="Name_rang1_2">#REF!</definedName>
    <definedName name="Name_rang1_3">#REF!</definedName>
    <definedName name="Name_rang1_4">#REF!</definedName>
    <definedName name="Name_rang1_5">#REF!</definedName>
    <definedName name="Name_rang1_6">#REF!</definedName>
    <definedName name="Name_rang1_7">#REF!</definedName>
    <definedName name="Name_rang1_8">#REF!</definedName>
    <definedName name="Name_rang2_2">#REF!</definedName>
    <definedName name="Name_rang2_3">#REF!</definedName>
    <definedName name="Name_rang2_4">#REF!</definedName>
    <definedName name="Name_rang2_5">#REF!</definedName>
    <definedName name="Name_rang2_6">#REF!</definedName>
    <definedName name="Name_rang2_7">#REF!</definedName>
    <definedName name="Name_rang2_8">#REF!</definedName>
    <definedName name="Name_rang3">#REF!</definedName>
    <definedName name="Name_rang3_3">#REF!</definedName>
    <definedName name="Name_rang3_4">#REF!</definedName>
    <definedName name="Name_rang3_5">#REF!</definedName>
    <definedName name="Name_rang3_6">#REF!</definedName>
    <definedName name="Name_rang3_7">#REF!</definedName>
    <definedName name="Name_rang3_8">#REF!</definedName>
    <definedName name="Name_rang4_4">#REF!</definedName>
    <definedName name="Name_rang4_5">#REF!</definedName>
    <definedName name="Name_rang4_6">#REF!</definedName>
    <definedName name="Name_rang4_7">#REF!</definedName>
    <definedName name="Name_rang4_8">#REF!</definedName>
    <definedName name="Name_rang5_5">#REF!</definedName>
    <definedName name="Name_rang5_6">#REF!</definedName>
    <definedName name="Name_rang5_7">#REF!</definedName>
    <definedName name="Name_rang5_8">#REF!</definedName>
    <definedName name="Name_rang6_6">#REF!</definedName>
    <definedName name="Name_rang6_7">#REF!</definedName>
    <definedName name="Name_rang6_8">#REF!</definedName>
    <definedName name="Name_rang7_7">#REF!</definedName>
    <definedName name="Name_rang7_8">#REF!</definedName>
    <definedName name="Name_rang8_8">#REF!</definedName>
    <definedName name="namepi">#REF!</definedName>
    <definedName name="nbrk">#REF!</definedName>
    <definedName name="NCF_1">#REF!</definedName>
    <definedName name="NCF_10">#REF!</definedName>
    <definedName name="NCF_11">#REF!</definedName>
    <definedName name="NCF_2">#REF!</definedName>
    <definedName name="NCF_3">#REF!</definedName>
    <definedName name="NCF_4">#REF!</definedName>
    <definedName name="NCF_7">#REF!</definedName>
    <definedName name="NCF_8">#REF!</definedName>
    <definedName name="NCF_9">#REF!</definedName>
    <definedName name="NCFA_1">#REF!</definedName>
    <definedName name="NCFA_10">#REF!</definedName>
    <definedName name="NCFA_11">#REF!</definedName>
    <definedName name="NCFA_2">#REF!</definedName>
    <definedName name="NCFA_3">#REF!</definedName>
    <definedName name="NCFA_4">#REF!</definedName>
    <definedName name="NCFA_5">#REF!</definedName>
    <definedName name="NCFA_6">#REF!</definedName>
    <definedName name="NCFA_7">#REF!</definedName>
    <definedName name="NCFA_8">#REF!</definedName>
    <definedName name="NCFA_9">#REF!</definedName>
    <definedName name="NCFMSI_1">#REF!</definedName>
    <definedName name="NCFMSI_10">#REF!</definedName>
    <definedName name="NCFMSI_11">#REF!</definedName>
    <definedName name="NCFMSI_2">#REF!</definedName>
    <definedName name="NCFMSI_3">#REF!</definedName>
    <definedName name="NCFMSI_4">#REF!</definedName>
    <definedName name="NCFMSI_5">#REF!</definedName>
    <definedName name="NCFMSI_6">#REF!</definedName>
    <definedName name="NCFMSI_7">#REF!</definedName>
    <definedName name="NCFMSI_8">#REF!</definedName>
    <definedName name="NCFMSI_9">#REF!</definedName>
    <definedName name="NCFSAI_1">#REF!</definedName>
    <definedName name="NCFSAI_10">#REF!</definedName>
    <definedName name="NCFSAI_11">#REF!</definedName>
    <definedName name="NCFSAI_2">#REF!</definedName>
    <definedName name="NCFSAI_3">#REF!</definedName>
    <definedName name="NCFSAI_4">#REF!</definedName>
    <definedName name="NCFSAI_5">#REF!</definedName>
    <definedName name="NCFSAI_6">#REF!</definedName>
    <definedName name="NCFSAI_7">#REF!</definedName>
    <definedName name="NCFSAI_8">#REF!</definedName>
    <definedName name="NCFSAI_9">#REF!</definedName>
    <definedName name="Negative_Rec_Cnt">#REF!</definedName>
    <definedName name="Negative_Values">#REF!</definedName>
    <definedName name="net">#REF!</definedName>
    <definedName name="Net_Book_Value">#REF!</definedName>
    <definedName name="Net_Price">#REF!</definedName>
    <definedName name="Net_price_04">#REF!</definedName>
    <definedName name="Net_price_07">#REF!</definedName>
    <definedName name="NETINC">#REF!</definedName>
    <definedName name="NETINC_1">#REF!</definedName>
    <definedName name="NETINC_3">#REF!</definedName>
    <definedName name="new">#REF!</definedName>
    <definedName name="New_a_c">#REF!</definedName>
    <definedName name="new_index">#REF!</definedName>
    <definedName name="NewBoxcarsPriceInput">#REF!</definedName>
    <definedName name="NewContainersSpecPriceInput">#REF!</definedName>
    <definedName name="NewContainersUniPriceInput">#REF!</definedName>
    <definedName name="NewDumpcarsPriceInput">#REF!</definedName>
    <definedName name="NewFlatcars40PriceInput">#REF!</definedName>
    <definedName name="NewFlatcars80PriceInput">#REF!</definedName>
    <definedName name="NewGondolasPriceInput">#REF!</definedName>
    <definedName name="NewLocomotivesInput">#REF!</definedName>
    <definedName name="NewLPGPriceInput">#REF!</definedName>
    <definedName name="NewOilCarsPriceInput">#REF!</definedName>
    <definedName name="Next_Year">#REF!</definedName>
    <definedName name="NFC">#REF!</definedName>
    <definedName name="ni_产品销售和劳务提供">#REF!</definedName>
    <definedName name="nii_补贴收入">#REF!</definedName>
    <definedName name="niii_租赁收入">#REF!</definedName>
    <definedName name="niv_股利收入">#REF!</definedName>
    <definedName name="nj">#REF!</definedName>
    <definedName name="njz">#REF!</definedName>
    <definedName name="nkjnjhfkwgfyoeowgoyg">#REF!</definedName>
    <definedName name="nm">#REF!</definedName>
    <definedName name="no">#REF!</definedName>
    <definedName name="No_annuity">#REF!</definedName>
    <definedName name="NominalWageGrowth">#REF!</definedName>
    <definedName name="non">#REF!</definedName>
    <definedName name="noncash">#REF!</definedName>
    <definedName name="NonTop_Stratum_Value">#REF!</definedName>
    <definedName name="norma">#REF!</definedName>
    <definedName name="not">#REF!</definedName>
    <definedName name="note">#REF!</definedName>
    <definedName name="NOTES">#REF!</definedName>
    <definedName name="noyear">#REF!</definedName>
    <definedName name="NP_1">#REF!</definedName>
    <definedName name="NP_10">#REF!</definedName>
    <definedName name="NP_11">#REF!</definedName>
    <definedName name="NP_2">#REF!</definedName>
    <definedName name="NP_3">#REF!</definedName>
    <definedName name="NP_4">#REF!</definedName>
    <definedName name="NP_5">#REF!</definedName>
    <definedName name="NP_6">#REF!</definedName>
    <definedName name="NP_7">#REF!</definedName>
    <definedName name="NP_8">#REF!</definedName>
    <definedName name="NP_9">#REF!</definedName>
    <definedName name="npi">#REF!</definedName>
    <definedName name="NPV">#REF!</definedName>
    <definedName name="NPV_1">#REF!</definedName>
    <definedName name="NPV_2">#REF!</definedName>
    <definedName name="NPVNP">#REF!</definedName>
    <definedName name="NPVNPC">#REF!</definedName>
    <definedName name="NR_1">#REF!</definedName>
    <definedName name="NR_10">#REF!</definedName>
    <definedName name="NR_11">#REF!</definedName>
    <definedName name="NR_2">#REF!</definedName>
    <definedName name="NR_3">#REF!</definedName>
    <definedName name="NR_4">#REF!</definedName>
    <definedName name="NR_5">#REF!</definedName>
    <definedName name="NR_6">#REF!</definedName>
    <definedName name="NR_7">#REF!</definedName>
    <definedName name="NR_8">#REF!</definedName>
    <definedName name="NR_9">#REF!</definedName>
    <definedName name="NTankIn">#REF!</definedName>
    <definedName name="NTankInHP">#REF!</definedName>
    <definedName name="nter">#REF!</definedName>
    <definedName name="Num_Pmt_Per_Year">#REF!</definedName>
    <definedName name="Number_of_payments_during_one_year">#REF!</definedName>
    <definedName name="Number_of_Selections">#REF!</definedName>
    <definedName name="Numbers">#REF!</definedName>
    <definedName name="NumberTrain">#REF!</definedName>
    <definedName name="nv_利息收入">#REF!</definedName>
    <definedName name="NWagonIn">#REF!</definedName>
    <definedName name="NWCChange">#REF!</definedName>
    <definedName name="NYCostInput">#REF!</definedName>
    <definedName name="o">#REF!</definedName>
    <definedName name="OASIS_share">#REF!</definedName>
    <definedName name="OCI_1">#REF!</definedName>
    <definedName name="OCI_10">#REF!</definedName>
    <definedName name="OCI_11">#REF!</definedName>
    <definedName name="OCI_2">#REF!</definedName>
    <definedName name="OCI_3">#REF!</definedName>
    <definedName name="OCI_4">#REF!</definedName>
    <definedName name="OCI_5">#REF!</definedName>
    <definedName name="OCI_6">#REF!</definedName>
    <definedName name="OCI_7">#REF!</definedName>
    <definedName name="OCI_8">#REF!</definedName>
    <definedName name="OCI_9">#REF!</definedName>
    <definedName name="OCPT_1">#REF!</definedName>
    <definedName name="OCPT_10">#REF!</definedName>
    <definedName name="OCPT_11">#REF!</definedName>
    <definedName name="OCPT_2">#REF!</definedName>
    <definedName name="OCPT_3">#REF!</definedName>
    <definedName name="OCPT_4">#REF!</definedName>
    <definedName name="OCPT_5">#REF!</definedName>
    <definedName name="OCPT_6">#REF!</definedName>
    <definedName name="OCPT_7">#REF!</definedName>
    <definedName name="OCPT_8">#REF!</definedName>
    <definedName name="OCPT_9">#REF!</definedName>
    <definedName name="of">#REF!</definedName>
    <definedName name="Office">#REF!</definedName>
    <definedName name="Office_maintanance_costs">#REF!</definedName>
    <definedName name="OfficeMaintananceCosts">#REF!</definedName>
    <definedName name="OG">#REF!</definedName>
    <definedName name="oi">#REF!</definedName>
    <definedName name="oi_经营性租赁支出">#REF!</definedName>
    <definedName name="oii_财务净费用">#REF!</definedName>
    <definedName name="oikjlkj">#REF!</definedName>
    <definedName name="Oil_Profit_Share">#REF!</definedName>
    <definedName name="OilCarsAcquisitions">#REF!</definedName>
    <definedName name="OilCarsDeprRateInput">#REF!</definedName>
    <definedName name="OilCarsResidualValueInput">#REF!</definedName>
    <definedName name="OilCarsSale">#REF!</definedName>
    <definedName name="OilCarsWriteOff">#REF!</definedName>
    <definedName name="OINC_1">#REF!</definedName>
    <definedName name="OINC_10">#REF!</definedName>
    <definedName name="OINC_11">#REF!</definedName>
    <definedName name="OINC_2">#REF!</definedName>
    <definedName name="OINC_3">#REF!</definedName>
    <definedName name="OINC_4">#REF!</definedName>
    <definedName name="OINC_5">#REF!</definedName>
    <definedName name="OINC_6">#REF!</definedName>
    <definedName name="OINC_7">#REF!</definedName>
    <definedName name="OINC_8">#REF!</definedName>
    <definedName name="OINC_9">#REF!</definedName>
    <definedName name="OINDIRECTP">#REF!</definedName>
    <definedName name="OINSURANCEP">#REF!</definedName>
    <definedName name="ojojoj">#REF!</definedName>
    <definedName name="ojojoj2">#REF!</definedName>
    <definedName name="ok">#REF!</definedName>
    <definedName name="okfaowjtjiwertij">#REF!</definedName>
    <definedName name="Old">#REF!</definedName>
    <definedName name="Olld">#REF!</definedName>
    <definedName name="olld1">#REF!</definedName>
    <definedName name="olld2">#REF!</definedName>
    <definedName name="OMAINTENANCEP">#REF!</definedName>
    <definedName name="Omanization">#REF!</definedName>
    <definedName name="ONCI_1">#REF!</definedName>
    <definedName name="ONCI_10">#REF!</definedName>
    <definedName name="ONCI_11">#REF!</definedName>
    <definedName name="ONCI_2">#REF!</definedName>
    <definedName name="ONCI_3">#REF!</definedName>
    <definedName name="ONCI_4">#REF!</definedName>
    <definedName name="ONCI_5">#REF!</definedName>
    <definedName name="ONCI_6">#REF!</definedName>
    <definedName name="ONCI_7">#REF!</definedName>
    <definedName name="ONCI_8">#REF!</definedName>
    <definedName name="ONCI_9">#REF!</definedName>
    <definedName name="Ondv">#REF!</definedName>
    <definedName name="onpipefreightgrowth">#REF!</definedName>
    <definedName name="OOE">#REF!</definedName>
    <definedName name="ooiuo">#REF!</definedName>
    <definedName name="ooo">#REF!</definedName>
    <definedName name="OP_COST_CODE">#REF!</definedName>
    <definedName name="OP_CURRENT_PERIOD">#REF!</definedName>
    <definedName name="opactivities">#REF!</definedName>
    <definedName name="OpDate">#REF!</definedName>
    <definedName name="OpenTaxLoss">#REF!</definedName>
    <definedName name="OPERSONNELNOSP">#REF!</definedName>
    <definedName name="OPERSONNELP">#REF!</definedName>
    <definedName name="OPEX">#REF!</definedName>
    <definedName name="Opex_2Tr">#REF!</definedName>
    <definedName name="Opex_3Tr">#REF!</definedName>
    <definedName name="Opex_Contingency">#REF!</definedName>
    <definedName name="Opex_Factor">#REF!</definedName>
    <definedName name="OpexEscFactor">#REF!</definedName>
    <definedName name="OpexEscRate">#REF!</definedName>
    <definedName name="OpexEscSU">#REF!</definedName>
    <definedName name="opexfactormean">#REF!</definedName>
    <definedName name="opexfactorstd">#REF!</definedName>
    <definedName name="OPRODUCTIONP">#REF!</definedName>
    <definedName name="Ops_Copy_Qtr">#REF!</definedName>
    <definedName name="Ops_Copy_Yr">#REF!</definedName>
    <definedName name="ORCOP_1">#REF!</definedName>
    <definedName name="ORCOP_10">#REF!</definedName>
    <definedName name="ORCOP_11">#REF!</definedName>
    <definedName name="ORCOP_2">#REF!</definedName>
    <definedName name="ORCOP_3">#REF!</definedName>
    <definedName name="ORCOP_4">#REF!</definedName>
    <definedName name="ORCOP_5">#REF!</definedName>
    <definedName name="ORCOP_6">#REF!</definedName>
    <definedName name="ORCOP_7">#REF!</definedName>
    <definedName name="ORCOP_8">#REF!</definedName>
    <definedName name="ORCOP_9">#REF!</definedName>
    <definedName name="ORCOP1">#REF!</definedName>
    <definedName name="ORCOP10">#REF!</definedName>
    <definedName name="ORCOP11">#REF!</definedName>
    <definedName name="ORCOP2">#REF!</definedName>
    <definedName name="ORCOP3">#REF!</definedName>
    <definedName name="ORCOP4">#REF!</definedName>
    <definedName name="ORCOP5">#REF!</definedName>
    <definedName name="ORCOP6">#REF!</definedName>
    <definedName name="ORCOP7">#REF!</definedName>
    <definedName name="ORCOP8">#REF!</definedName>
    <definedName name="ORCOP9">#REF!</definedName>
    <definedName name="OrderTable">#REF!</definedName>
    <definedName name="oseasfrt">#REF!</definedName>
    <definedName name="OSUMMARYP">#REF!</definedName>
    <definedName name="OT">#REF!</definedName>
    <definedName name="OTC_1">#REF!</definedName>
    <definedName name="OTC_10">#REF!</definedName>
    <definedName name="OTC_11">#REF!</definedName>
    <definedName name="OTC_2">#REF!</definedName>
    <definedName name="OTC_3">#REF!</definedName>
    <definedName name="OTC_4">#REF!</definedName>
    <definedName name="OTC_5">#REF!</definedName>
    <definedName name="OTC_6">#REF!</definedName>
    <definedName name="OTC_7">#REF!</definedName>
    <definedName name="OTC_8">#REF!</definedName>
    <definedName name="OTC_9">#REF!</definedName>
    <definedName name="OTCO_1">#REF!</definedName>
    <definedName name="OTCO_10">#REF!</definedName>
    <definedName name="OTCO_11">#REF!</definedName>
    <definedName name="OTCO_2">#REF!</definedName>
    <definedName name="OTCO_3">#REF!</definedName>
    <definedName name="OTCO_4">#REF!</definedName>
    <definedName name="OTCO_5">#REF!</definedName>
    <definedName name="OTCO_6">#REF!</definedName>
    <definedName name="OTCO_7">#REF!</definedName>
    <definedName name="OTCO_8">#REF!</definedName>
    <definedName name="OTCO_9">#REF!</definedName>
    <definedName name="OTH1O">#REF!</definedName>
    <definedName name="OTHER">#REF!</definedName>
    <definedName name="Other_1st_prod_quarter">#REF!</definedName>
    <definedName name="Other_1st_prod_year">#REF!</definedName>
    <definedName name="Other_DPlan_year">#REF!</definedName>
    <definedName name="Other_expnese">#REF!</definedName>
    <definedName name="Other_last_prod">#REF!</definedName>
    <definedName name="Other_revenue">#REF!</definedName>
    <definedName name="Other_sales_groupunits">#REF!</definedName>
    <definedName name="Other_Tax_CB">#REF!</definedName>
    <definedName name="Other_Tax_payable_CB">#REF!</definedName>
    <definedName name="Other_Tax_payable_OB">#REF!</definedName>
    <definedName name="OtherAssetsDeprRateInput">#REF!</definedName>
    <definedName name="OtherCostsInCOGS">#REF!</definedName>
    <definedName name="OtherOperRevenue">#REF!</definedName>
    <definedName name="OtherTaxesTotal">#REF!</definedName>
    <definedName name="Out_Copy">#REF!</definedName>
    <definedName name="Output_Factor">#REF!</definedName>
    <definedName name="outputfactormean">#REF!</definedName>
    <definedName name="outputfactorstd">#REF!</definedName>
    <definedName name="OverhaulBoxcarsCosts">#REF!</definedName>
    <definedName name="OverhaulBoxcarsTotalEoP">#REF!</definedName>
    <definedName name="OverhaulContainersTotalEoP">#REF!</definedName>
    <definedName name="OverhaulDumpCarsCosts">#REF!</definedName>
    <definedName name="OverhaulDumpCarsTotalEoP">#REF!</definedName>
    <definedName name="OverhaulFlatcars40Costs">#REF!</definedName>
    <definedName name="OverhaulFlatcars40TotalEoP">#REF!</definedName>
    <definedName name="OverhaulFlatcars80Costs">#REF!</definedName>
    <definedName name="OverhaulFlatcars80TotalEoP">#REF!</definedName>
    <definedName name="OverhaulFlatcarsOtherCosts">#REF!</definedName>
    <definedName name="OverhaulFlatcarsOtherTotalEoP">#REF!</definedName>
    <definedName name="OverhaulGondolasCosts">#REF!</definedName>
    <definedName name="OverhaulGondolasTotalEoP">#REF!</definedName>
    <definedName name="OverhaulLocomotivesCosts">#REF!</definedName>
    <definedName name="OverhaulLocomotivesTotalEoP">#REF!</definedName>
    <definedName name="OverhaulLPGCarsTotalEoP">#REF!</definedName>
    <definedName name="OverhaulLPGCosts">#REF!</definedName>
    <definedName name="OverhaulOilCarsTotalEoP">#REF!</definedName>
    <definedName name="OverhaulOilCosts">#REF!</definedName>
    <definedName name="OverhaulTotalCosts">#REF!</definedName>
    <definedName name="overhead">#REF!</definedName>
    <definedName name="OWELLSP">#REF!</definedName>
    <definedName name="OwnBoxcarsTotalEoP">#REF!</definedName>
    <definedName name="OwnContainersTotalEoP">#REF!</definedName>
    <definedName name="OwnDumpCarsTotalEoP">#REF!</definedName>
    <definedName name="OwnFlatcars40TotalEoP">#REF!</definedName>
    <definedName name="OwnFlatcars40TotalEoP_Delivery">#REF!</definedName>
    <definedName name="OwnFlatcars40TotalEoP_Service">#REF!</definedName>
    <definedName name="OwnFlatcars40TotalEoP_Spec">#REF!</definedName>
    <definedName name="OwnFlatcars80TotalEoP">#REF!</definedName>
    <definedName name="OwnFlatcarsOtherTotalEoP">#REF!</definedName>
    <definedName name="OwnGondolasTotalEoP">#REF!</definedName>
    <definedName name="OwnLocomotivesTotalEoP">#REF!</definedName>
    <definedName name="OwnLPGCarsTotalEoP">#REF!</definedName>
    <definedName name="OwnOilCarsTotalEoP">#REF!</definedName>
    <definedName name="OwnSpecContainersTotalEoP">#REF!</definedName>
    <definedName name="OwnUniContainersTotalEoP">#REF!</definedName>
    <definedName name="oxy">#REF!</definedName>
    <definedName name="p">#REF!</definedName>
    <definedName name="P_E_index">#REF!</definedName>
    <definedName name="P_L">#REF!</definedName>
    <definedName name="P02U2">#REF!</definedName>
    <definedName name="PARAMETERSP">#REF!</definedName>
    <definedName name="PARENT_CHILD_CUMS2">#REF!</definedName>
    <definedName name="PARENT_CHILDREN_SUMS">#REF!</definedName>
    <definedName name="ParentAfter_list">#REF!</definedName>
    <definedName name="ParticipantInterest">#REF!</definedName>
    <definedName name="ParticipantShare">#REF!</definedName>
    <definedName name="PartType">#REF!</definedName>
    <definedName name="PartYear">#REF!</definedName>
    <definedName name="PAWS_LastDate">#REF!</definedName>
    <definedName name="Pay_Date">#REF!</definedName>
    <definedName name="Pay_Num">#REF!</definedName>
    <definedName name="Payables_close">#REF!</definedName>
    <definedName name="Payables_open">#REF!</definedName>
    <definedName name="payment_date">#REF!</definedName>
    <definedName name="Payments_per_year">#REF!</definedName>
    <definedName name="PBACK">#REF!</definedName>
    <definedName name="PBACK_1">#REF!</definedName>
    <definedName name="PBACK_2">#REF!</definedName>
    <definedName name="PBACK11">#REF!</definedName>
    <definedName name="PBC">#REF!</definedName>
    <definedName name="PBC_07">#REF!</definedName>
    <definedName name="PBC_2">#REF!</definedName>
    <definedName name="PBK">#REF!</definedName>
    <definedName name="PBT">#REF!</definedName>
    <definedName name="pc">#REF!</definedName>
    <definedName name="Pcf">#REF!</definedName>
    <definedName name="PER1O">#REF!</definedName>
    <definedName name="Percent_Debt">#REF!</definedName>
    <definedName name="period">#REF!</definedName>
    <definedName name="Period_From">#REF!</definedName>
    <definedName name="Period_To">#REF!</definedName>
    <definedName name="PeriodFrom">#REF!</definedName>
    <definedName name="Periods">#REF!</definedName>
    <definedName name="PeriodTo">#REF!</definedName>
    <definedName name="PERSPARA">#REF!</definedName>
    <definedName name="PF_Y_PFN">#REF!</definedName>
    <definedName name="Pg1_NChrg_Totals">#REF!</definedName>
    <definedName name="PHASE1OUT">#REF!</definedName>
    <definedName name="PHASE2OUT">#REF!</definedName>
    <definedName name="PHASE3OUT">#REF!</definedName>
    <definedName name="Phito">#REF!</definedName>
    <definedName name="PI">#REF!</definedName>
    <definedName name="PI_1">#REF!</definedName>
    <definedName name="PI_2">#REF!</definedName>
    <definedName name="pipelayrate">#REF!</definedName>
    <definedName name="pipelineinstall">#REF!</definedName>
    <definedName name="pipelinetotal">#REF!</definedName>
    <definedName name="Pivot_division">#REF!</definedName>
    <definedName name="Pivot_HO">#REF!</definedName>
    <definedName name="pl">#REF!</definedName>
    <definedName name="PL_2Tr">#REF!</definedName>
    <definedName name="PL_2Tr_Future">#REF!</definedName>
    <definedName name="PL_3Tr">#REF!</definedName>
    <definedName name="PL_3Tr_Future">#REF!</definedName>
    <definedName name="PL_M1">#REF!</definedName>
    <definedName name="PLA_1">#REF!</definedName>
    <definedName name="PLA_10">#REF!</definedName>
    <definedName name="PLA_11">#REF!</definedName>
    <definedName name="PLA_2">#REF!</definedName>
    <definedName name="PLA_3">#REF!</definedName>
    <definedName name="PLA_4">#REF!</definedName>
    <definedName name="PLA_5">#REF!</definedName>
    <definedName name="PLA_6">#REF!</definedName>
    <definedName name="PLA_7">#REF!</definedName>
    <definedName name="PLA_8">#REF!</definedName>
    <definedName name="PLA_9">#REF!</definedName>
    <definedName name="plage">#REF!</definedName>
    <definedName name="Plans">#REF!</definedName>
    <definedName name="Plant_Capex_Array">#REF!</definedName>
    <definedName name="PlantCapex_2Tr">#REF!</definedName>
    <definedName name="PlantCapex_3Tr">#REF!</definedName>
    <definedName name="PlantCapexSensitivity">#REF!</definedName>
    <definedName name="PlantCapexSensitivitySU">#REF!</definedName>
    <definedName name="PlantOpex_1Tr">#REF!</definedName>
    <definedName name="PlantOpex_2Tr">#REF!</definedName>
    <definedName name="PlantOpex_3Tr">#REF!</definedName>
    <definedName name="PlantOpexSensitivity">#REF!</definedName>
    <definedName name="PlantOpexSensitivitySU">#REF!</definedName>
    <definedName name="Plateau1">#REF!</definedName>
    <definedName name="Plateau2">#REF!</definedName>
    <definedName name="Plateau3">#REF!</definedName>
    <definedName name="Plateau4">#REF!</definedName>
    <definedName name="Plateau5">#REF!</definedName>
    <definedName name="Plateau6">#REF!</definedName>
    <definedName name="Plateau7">#REF!</definedName>
    <definedName name="Plateau8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mperc">#REF!</definedName>
    <definedName name="pmrate">#REF!</definedName>
    <definedName name="Pmt_to_use">#REF!</definedName>
    <definedName name="po">#REF!</definedName>
    <definedName name="Poland_CPI">#REF!</definedName>
    <definedName name="POP_days">#REF!</definedName>
    <definedName name="PopDate">#REF!</definedName>
    <definedName name="Population_Count">#REF!</definedName>
    <definedName name="Positions">#REF!</definedName>
    <definedName name="Positive_Rec_Cnt">#REF!</definedName>
    <definedName name="Positive_Values">#REF!</definedName>
    <definedName name="Postage_AD">#REF!</definedName>
    <definedName name="Postage_CD">#REF!</definedName>
    <definedName name="Postage_FD">#REF!</definedName>
    <definedName name="Postage_Free">#REF!</definedName>
    <definedName name="Postage_PR">#REF!</definedName>
    <definedName name="Postage_TD">#REF!</definedName>
    <definedName name="Potential_errors">#REF!</definedName>
    <definedName name="POURED">#REF!</definedName>
    <definedName name="PPIKazakhstanInput">#REF!</definedName>
    <definedName name="PPIRussiaInput">#REF!</definedName>
    <definedName name="ppp">#REF!</definedName>
    <definedName name="ppppp">#REF!</definedName>
    <definedName name="pr">#REF!</definedName>
    <definedName name="PR_0">#REF!</definedName>
    <definedName name="PR_1">#REF!</definedName>
    <definedName name="PR_10">#REF!</definedName>
    <definedName name="PR_11">#REF!</definedName>
    <definedName name="PR_2">#REF!</definedName>
    <definedName name="PR_3">#REF!</definedName>
    <definedName name="PR_4">#REF!</definedName>
    <definedName name="PR_5">#REF!</definedName>
    <definedName name="PR_6">#REF!</definedName>
    <definedName name="PR_7">#REF!</definedName>
    <definedName name="PR_8">#REF!</definedName>
    <definedName name="PR_9">#REF!</definedName>
    <definedName name="Pre_tax_materiality">#REF!</definedName>
    <definedName name="precommelectrperc">#REF!</definedName>
    <definedName name="precommequiptperc">#REF!</definedName>
    <definedName name="precomminstrnperc">#REF!</definedName>
    <definedName name="precommotherperc">#REF!</definedName>
    <definedName name="precommpipingperc">#REF!</definedName>
    <definedName name="precommrateatshore">#REF!</definedName>
    <definedName name="PrepBy">#REF!</definedName>
    <definedName name="Previous_Currency">#REF!</definedName>
    <definedName name="Previous_Entity">#REF!</definedName>
    <definedName name="Previous_Entity_description">#REF!</definedName>
    <definedName name="Previous_Period_description">#REF!</definedName>
    <definedName name="prez1">#REF!</definedName>
    <definedName name="PRI">#REF!</definedName>
    <definedName name="priApplication1">#REF!</definedName>
    <definedName name="priApplication2">#REF!</definedName>
    <definedName name="PRIB">#REF!</definedName>
    <definedName name="price">#REF!</definedName>
    <definedName name="Price_10">#REF!</definedName>
    <definedName name="Price_ADB_05">#REF!</definedName>
    <definedName name="Price_Esc">#REF!</definedName>
    <definedName name="price_factor">#REF!</definedName>
    <definedName name="Price_IADB_03">#REF!</definedName>
    <definedName name="Price_IBRD_02">#REF!</definedName>
    <definedName name="Price_IBRD_03">#REF!</definedName>
    <definedName name="Price_IBRD_05_2">#REF!</definedName>
    <definedName name="Price_IFC_05">#REF!</definedName>
    <definedName name="Price_List_2002">#REF!</definedName>
    <definedName name="Price_List_2004">#REF!</definedName>
    <definedName name="price_step">#REF!</definedName>
    <definedName name="PriceEscRate">#REF!</definedName>
    <definedName name="PriceEscSU">#REF!</definedName>
    <definedName name="pricefactormean">#REF!</definedName>
    <definedName name="pricefactorstd">#REF!</definedName>
    <definedName name="PriceGrowthCLAccumulInput">#REF!</definedName>
    <definedName name="PriceGrowthCLInput">#REF!</definedName>
    <definedName name="PriceIBRD_05_1">#REF!</definedName>
    <definedName name="PriceLeaseTankIn">#REF!</definedName>
    <definedName name="PriceLeaseTankInHP">#REF!</definedName>
    <definedName name="PriceLeaseWagonIn">#REF!</definedName>
    <definedName name="PriceRevQ4CPIKazakstanInput">#REF!</definedName>
    <definedName name="PricingDate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n">#REF!</definedName>
    <definedName name="Princ">#REF!</definedName>
    <definedName name="Principal_Grace_Yr1">#REF!</definedName>
    <definedName name="Principal_Grace_Yr2">#REF!</definedName>
    <definedName name="Print_Area_MI">#REF!</definedName>
    <definedName name="printa">#REF!</definedName>
    <definedName name="printarea">#REF!</definedName>
    <definedName name="printb">#REF!</definedName>
    <definedName name="printc">#REF!</definedName>
    <definedName name="printk">#REF!</definedName>
    <definedName name="printtitles">#REF!</definedName>
    <definedName name="priNumber">#REF!</definedName>
    <definedName name="priop">#REF!</definedName>
    <definedName name="Prio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Prob_ResRec">#REF!</definedName>
    <definedName name="Prob_ResRec1">#REF!</definedName>
    <definedName name="procent">#REF!</definedName>
    <definedName name="PROCESS">#REF!</definedName>
    <definedName name="ProdForm">#REF!</definedName>
    <definedName name="ProdSensitivity">#REF!</definedName>
    <definedName name="ProdSensitivitySU">#REF!</definedName>
    <definedName name="ProdStaff">#REF!</definedName>
    <definedName name="Product">#REF!</definedName>
    <definedName name="prof">#REF!</definedName>
    <definedName name="Professional_services">#REF!</definedName>
    <definedName name="ProfessionalServices">#REF!</definedName>
    <definedName name="profit">#REF!</definedName>
    <definedName name="ProfitBefTax">#REF!</definedName>
    <definedName name="Proj_IRR_AT">#REF!</definedName>
    <definedName name="ProjectCf">#REF!</definedName>
    <definedName name="ProjName">#REF!</definedName>
    <definedName name="PropertyTaxRateInput">#REF!</definedName>
    <definedName name="PropertyTaxTotal">#REF!</definedName>
    <definedName name="Proved_ResRec">#REF!</definedName>
    <definedName name="Proved_ResRec1">#REF!</definedName>
    <definedName name="PRRTExplGwth">#REF!</definedName>
    <definedName name="PRRTOtherGwth">#REF!</definedName>
    <definedName name="PRRTRate">#REF!</definedName>
    <definedName name="PT_1">#REF!</definedName>
    <definedName name="PT_10">#REF!</definedName>
    <definedName name="PT_11">#REF!</definedName>
    <definedName name="PT_2">#REF!</definedName>
    <definedName name="PT_3">#REF!</definedName>
    <definedName name="PT_4">#REF!</definedName>
    <definedName name="PT_5">#REF!</definedName>
    <definedName name="PT_6">#REF!</definedName>
    <definedName name="PT_7">#REF!</definedName>
    <definedName name="PT_8">#REF!</definedName>
    <definedName name="PT_9">#REF!</definedName>
    <definedName name="PTC_1">#REF!</definedName>
    <definedName name="PTC_10">#REF!</definedName>
    <definedName name="PTC_11">#REF!</definedName>
    <definedName name="PTC_2">#REF!</definedName>
    <definedName name="PTC_3">#REF!</definedName>
    <definedName name="PTC_4">#REF!</definedName>
    <definedName name="PTC_5">#REF!</definedName>
    <definedName name="PTC_6">#REF!</definedName>
    <definedName name="PTC_7">#REF!</definedName>
    <definedName name="PTC_8">#REF!</definedName>
    <definedName name="PTC_9">#REF!</definedName>
    <definedName name="PTP_1">#REF!</definedName>
    <definedName name="PTP_10">#REF!</definedName>
    <definedName name="PTP_11">#REF!</definedName>
    <definedName name="PTP_2">#REF!</definedName>
    <definedName name="PTP_3">#REF!</definedName>
    <definedName name="PTP_4">#REF!</definedName>
    <definedName name="PTP_5">#REF!</definedName>
    <definedName name="PTP_6">#REF!</definedName>
    <definedName name="PTP_7">#REF!</definedName>
    <definedName name="PTP_8">#REF!</definedName>
    <definedName name="PTP_9">#REF!</definedName>
    <definedName name="PURCH_1">#REF!</definedName>
    <definedName name="PURCH_10">#REF!</definedName>
    <definedName name="PURCH_11">#REF!</definedName>
    <definedName name="PURCH_2">#REF!</definedName>
    <definedName name="PURCH_3">#REF!</definedName>
    <definedName name="PURCH_4">#REF!</definedName>
    <definedName name="PURCH_5">#REF!</definedName>
    <definedName name="PURCH_6">#REF!</definedName>
    <definedName name="PURCH_7">#REF!</definedName>
    <definedName name="PURCH_8">#REF!</definedName>
    <definedName name="PURCH_9">#REF!</definedName>
    <definedName name="Purchase_amount_KZT">#REF!</definedName>
    <definedName name="Purchase_amount_USD">#REF!</definedName>
    <definedName name="Purchase_price">#REF!</definedName>
    <definedName name="PurchPrice">#REF!</definedName>
    <definedName name="PutHeader">#REF!</definedName>
    <definedName name="PY_Accounts_Receivable">#REF!</definedName>
    <definedName name="PY_Administration">#REF!</definedName>
    <definedName name="PY_all_Equity">#REF!</definedName>
    <definedName name="PY_all_Income">#REF!</definedName>
    <definedName name="PY_all_RetEarn">#REF!</definedName>
    <definedName name="PY_Cash">#REF!</definedName>
    <definedName name="PY_Cash_Div_Dec">#REF!</definedName>
    <definedName name="PY_CASH_DIVIDENDS_DECLARED__per_common_share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Earnings_per_share">#REF!</definedName>
    <definedName name="PY_Gross_Profit">#REF!</definedName>
    <definedName name="PY_Inc_Bef_Tax">#REF!</definedName>
    <definedName name="PY_Income_Tax_Exp">#REF!</definedName>
    <definedName name="PY_Intangible_Assets">#REF!</definedName>
    <definedName name="PY_Interest_Expense">#REF!</definedName>
    <definedName name="PY_Inventories">#REF!</definedName>
    <definedName name="PY_Inventory">#REF!</definedName>
    <definedName name="PY_knw_Income">#REF!</definedName>
    <definedName name="PY_knw_RetEarn">#REF!</definedName>
    <definedName name="PY_LIABIL_EQUITY">#REF!</definedName>
    <definedName name="PY_lik_Income">#REF!</definedName>
    <definedName name="PY_lik_RetEarn">#REF!</definedName>
    <definedName name="PY_LT_Debt">#REF!</definedName>
    <definedName name="PY_Market_Value_of_Equity">#REF!</definedName>
    <definedName name="PY_Marketable_Sec">#REF!</definedName>
    <definedName name="PY_NET_INCOME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Exp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_pd">#REF!</definedName>
    <definedName name="PY_Retained_Earnings">#REF!</definedName>
    <definedName name="PY_Selling">#REF!</definedName>
    <definedName name="PY_ST_Loans">#REF!</definedName>
    <definedName name="PY_Tangible_Assets">#REF!</definedName>
    <definedName name="PY_Tangible_Net_Worth">#REF!</definedName>
    <definedName name="PY_Taxes">#REF!</definedName>
    <definedName name="PY_tot_knw_Xfoot">#REF!</definedName>
    <definedName name="PY_tot_lik_Xfoot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_Weighted_Average">#REF!</definedName>
    <definedName name="PY_Working_Capital">#REF!</definedName>
    <definedName name="PY2_Accounts_Receivable">#REF!</definedName>
    <definedName name="PY2_Administration">#REF!</definedName>
    <definedName name="PY2_Cash">#REF!</definedName>
    <definedName name="PY2_Cash_Div_Dec">#REF!</definedName>
    <definedName name="PY2_CASH_DIVIDENDS_DECLARED__per_common_share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Earnings_per_share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LIABIL_EQUITY">#REF!</definedName>
    <definedName name="PY2_LT_Debt">#REF!</definedName>
    <definedName name="PY2_Market_Value_of_Equity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Exp.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Selling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eighted_Average">#REF!</definedName>
    <definedName name="PY2_Working_Capital">#REF!</definedName>
    <definedName name="PYTB">#REF!</definedName>
    <definedName name="pz">#REF!</definedName>
    <definedName name="p所得税">#REF!</definedName>
    <definedName name="Q1_901s_materials">#REF!</definedName>
    <definedName name="Q1_902_903s">#REF!</definedName>
    <definedName name="Q1_AJE_KLO">#REF!</definedName>
    <definedName name="Q1_AJE41_payroll">#REF!</definedName>
    <definedName name="Q1_audit_expenses">#REF!</definedName>
    <definedName name="Q1_bank_services">#REF!</definedName>
    <definedName name="Q1_catering_services">#REF!</definedName>
    <definedName name="Q1_communication_expenses">#REF!</definedName>
    <definedName name="Q1_contract_interpreters">#REF!</definedName>
    <definedName name="Q1_DD_AJEs">#REF!</definedName>
    <definedName name="Q1_DD_provision_KZT">#REF!</definedName>
    <definedName name="Q1_donations">#REF!</definedName>
    <definedName name="Q1_donations_Kaisar">#REF!</definedName>
    <definedName name="Q1_excise_tax">#REF!</definedName>
    <definedName name="Q1_expat_payroll">#REF!</definedName>
    <definedName name="Q1_expat_travel">#REF!</definedName>
    <definedName name="Q1_Farm_expat_payroll">#REF!</definedName>
    <definedName name="Q1_farm_GA">#REF!</definedName>
    <definedName name="Q1_insurance">#REF!</definedName>
    <definedName name="Q1_KLO_KZT">#REF!</definedName>
    <definedName name="Q1_KLO_Royalty_KZT">#REF!</definedName>
    <definedName name="Q1_legal_settlements">#REF!</definedName>
    <definedName name="Q1_medical_expenses">#REF!</definedName>
    <definedName name="Q1_mngnt_services">#REF!</definedName>
    <definedName name="Q1_pipeline_tariff">#REF!</definedName>
    <definedName name="Q1_property_tax">#REF!</definedName>
    <definedName name="Q1_railway_tariff">#REF!</definedName>
    <definedName name="Q1_security">#REF!</definedName>
    <definedName name="Q1_tax_advice">#REF!</definedName>
    <definedName name="Q1_trucking_services">#REF!</definedName>
    <definedName name="Q1_TurgaiPetroleum">#REF!</definedName>
    <definedName name="Q2_901s_materials">#REF!</definedName>
    <definedName name="Q2_902_903s">#REF!</definedName>
    <definedName name="Q2_AJE50_901s">#REF!</definedName>
    <definedName name="Q2_AJE51_KLO_USD">#REF!</definedName>
    <definedName name="Q2_AJE62_pipeline_tariff">#REF!</definedName>
    <definedName name="Q2_AJE68_pipeline_tariff">#REF!</definedName>
    <definedName name="Q2_AJE77_pipeline_tariff">#REF!</definedName>
    <definedName name="Q2_audit_expenses">#REF!</definedName>
    <definedName name="Q2_baddebt_provision">#REF!</definedName>
    <definedName name="Q2_bank_services">#REF!</definedName>
    <definedName name="Q2_catering_services">#REF!</definedName>
    <definedName name="Q2_communication_expenses">#REF!</definedName>
    <definedName name="Q2_contract_interpreters">#REF!</definedName>
    <definedName name="Q2_donation_Kaisar">#REF!</definedName>
    <definedName name="Q2_donations">#REF!</definedName>
    <definedName name="Q2_excise_tax">#REF!</definedName>
    <definedName name="Q2_expat_payroll">#REF!</definedName>
    <definedName name="Q2_expat_travel">#REF!</definedName>
    <definedName name="Q2_farm_GA">#REF!</definedName>
    <definedName name="Q2_insurance">#REF!</definedName>
    <definedName name="Q2_KLO">#REF!</definedName>
    <definedName name="Q2_KTO_crude">#REF!</definedName>
    <definedName name="Q2_legal_settlements">#REF!</definedName>
    <definedName name="Q2_medical_expenses">#REF!</definedName>
    <definedName name="Q2_mngnt_services">#REF!</definedName>
    <definedName name="Q2_pipeline_tariff">#REF!</definedName>
    <definedName name="Q2_property_tax">#REF!</definedName>
    <definedName name="Q2_railway_tariff">#REF!</definedName>
    <definedName name="Q2_security">#REF!</definedName>
    <definedName name="Q2_tax_advice">#REF!</definedName>
    <definedName name="Q2_trucking_services">#REF!</definedName>
    <definedName name="Q2_TurgaiPetroleum_KZT">#REF!</definedName>
    <definedName name="Q3_901s_materials">#REF!</definedName>
    <definedName name="Q3_902_903s">#REF!</definedName>
    <definedName name="Q3_AJE10_KLO">#REF!</definedName>
    <definedName name="Q3_AJE11_pipeline_tariff">#REF!</definedName>
    <definedName name="Q3_AJEs_other">#REF!</definedName>
    <definedName name="Q3_audit_expenses">#REF!</definedName>
    <definedName name="Q3_baddebts_provisions">#REF!</definedName>
    <definedName name="Q3_bank_services">#REF!</definedName>
    <definedName name="Q3_catering_services">#REF!</definedName>
    <definedName name="Q3_communication_expenses">#REF!</definedName>
    <definedName name="Q3_contract_interpreters">#REF!</definedName>
    <definedName name="Q3_donation_Kaisar">#REF!</definedName>
    <definedName name="Q3_donations">#REF!</definedName>
    <definedName name="Q3_excise_tax">#REF!</definedName>
    <definedName name="Q3_expat_payroll">#REF!</definedName>
    <definedName name="Q3_expat_travel">#REF!</definedName>
    <definedName name="Q3_insurance">#REF!</definedName>
    <definedName name="Q3_KLO">#REF!</definedName>
    <definedName name="Q3_legal_settlements">#REF!</definedName>
    <definedName name="Q3_medical_expenses">#REF!</definedName>
    <definedName name="Q3_mngt_services">#REF!</definedName>
    <definedName name="Q3_pipeline_tariff">#REF!</definedName>
    <definedName name="Q3_property_tax">#REF!</definedName>
    <definedName name="Q3_railway_tariff">#REF!</definedName>
    <definedName name="Q3_security">#REF!</definedName>
    <definedName name="Q3_tax_advice">#REF!</definedName>
    <definedName name="Q3_trucking_services">#REF!</definedName>
    <definedName name="Q3_TurgaiPetroleum">#REF!</definedName>
    <definedName name="Q3_VAT_nondeductible">#REF!</definedName>
    <definedName name="qawf">#REF!</definedName>
    <definedName name="QC_GASBAL">#REF!</definedName>
    <definedName name="qqq">#REF!</definedName>
    <definedName name="qqqq">#REF!</definedName>
    <definedName name="qqqq2">#REF!</definedName>
    <definedName name="qqqqq1">#REF!</definedName>
    <definedName name="qqqqq2">#REF!</definedName>
    <definedName name="qual_end">#REF!</definedName>
    <definedName name="qual_st">#REF!</definedName>
    <definedName name="Query">#REF!</definedName>
    <definedName name="Query1">#REF!</definedName>
    <definedName name="qw">#REF!</definedName>
    <definedName name="qwertghbvc">#REF!</definedName>
    <definedName name="qwerty">#REF!</definedName>
    <definedName name="q关联方">#REF!</definedName>
    <definedName name="R_">#REF!</definedName>
    <definedName name="R_BEG">#REF!</definedName>
    <definedName name="R_END">#REF!</definedName>
    <definedName name="R_Factor">#REF!</definedName>
    <definedName name="R_Factor_AR_Balance">#REF!</definedName>
    <definedName name="R_Factor_SRD">#REF!</definedName>
    <definedName name="R_INS">#REF!</definedName>
    <definedName name="ra">#REF!</definedName>
    <definedName name="RailwayCostsFlatcars">#REF!</definedName>
    <definedName name="RailwayTariffDelivery">#REF!</definedName>
    <definedName name="RailwayTariffRollSteel">#REF!</definedName>
    <definedName name="RailwayTariffServices">#REF!</definedName>
    <definedName name="Random_Book_Value_Totals">#REF!</definedName>
    <definedName name="Random_Net_Book_Value">#REF!</definedName>
    <definedName name="Random_Population_Count">#REF!</definedName>
    <definedName name="Random_Sample_Size">#REF!</definedName>
    <definedName name="range1">#REF!</definedName>
    <definedName name="rar">#REF!</definedName>
    <definedName name="ras160_1">#REF!</definedName>
    <definedName name="ras160_10">#REF!</definedName>
    <definedName name="ras160_11">#REF!</definedName>
    <definedName name="ras160_12">#REF!</definedName>
    <definedName name="ras160_13">#REF!</definedName>
    <definedName name="ras160_14">#REF!</definedName>
    <definedName name="ras160_15">#REF!</definedName>
    <definedName name="ras160_16">#REF!</definedName>
    <definedName name="ras160_17">#REF!</definedName>
    <definedName name="ras160_18">#REF!</definedName>
    <definedName name="ras160_19">#REF!</definedName>
    <definedName name="ras160_2">#REF!</definedName>
    <definedName name="ras160_20">#REF!</definedName>
    <definedName name="ras160_21">#REF!</definedName>
    <definedName name="ras160_22">#REF!</definedName>
    <definedName name="ras160_23">#REF!</definedName>
    <definedName name="ras160_24">#REF!</definedName>
    <definedName name="ras160_3">#REF!</definedName>
    <definedName name="ras160_4">#REF!</definedName>
    <definedName name="ras160_5">#REF!</definedName>
    <definedName name="ras160_6">#REF!</definedName>
    <definedName name="ras160_7">#REF!</definedName>
    <definedName name="ras160_8">#REF!</definedName>
    <definedName name="ras160_9">#REF!</definedName>
    <definedName name="ras80_21">#REF!</definedName>
    <definedName name="ras80_22">#REF!</definedName>
    <definedName name="ras80_23">#REF!</definedName>
    <definedName name="ras80_24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ate">#REF!</definedName>
    <definedName name="rates">#REF!</definedName>
    <definedName name="ratioopco">#REF!</definedName>
    <definedName name="RCI_1">#REF!</definedName>
    <definedName name="RCI_10">#REF!</definedName>
    <definedName name="RCI_11">#REF!</definedName>
    <definedName name="RCI_2">#REF!</definedName>
    <definedName name="RCI_3">#REF!</definedName>
    <definedName name="RCI_4">#REF!</definedName>
    <definedName name="RCI_5">#REF!</definedName>
    <definedName name="RCI_6">#REF!</definedName>
    <definedName name="RCI_7">#REF!</definedName>
    <definedName name="RCI_8">#REF!</definedName>
    <definedName name="RCI_9">#REF!</definedName>
    <definedName name="RCOP_1">#REF!</definedName>
    <definedName name="RCOP_10">#REF!</definedName>
    <definedName name="RCOP_11">#REF!</definedName>
    <definedName name="RCOP_2">#REF!</definedName>
    <definedName name="RCOP_3">#REF!</definedName>
    <definedName name="RCOP_4">#REF!</definedName>
    <definedName name="RCOP_5">#REF!</definedName>
    <definedName name="RCOP_6">#REF!</definedName>
    <definedName name="RCOP_7">#REF!</definedName>
    <definedName name="RCOP_8">#REF!</definedName>
    <definedName name="RCOP_9">#REF!</definedName>
    <definedName name="RCP_1">#REF!</definedName>
    <definedName name="RCP_10">#REF!</definedName>
    <definedName name="RCP_11">#REF!</definedName>
    <definedName name="RCP_2">#REF!</definedName>
    <definedName name="RCP_3">#REF!</definedName>
    <definedName name="RCP_4">#REF!</definedName>
    <definedName name="RCP_5">#REF!</definedName>
    <definedName name="RCP_6">#REF!</definedName>
    <definedName name="RCP_7">#REF!</definedName>
    <definedName name="RCP_8">#REF!</definedName>
    <definedName name="RCP_9">#REF!</definedName>
    <definedName name="RCPEI_1">#REF!</definedName>
    <definedName name="RCPEI_10">#REF!</definedName>
    <definedName name="RCPEI_11">#REF!</definedName>
    <definedName name="RCPEI_2">#REF!</definedName>
    <definedName name="RCPEI_3">#REF!</definedName>
    <definedName name="RCPEI_4">#REF!</definedName>
    <definedName name="RCPEI_5">#REF!</definedName>
    <definedName name="RCPEI_6">#REF!</definedName>
    <definedName name="RCPEI_7">#REF!</definedName>
    <definedName name="RCPEI_8">#REF!</definedName>
    <definedName name="RCPEI_9">#REF!</definedName>
    <definedName name="RCPT_1">#REF!</definedName>
    <definedName name="RCPT_10">#REF!</definedName>
    <definedName name="RCPT_11">#REF!</definedName>
    <definedName name="RCPT_2">#REF!</definedName>
    <definedName name="RCPT_3">#REF!</definedName>
    <definedName name="RCPT_4">#REF!</definedName>
    <definedName name="RCPT_5">#REF!</definedName>
    <definedName name="RCPT_6">#REF!</definedName>
    <definedName name="RCPT_7">#REF!</definedName>
    <definedName name="RCPT_8">#REF!</definedName>
    <definedName name="RCPT_9">#REF!</definedName>
    <definedName name="RE">#REF!</definedName>
    <definedName name="Receivables_close">#REF!</definedName>
    <definedName name="Receivables_from_affiliates">#REF!</definedName>
    <definedName name="Receivables_open">#REF!</definedName>
    <definedName name="RECONC_DEPR">#REF!</definedName>
    <definedName name="record">#REF!</definedName>
    <definedName name="Redemption">#REF!</definedName>
    <definedName name="reestr3">#REF!</definedName>
    <definedName name="Ref_1">#REF!</definedName>
    <definedName name="Ref_10">#REF!</definedName>
    <definedName name="Ref_11">#REF!</definedName>
    <definedName name="Ref_12">#REF!</definedName>
    <definedName name="Ref_13">#REF!</definedName>
    <definedName name="Ref_14">#REF!</definedName>
    <definedName name="Ref_2">#REF!</definedName>
    <definedName name="Ref_3">#REF!</definedName>
    <definedName name="Ref_4">#REF!</definedName>
    <definedName name="Ref_5">#REF!</definedName>
    <definedName name="Ref_6">#REF!</definedName>
    <definedName name="Ref_7">#REF!</definedName>
    <definedName name="Ref_8">#REF!</definedName>
    <definedName name="Ref_9">#REF!</definedName>
    <definedName name="Ref_Date">#REF!</definedName>
    <definedName name="refined">#REF!</definedName>
    <definedName name="RefreshMode">#REF!</definedName>
    <definedName name="RegionNameStart">#REF!</definedName>
    <definedName name="Rehc3">#REF!</definedName>
    <definedName name="RemainBVBoxcars">#REF!</definedName>
    <definedName name="RemainBVBuildings">#REF!</definedName>
    <definedName name="RemainBVContainers">#REF!</definedName>
    <definedName name="RemainBVDumpcars">#REF!</definedName>
    <definedName name="RemainBVFlatcars40">#REF!</definedName>
    <definedName name="RemainBVFlatcars80">#REF!</definedName>
    <definedName name="RemainBVFlatcarsOther">#REF!</definedName>
    <definedName name="RemainBVGondolas">#REF!</definedName>
    <definedName name="RemainBVLocomotives">#REF!</definedName>
    <definedName name="RemainBVLPG">#REF!</definedName>
    <definedName name="RemainBVOil">#REF!</definedName>
    <definedName name="RemainBVOtherAssets">#REF!</definedName>
    <definedName name="RemainBVRollingStock">#REF!</definedName>
    <definedName name="RemainBVWheels">#REF!</definedName>
    <definedName name="RemainBVWheelsRepair">#REF!</definedName>
    <definedName name="RentCostsContainers">#REF!</definedName>
    <definedName name="RentCostsFlatcars">#REF!</definedName>
    <definedName name="RentGrowthBoxcar4QInput">#REF!</definedName>
    <definedName name="RentGrowthBoxcarInput">#REF!</definedName>
    <definedName name="RentGrowthGondolas4QInput">#REF!</definedName>
    <definedName name="RentGrowthGondolasInput">#REF!</definedName>
    <definedName name="RentGrowthLPG4QInput">#REF!</definedName>
    <definedName name="RentGrowthLPGInput">#REF!</definedName>
    <definedName name="RentGrowthOil4QInput">#REF!</definedName>
    <definedName name="RentGrowthOilInput">#REF!</definedName>
    <definedName name="rep">#REF!</definedName>
    <definedName name="REPAY">#REF!</definedName>
    <definedName name="repdate">#REF!</definedName>
    <definedName name="repperiod">#REF!</definedName>
    <definedName name="RepYear">#REF!</definedName>
    <definedName name="RES">#REF!</definedName>
    <definedName name="RES_1">#REF!</definedName>
    <definedName name="RES_10">#REF!</definedName>
    <definedName name="RES_11">#REF!</definedName>
    <definedName name="RES_2">#REF!</definedName>
    <definedName name="RES_3">#REF!</definedName>
    <definedName name="RES_4">#REF!</definedName>
    <definedName name="RES_5">#REF!</definedName>
    <definedName name="RES_6">#REF!</definedName>
    <definedName name="RES_7">#REF!</definedName>
    <definedName name="RES_8">#REF!</definedName>
    <definedName name="RES_9">#REF!</definedName>
    <definedName name="Reserve_Stats">#REF!</definedName>
    <definedName name="Reserve_Stats1">#REF!</definedName>
    <definedName name="Reserves">#REF!</definedName>
    <definedName name="RESERVES_1">#REF!</definedName>
    <definedName name="RESERVES_2">#REF!</definedName>
    <definedName name="RESERVES_3">#REF!</definedName>
    <definedName name="Reserves1">#REF!</definedName>
    <definedName name="ReserveTailIn">#REF!</definedName>
    <definedName name="RESGRA_1">#REF!</definedName>
    <definedName name="RESGRA_10">#REF!</definedName>
    <definedName name="RESGRA_11">#REF!</definedName>
    <definedName name="RESGRA_2">#REF!</definedName>
    <definedName name="RESGRA_3">#REF!</definedName>
    <definedName name="RESGRA_4">#REF!</definedName>
    <definedName name="RESGRA_5">#REF!</definedName>
    <definedName name="RESGRA_6">#REF!</definedName>
    <definedName name="RESGRA_7">#REF!</definedName>
    <definedName name="RESGRA_8">#REF!</definedName>
    <definedName name="RESGRA_9">#REF!</definedName>
    <definedName name="RESGRADUD_1">#REF!</definedName>
    <definedName name="RESGRADUD_10">#REF!</definedName>
    <definedName name="RESGRADUD_11">#REF!</definedName>
    <definedName name="RESGRADUD_2">#REF!</definedName>
    <definedName name="RESGRADUD_3">#REF!</definedName>
    <definedName name="RESGRADUD_4">#REF!</definedName>
    <definedName name="RESGRADUD_5">#REF!</definedName>
    <definedName name="RESGRADUD_6">#REF!</definedName>
    <definedName name="RESGRADUD_7">#REF!</definedName>
    <definedName name="RESGRADUD_8">#REF!</definedName>
    <definedName name="RESGRADUD_9">#REF!</definedName>
    <definedName name="RESGRARUD_1">#REF!</definedName>
    <definedName name="RESGRARUD_10">#REF!</definedName>
    <definedName name="RESGRARUD_11">#REF!</definedName>
    <definedName name="RESGRARUD_2">#REF!</definedName>
    <definedName name="RESGRARUD_3">#REF!</definedName>
    <definedName name="RESGRARUD_4">#REF!</definedName>
    <definedName name="RESGRARUD_5">#REF!</definedName>
    <definedName name="RESGRARUD_6">#REF!</definedName>
    <definedName name="RESGRARUD_7">#REF!</definedName>
    <definedName name="RESGRARUD_8">#REF!</definedName>
    <definedName name="RESGRARUD_9">#REF!</definedName>
    <definedName name="RESGRAUD_1">#REF!</definedName>
    <definedName name="RESGRAUD_10">#REF!</definedName>
    <definedName name="RESGRAUD_11">#REF!</definedName>
    <definedName name="RESGRAUD_2">#REF!</definedName>
    <definedName name="RESGRAUD_3">#REF!</definedName>
    <definedName name="RESGRAUD_4">#REF!</definedName>
    <definedName name="RESGRAUD_5">#REF!</definedName>
    <definedName name="RESGRAUD_6">#REF!</definedName>
    <definedName name="RESGRAUD_7">#REF!</definedName>
    <definedName name="RESGRAUD_8">#REF!</definedName>
    <definedName name="RESGRAUD_9">#REF!</definedName>
    <definedName name="Residual_difference">#REF!</definedName>
    <definedName name="ResidualValue">#REF!</definedName>
    <definedName name="RESİNEX_GT_RESİNEXB8_Listele">#REF!</definedName>
    <definedName name="RESLRA_1">#REF!</definedName>
    <definedName name="RESLRA_10">#REF!</definedName>
    <definedName name="RESLRA_11">#REF!</definedName>
    <definedName name="RESLRA_2">#REF!</definedName>
    <definedName name="RESLRA_3">#REF!</definedName>
    <definedName name="RESLRA_4">#REF!</definedName>
    <definedName name="RESLRA_5">#REF!</definedName>
    <definedName name="RESLRA_6">#REF!</definedName>
    <definedName name="RESLRA_7">#REF!</definedName>
    <definedName name="RESLRA_8">#REF!</definedName>
    <definedName name="RESLRA_9">#REF!</definedName>
    <definedName name="RESLRADUD_1">#REF!</definedName>
    <definedName name="RESLRADUD_10">#REF!</definedName>
    <definedName name="RESLRADUD_11">#REF!</definedName>
    <definedName name="RESLRADUD_2">#REF!</definedName>
    <definedName name="RESLRADUD_3">#REF!</definedName>
    <definedName name="RESLRADUD_4">#REF!</definedName>
    <definedName name="RESLRADUD_5">#REF!</definedName>
    <definedName name="RESLRADUD_6">#REF!</definedName>
    <definedName name="RESLRADUD_7">#REF!</definedName>
    <definedName name="RESLRADUD_8">#REF!</definedName>
    <definedName name="RESLRADUD_9">#REF!</definedName>
    <definedName name="RESLRARUD_1">#REF!</definedName>
    <definedName name="RESLRARUD_10">#REF!</definedName>
    <definedName name="RESLRARUD_11">#REF!</definedName>
    <definedName name="RESLRARUD_2">#REF!</definedName>
    <definedName name="RESLRARUD_3">#REF!</definedName>
    <definedName name="RESLRARUD_4">#REF!</definedName>
    <definedName name="RESLRARUD_5">#REF!</definedName>
    <definedName name="RESLRARUD_6">#REF!</definedName>
    <definedName name="RESLRARUD_7">#REF!</definedName>
    <definedName name="RESLRARUD_8">#REF!</definedName>
    <definedName name="RESLRARUD_9">#REF!</definedName>
    <definedName name="RESLRAUD_1">#REF!</definedName>
    <definedName name="RESLRAUD_10">#REF!</definedName>
    <definedName name="RESLRAUD_11">#REF!</definedName>
    <definedName name="RESLRAUD_2">#REF!</definedName>
    <definedName name="RESLRAUD_3">#REF!</definedName>
    <definedName name="RESLRAUD_4">#REF!</definedName>
    <definedName name="RESLRAUD_5">#REF!</definedName>
    <definedName name="RESLRAUD_6">#REF!</definedName>
    <definedName name="RESLRAUD_7">#REF!</definedName>
    <definedName name="RESLRAUD_8">#REF!</definedName>
    <definedName name="RESLRAUD_9">#REF!</definedName>
    <definedName name="Resp">#REF!</definedName>
    <definedName name="respirators">#REF!</definedName>
    <definedName name="Rest_Fact_rang1_1">#REF!</definedName>
    <definedName name="Rest_Fact_rang1_2">#REF!</definedName>
    <definedName name="Rest_Fact_rang1_3">#REF!</definedName>
    <definedName name="Rest_Fact_rang1_4">#REF!</definedName>
    <definedName name="Rest_Fact_rang1_5">#REF!</definedName>
    <definedName name="Rest_Fact_rang1_6">#REF!</definedName>
    <definedName name="Rest_Fact_rang1_7">#REF!</definedName>
    <definedName name="Rest_Fact_rang1_8">#REF!</definedName>
    <definedName name="Rest_Fact_rang2_2">#REF!</definedName>
    <definedName name="Rest_Fact_rang2_3">#REF!</definedName>
    <definedName name="Rest_Fact_rang2_4">#REF!</definedName>
    <definedName name="Rest_Fact_rang2_5">#REF!</definedName>
    <definedName name="Rest_Fact_rang2_6">#REF!</definedName>
    <definedName name="Rest_Fact_rang2_7">#REF!</definedName>
    <definedName name="Rest_Fact_rang2_8">#REF!</definedName>
    <definedName name="Rest_Fact_rang3_3">#REF!</definedName>
    <definedName name="Rest_Fact_rang3_4">#REF!</definedName>
    <definedName name="Rest_Fact_rang3_5">#REF!</definedName>
    <definedName name="Rest_Fact_rang3_6">#REF!</definedName>
    <definedName name="Rest_Fact_rang3_7">#REF!</definedName>
    <definedName name="Rest_Fact_rang3_8">#REF!</definedName>
    <definedName name="Rest_Fact_rang4_4">#REF!</definedName>
    <definedName name="Rest_Fact_rang4_5">#REF!</definedName>
    <definedName name="Rest_Fact_rang4_6">#REF!</definedName>
    <definedName name="Rest_Fact_rang4_7">#REF!</definedName>
    <definedName name="Rest_Fact_rang4_8">#REF!</definedName>
    <definedName name="Rest_Fact_rang5_5">#REF!</definedName>
    <definedName name="Rest_Fact_rang5_6">#REF!</definedName>
    <definedName name="Rest_Fact_rang5_7">#REF!</definedName>
    <definedName name="Rest_Fact_rang5_8">#REF!</definedName>
    <definedName name="Rest_Fact_rang6_6">#REF!</definedName>
    <definedName name="Rest_Fact_rang6_7">#REF!</definedName>
    <definedName name="Rest_Fact_rang6_8">#REF!</definedName>
    <definedName name="Rest_Fact_rang7_7">#REF!</definedName>
    <definedName name="Rest_Fact_rang7_8">#REF!</definedName>
    <definedName name="Rest_Fact_rang8_8">#REF!</definedName>
    <definedName name="result">#REF!</definedName>
    <definedName name="Result_DA">#REF!</definedName>
    <definedName name="resumen">#REF!</definedName>
    <definedName name="ret">#REF!</definedName>
    <definedName name="RetName">#REF!</definedName>
    <definedName name="rett">#REF!</definedName>
    <definedName name="rev">#REF!</definedName>
    <definedName name="rev_start">#REF!</definedName>
    <definedName name="Revaluation">#REF!</definedName>
    <definedName name="Revenue">#REF!</definedName>
    <definedName name="Revenue_Austria">#REF!</definedName>
    <definedName name="Revenue_Belgium">#REF!</definedName>
    <definedName name="Revenue_Chile">#REF!</definedName>
    <definedName name="Revenue_CWC">#REF!</definedName>
    <definedName name="Revenue_Germany">#REF!</definedName>
    <definedName name="Revenue_Hungary">#REF!</definedName>
    <definedName name="Revenue_Other_European_Countries">#REF!</definedName>
    <definedName name="Revenue_Poland">#REF!</definedName>
    <definedName name="Revenue_Puerto_Rico">#REF!</definedName>
    <definedName name="Revenue_Switzerland">#REF!</definedName>
    <definedName name="Revenue_UK_Ireland">#REF!</definedName>
    <definedName name="RevenueForwarding">#REF!</definedName>
    <definedName name="RevenueOperatingServices">#REF!</definedName>
    <definedName name="RevenueRentLocomotives">#REF!</definedName>
    <definedName name="RevenueRentRepairDivisions">#REF!</definedName>
    <definedName name="RevenueRentServices">#REF!</definedName>
    <definedName name="RevenueSaleUsedCars">#REF!</definedName>
    <definedName name="Revision">#REF!</definedName>
    <definedName name="RevSW1">#REF!</definedName>
    <definedName name="rf">#REF!</definedName>
    <definedName name="RFACT11">#REF!</definedName>
    <definedName name="RFP_Daily_Meal_Avg">#REF!</definedName>
    <definedName name="rg">#REF!</definedName>
    <definedName name="RIR_1">#REF!</definedName>
    <definedName name="RIR_10">#REF!</definedName>
    <definedName name="RIR_11">#REF!</definedName>
    <definedName name="RIR_2">#REF!</definedName>
    <definedName name="RIR_3">#REF!</definedName>
    <definedName name="RIR_4">#REF!</definedName>
    <definedName name="RIR_5">#REF!</definedName>
    <definedName name="RIR_6">#REF!</definedName>
    <definedName name="RIR_7">#REF!</definedName>
    <definedName name="RIR_8">#REF!</definedName>
    <definedName name="RIR_9">#REF!</definedName>
    <definedName name="rldldl">#REF!</definedName>
    <definedName name="rng">#REF!</definedName>
    <definedName name="rngChartRange">#REF!</definedName>
    <definedName name="rngDataAll">#REF!</definedName>
    <definedName name="rngEnd">#REF!</definedName>
    <definedName name="rngIATACode">#REF!</definedName>
    <definedName name="rngResStart">#REF!</definedName>
    <definedName name="rngStart">#REF!</definedName>
    <definedName name="rngUpdate">#REF!</definedName>
    <definedName name="Romania_CPI">#REF!</definedName>
    <definedName name="ROYAL_11">#REF!</definedName>
    <definedName name="ROYAL_2">#REF!</definedName>
    <definedName name="ROYAL_3">#REF!</definedName>
    <definedName name="ROYAL_4">#REF!</definedName>
    <definedName name="ROYAL_5">#REF!</definedName>
    <definedName name="ROYAL_6">#REF!</definedName>
    <definedName name="ROYAL_7">#REF!</definedName>
    <definedName name="ROYAL_8">#REF!</definedName>
    <definedName name="ROYAL_9">#REF!</definedName>
    <definedName name="rp">#REF!</definedName>
    <definedName name="rr">#REF!</definedName>
    <definedName name="rrr">#REF!</definedName>
    <definedName name="RSA">#REF!</definedName>
    <definedName name="rts">#REF!</definedName>
    <definedName name="RUR_USD_AveInput">#REF!</definedName>
    <definedName name="RUR_USD_EoPInput">#REF!</definedName>
    <definedName name="rus">#REF!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1_">#REF!</definedName>
    <definedName name="s1_0">#REF!</definedName>
    <definedName name="s1_1">#REF!</definedName>
    <definedName name="S10_">#REF!</definedName>
    <definedName name="S11_">#REF!</definedName>
    <definedName name="S12_">#REF!</definedName>
    <definedName name="S13_">#REF!</definedName>
    <definedName name="S14_">#REF!</definedName>
    <definedName name="S15_">#REF!</definedName>
    <definedName name="S150_G3">#REF!</definedName>
    <definedName name="S150_G4">#REF!</definedName>
    <definedName name="S150_G5">#REF!</definedName>
    <definedName name="S150_G6">#REF!</definedName>
    <definedName name="S16_">#REF!</definedName>
    <definedName name="S160_G1">#REF!</definedName>
    <definedName name="S160_G2">#REF!</definedName>
    <definedName name="S160_G3">#REF!</definedName>
    <definedName name="S160_G4">#REF!</definedName>
    <definedName name="S160_G5">#REF!</definedName>
    <definedName name="S160_G6">#REF!</definedName>
    <definedName name="S17_">#REF!</definedName>
    <definedName name="S170_G1">#REF!</definedName>
    <definedName name="S170_G2">#REF!</definedName>
    <definedName name="S170_G3">#REF!</definedName>
    <definedName name="S170_G4">#REF!</definedName>
    <definedName name="S170_G5">#REF!</definedName>
    <definedName name="S170_G6">#REF!</definedName>
    <definedName name="S18_">#REF!</definedName>
    <definedName name="S180_G1">#REF!</definedName>
    <definedName name="S180_G2">#REF!</definedName>
    <definedName name="S180_G3">#REF!</definedName>
    <definedName name="S180_G4">#REF!</definedName>
    <definedName name="S180_G5">#REF!</definedName>
    <definedName name="S180_G6">#REF!</definedName>
    <definedName name="S19_">#REF!</definedName>
    <definedName name="S190_G1">#REF!</definedName>
    <definedName name="S190_G2">#REF!</definedName>
    <definedName name="S190_G3">#REF!</definedName>
    <definedName name="S190_G4">#REF!</definedName>
    <definedName name="S190_G5">#REF!</definedName>
    <definedName name="S190_G6">#REF!</definedName>
    <definedName name="S2_">#REF!</definedName>
    <definedName name="S20_">#REF!</definedName>
    <definedName name="S20_G1">#REF!</definedName>
    <definedName name="S20_G2">#REF!</definedName>
    <definedName name="S20_G3">#REF!</definedName>
    <definedName name="S20_G4">#REF!</definedName>
    <definedName name="S20_G5">#REF!</definedName>
    <definedName name="S20_G6">#REF!</definedName>
    <definedName name="S200_G1">#REF!</definedName>
    <definedName name="S200_G2">#REF!</definedName>
    <definedName name="S200_G3">#REF!</definedName>
    <definedName name="S200_G4">#REF!</definedName>
    <definedName name="S200_G5">#REF!</definedName>
    <definedName name="S200_G6">#REF!</definedName>
    <definedName name="S210_G1">#REF!</definedName>
    <definedName name="S210_G2">#REF!</definedName>
    <definedName name="S210_G3">#REF!</definedName>
    <definedName name="S210_G4">#REF!</definedName>
    <definedName name="S210_G5">#REF!</definedName>
    <definedName name="S210_G6">#REF!</definedName>
    <definedName name="S220_G1">#REF!</definedName>
    <definedName name="S220_G2">#REF!</definedName>
    <definedName name="S220_G3">#REF!</definedName>
    <definedName name="S220_G4">#REF!</definedName>
    <definedName name="S220_G5">#REF!</definedName>
    <definedName name="S220_G6">#REF!</definedName>
    <definedName name="S230_G1">#REF!</definedName>
    <definedName name="S230_G2">#REF!</definedName>
    <definedName name="S230_G3">#REF!</definedName>
    <definedName name="S230_G4">#REF!</definedName>
    <definedName name="S230_G5">#REF!</definedName>
    <definedName name="S230_G6">#REF!</definedName>
    <definedName name="S240_G1">#REF!</definedName>
    <definedName name="S240_G2">#REF!</definedName>
    <definedName name="S240_G3">#REF!</definedName>
    <definedName name="S240_G4">#REF!</definedName>
    <definedName name="S240_G5">#REF!</definedName>
    <definedName name="S240_G6">#REF!</definedName>
    <definedName name="S250_G1">#REF!</definedName>
    <definedName name="S250_G2">#REF!</definedName>
    <definedName name="S250_G3">#REF!</definedName>
    <definedName name="S250_G4">#REF!</definedName>
    <definedName name="S250_G5">#REF!</definedName>
    <definedName name="S250_G6">#REF!</definedName>
    <definedName name="s260_1">#REF!</definedName>
    <definedName name="s260_10">#REF!</definedName>
    <definedName name="s260_11">#REF!</definedName>
    <definedName name="s260_12">#REF!</definedName>
    <definedName name="s260_13">#REF!</definedName>
    <definedName name="s260_14">#REF!</definedName>
    <definedName name="s260_15">#REF!</definedName>
    <definedName name="s260_16">#REF!</definedName>
    <definedName name="s260_17">#REF!</definedName>
    <definedName name="s260_18">#REF!</definedName>
    <definedName name="s260_19">#REF!</definedName>
    <definedName name="s260_2">#REF!</definedName>
    <definedName name="s260_20">#REF!</definedName>
    <definedName name="s260_3">#REF!</definedName>
    <definedName name="s260_4">#REF!</definedName>
    <definedName name="s260_5">#REF!</definedName>
    <definedName name="s260_6">#REF!</definedName>
    <definedName name="s260_7">#REF!</definedName>
    <definedName name="s260_8">#REF!</definedName>
    <definedName name="s260_9">#REF!</definedName>
    <definedName name="S260_G1">#REF!</definedName>
    <definedName name="S260_G2">#REF!</definedName>
    <definedName name="S260_G3">#REF!</definedName>
    <definedName name="S260_G4">#REF!</definedName>
    <definedName name="S260_G5">#REF!</definedName>
    <definedName name="S260_G6">#REF!</definedName>
    <definedName name="S270_G1">#REF!</definedName>
    <definedName name="S270_G2">#REF!</definedName>
    <definedName name="S270_G3">#REF!</definedName>
    <definedName name="S270_G4">#REF!</definedName>
    <definedName name="S270_G5">#REF!</definedName>
    <definedName name="S270_G6">#REF!</definedName>
    <definedName name="S280_G1">#REF!</definedName>
    <definedName name="S280_G2">#REF!</definedName>
    <definedName name="S280_G3">#REF!</definedName>
    <definedName name="S280_G4">#REF!</definedName>
    <definedName name="S280_G5">#REF!</definedName>
    <definedName name="S280_G6">#REF!</definedName>
    <definedName name="S290_G1">#REF!</definedName>
    <definedName name="S290_G2">#REF!</definedName>
    <definedName name="S290_G3">#REF!</definedName>
    <definedName name="S290_G4">#REF!</definedName>
    <definedName name="S290_G5">#REF!</definedName>
    <definedName name="S290_G6">#REF!</definedName>
    <definedName name="S3_">#REF!</definedName>
    <definedName name="S30_G1">#REF!</definedName>
    <definedName name="S30_G2">#REF!</definedName>
    <definedName name="S30_G3">#REF!</definedName>
    <definedName name="S30_G4">#REF!</definedName>
    <definedName name="S30_G5">#REF!</definedName>
    <definedName name="S30_G6">#REF!</definedName>
    <definedName name="S300_G1">#REF!</definedName>
    <definedName name="S300_G2">#REF!</definedName>
    <definedName name="S300_G3">#REF!</definedName>
    <definedName name="S300_G4">#REF!</definedName>
    <definedName name="S300_G5">#REF!</definedName>
    <definedName name="S300_G6">#REF!</definedName>
    <definedName name="S310_G1">#REF!</definedName>
    <definedName name="S310_G2">#REF!</definedName>
    <definedName name="S310_G3">#REF!</definedName>
    <definedName name="S310_G4">#REF!</definedName>
    <definedName name="S310_G5">#REF!</definedName>
    <definedName name="S310_G6">#REF!</definedName>
    <definedName name="S320_G1">#REF!</definedName>
    <definedName name="S320_G2">#REF!</definedName>
    <definedName name="S320_G3">#REF!</definedName>
    <definedName name="S320_G4">#REF!</definedName>
    <definedName name="S320_G5">#REF!</definedName>
    <definedName name="S320_G6">#REF!</definedName>
    <definedName name="S330_G1">#REF!</definedName>
    <definedName name="S330_G2">#REF!</definedName>
    <definedName name="S330_G3">#REF!</definedName>
    <definedName name="S330_G4">#REF!</definedName>
    <definedName name="S330_G5">#REF!</definedName>
    <definedName name="S330_G6">#REF!</definedName>
    <definedName name="S340_G1">#REF!</definedName>
    <definedName name="S340_G2">#REF!</definedName>
    <definedName name="S340_G3">#REF!</definedName>
    <definedName name="S340_G4">#REF!</definedName>
    <definedName name="S340_G5">#REF!</definedName>
    <definedName name="S340_G6">#REF!</definedName>
    <definedName name="S350_G1">#REF!</definedName>
    <definedName name="S350_G2">#REF!</definedName>
    <definedName name="S350_G3">#REF!</definedName>
    <definedName name="S350_G4">#REF!</definedName>
    <definedName name="S350_G5">#REF!</definedName>
    <definedName name="S350_G6">#REF!</definedName>
    <definedName name="S360_G1">#REF!</definedName>
    <definedName name="S360_G2">#REF!</definedName>
    <definedName name="S360_G3">#REF!</definedName>
    <definedName name="S360_G4">#REF!</definedName>
    <definedName name="S360_G5">#REF!</definedName>
    <definedName name="S360_G6">#REF!</definedName>
    <definedName name="S370_G1">#REF!</definedName>
    <definedName name="S370_G2">#REF!</definedName>
    <definedName name="S370_G3">#REF!</definedName>
    <definedName name="S370_G4">#REF!</definedName>
    <definedName name="S370_G5">#REF!</definedName>
    <definedName name="S370_G6">#REF!</definedName>
    <definedName name="S371_G1">#REF!</definedName>
    <definedName name="S371_G2">#REF!</definedName>
    <definedName name="S371_G3">#REF!</definedName>
    <definedName name="S371_G4">#REF!</definedName>
    <definedName name="S371_G5">#REF!</definedName>
    <definedName name="S371_G6">#REF!</definedName>
    <definedName name="S372_G1">#REF!</definedName>
    <definedName name="S372_G2">#REF!</definedName>
    <definedName name="S372_G3">#REF!</definedName>
    <definedName name="S372_G4">#REF!</definedName>
    <definedName name="S372_G5">#REF!</definedName>
    <definedName name="S372_G6">#REF!</definedName>
    <definedName name="S373_G1">#REF!</definedName>
    <definedName name="S373_G2">#REF!</definedName>
    <definedName name="S373_G3">#REF!</definedName>
    <definedName name="S373_G4">#REF!</definedName>
    <definedName name="S373_G5">#REF!</definedName>
    <definedName name="S373_G6">#REF!</definedName>
    <definedName name="S380_G1">#REF!</definedName>
    <definedName name="S380_G2">#REF!</definedName>
    <definedName name="S380_G3">#REF!</definedName>
    <definedName name="S380_G4">#REF!</definedName>
    <definedName name="S380_G5">#REF!</definedName>
    <definedName name="S380_G6">#REF!</definedName>
    <definedName name="S390_G1">#REF!</definedName>
    <definedName name="S390_G2">#REF!</definedName>
    <definedName name="S390_G3">#REF!</definedName>
    <definedName name="S390_G4">#REF!</definedName>
    <definedName name="S390_G5">#REF!</definedName>
    <definedName name="S390_G6">#REF!</definedName>
    <definedName name="S4_">#REF!</definedName>
    <definedName name="S40_G1">#REF!</definedName>
    <definedName name="S40_G2">#REF!</definedName>
    <definedName name="S40_G3">#REF!</definedName>
    <definedName name="S40_G4">#REF!</definedName>
    <definedName name="S40_G5">#REF!</definedName>
    <definedName name="S40_G6">#REF!</definedName>
    <definedName name="S400_G1">#REF!</definedName>
    <definedName name="S400_G2">#REF!</definedName>
    <definedName name="S400_G3">#REF!</definedName>
    <definedName name="S400_G4">#REF!</definedName>
    <definedName name="S400_G5">#REF!</definedName>
    <definedName name="S400_G6">#REF!</definedName>
    <definedName name="S410_G1">#REF!</definedName>
    <definedName name="S410_G2">#REF!</definedName>
    <definedName name="S410_G3">#REF!</definedName>
    <definedName name="S410_G4">#REF!</definedName>
    <definedName name="S410_G5">#REF!</definedName>
    <definedName name="S410_G6">#REF!</definedName>
    <definedName name="S420_G1">#REF!</definedName>
    <definedName name="S420_G2">#REF!</definedName>
    <definedName name="S420_G3">#REF!</definedName>
    <definedName name="S420_G4">#REF!</definedName>
    <definedName name="S420_G5">#REF!</definedName>
    <definedName name="S420_G6">#REF!</definedName>
    <definedName name="S430_G1">#REF!</definedName>
    <definedName name="S430_G2">#REF!</definedName>
    <definedName name="S430_G3">#REF!</definedName>
    <definedName name="S430_G4">#REF!</definedName>
    <definedName name="S430_G5">#REF!</definedName>
    <definedName name="S430_G6">#REF!</definedName>
    <definedName name="S440_G1">#REF!</definedName>
    <definedName name="S440_G2">#REF!</definedName>
    <definedName name="S440_G3">#REF!</definedName>
    <definedName name="S440_G4">#REF!</definedName>
    <definedName name="S440_G5">#REF!</definedName>
    <definedName name="S440_G6">#REF!</definedName>
    <definedName name="S450_G1">#REF!</definedName>
    <definedName name="S450_G2">#REF!</definedName>
    <definedName name="S450_G3">#REF!</definedName>
    <definedName name="S450_G4">#REF!</definedName>
    <definedName name="S450_G5">#REF!</definedName>
    <definedName name="S450_G6">#REF!</definedName>
    <definedName name="S460_G1">#REF!</definedName>
    <definedName name="S460_G2">#REF!</definedName>
    <definedName name="S460_G3">#REF!</definedName>
    <definedName name="S460_G4">#REF!</definedName>
    <definedName name="S460_G5">#REF!</definedName>
    <definedName name="S460_G6">#REF!</definedName>
    <definedName name="S470_G1">#REF!</definedName>
    <definedName name="S470_G2">#REF!</definedName>
    <definedName name="S470_G3">#REF!</definedName>
    <definedName name="S470_G4">#REF!</definedName>
    <definedName name="S470_G5">#REF!</definedName>
    <definedName name="S470_G6">#REF!</definedName>
    <definedName name="S480_G1">#REF!</definedName>
    <definedName name="S480_G2">#REF!</definedName>
    <definedName name="S480_G3">#REF!</definedName>
    <definedName name="S480_G4">#REF!</definedName>
    <definedName name="S480_G5">#REF!</definedName>
    <definedName name="S480_G6">#REF!</definedName>
    <definedName name="S490_G1">#REF!</definedName>
    <definedName name="S490_G2">#REF!</definedName>
    <definedName name="S490_G3">#REF!</definedName>
    <definedName name="S490_G4">#REF!</definedName>
    <definedName name="S490_G5">#REF!</definedName>
    <definedName name="S490_G6">#REF!</definedName>
    <definedName name="S5_">#REF!</definedName>
    <definedName name="S50_G1">#REF!</definedName>
    <definedName name="S50_G2">#REF!</definedName>
    <definedName name="S50_G3">#REF!</definedName>
    <definedName name="S50_G4">#REF!</definedName>
    <definedName name="S50_G5">#REF!</definedName>
    <definedName name="S50_G6">#REF!</definedName>
    <definedName name="S500_G1">#REF!</definedName>
    <definedName name="S500_G2">#REF!</definedName>
    <definedName name="S500_G3">#REF!</definedName>
    <definedName name="S500_G4">#REF!</definedName>
    <definedName name="S500_G5">#REF!</definedName>
    <definedName name="S500_G6">#REF!</definedName>
    <definedName name="S510_G1">#REF!</definedName>
    <definedName name="S510_G2">#REF!</definedName>
    <definedName name="S510_G3">#REF!</definedName>
    <definedName name="S510_G4">#REF!</definedName>
    <definedName name="S510_G5">#REF!</definedName>
    <definedName name="S510_G6">#REF!</definedName>
    <definedName name="S520_G1">#REF!</definedName>
    <definedName name="S520_G2">#REF!</definedName>
    <definedName name="S520_G3">#REF!</definedName>
    <definedName name="S520_G4">#REF!</definedName>
    <definedName name="S520_G5">#REF!</definedName>
    <definedName name="S520_G6">#REF!</definedName>
    <definedName name="S530_G1">#REF!</definedName>
    <definedName name="S530_G2">#REF!</definedName>
    <definedName name="S530_G3">#REF!</definedName>
    <definedName name="S530_G4">#REF!</definedName>
    <definedName name="S530_G5">#REF!</definedName>
    <definedName name="S530_G6">#REF!</definedName>
    <definedName name="S540_G1">#REF!</definedName>
    <definedName name="S540_G2">#REF!</definedName>
    <definedName name="S540_G3">#REF!</definedName>
    <definedName name="S540_G4">#REF!</definedName>
    <definedName name="S540_G5">#REF!</definedName>
    <definedName name="S540_G6">#REF!</definedName>
    <definedName name="S550_G1">#REF!</definedName>
    <definedName name="S550_G2">#REF!</definedName>
    <definedName name="S550_G3">#REF!</definedName>
    <definedName name="S550_G4">#REF!</definedName>
    <definedName name="S550_G5">#REF!</definedName>
    <definedName name="S550_G6">#REF!</definedName>
    <definedName name="S560_G1">#REF!</definedName>
    <definedName name="S560_G2">#REF!</definedName>
    <definedName name="S560_G3">#REF!</definedName>
    <definedName name="S560_G4">#REF!</definedName>
    <definedName name="S560_G5">#REF!</definedName>
    <definedName name="S560_G6">#REF!</definedName>
    <definedName name="S570_G1">#REF!</definedName>
    <definedName name="S570_G2">#REF!</definedName>
    <definedName name="S570_G3">#REF!</definedName>
    <definedName name="S570_G4">#REF!</definedName>
    <definedName name="S570_G5">#REF!</definedName>
    <definedName name="S570_G6">#REF!</definedName>
    <definedName name="S580_G1">#REF!</definedName>
    <definedName name="S580_G2">#REF!</definedName>
    <definedName name="S580_G3">#REF!</definedName>
    <definedName name="S580_G4">#REF!</definedName>
    <definedName name="S580_G5">#REF!</definedName>
    <definedName name="S580_G6">#REF!</definedName>
    <definedName name="S590_G1">#REF!</definedName>
    <definedName name="S590_G2">#REF!</definedName>
    <definedName name="S590_G3">#REF!</definedName>
    <definedName name="S590_G4">#REF!</definedName>
    <definedName name="S590_G5">#REF!</definedName>
    <definedName name="S590_G6">#REF!</definedName>
    <definedName name="S6_">#REF!</definedName>
    <definedName name="S60_G1">#REF!</definedName>
    <definedName name="S60_G2">#REF!</definedName>
    <definedName name="S60_G3">#REF!</definedName>
    <definedName name="S60_G4">#REF!</definedName>
    <definedName name="S60_G5">#REF!</definedName>
    <definedName name="S60_G6">#REF!</definedName>
    <definedName name="S600_G1">#REF!</definedName>
    <definedName name="S600_G2">#REF!</definedName>
    <definedName name="S600_G3">#REF!</definedName>
    <definedName name="S600_G4">#REF!</definedName>
    <definedName name="S600_G5">#REF!</definedName>
    <definedName name="S600_G6">#REF!</definedName>
    <definedName name="S610_G1">#REF!</definedName>
    <definedName name="S610_G2">#REF!</definedName>
    <definedName name="S610_G3">#REF!</definedName>
    <definedName name="S610_G4">#REF!</definedName>
    <definedName name="S610_G5">#REF!</definedName>
    <definedName name="S610_G6">#REF!</definedName>
    <definedName name="S620_G1">#REF!</definedName>
    <definedName name="S620_G2">#REF!</definedName>
    <definedName name="S620_G3">#REF!</definedName>
    <definedName name="S620_G4">#REF!</definedName>
    <definedName name="S620_G5">#REF!</definedName>
    <definedName name="S620_G6">#REF!</definedName>
    <definedName name="S630_G1">#REF!</definedName>
    <definedName name="S630_G2">#REF!</definedName>
    <definedName name="S630_G3">#REF!</definedName>
    <definedName name="S630_G4">#REF!</definedName>
    <definedName name="S630_G5">#REF!</definedName>
    <definedName name="S630_G6">#REF!</definedName>
    <definedName name="S640_G1">#REF!</definedName>
    <definedName name="S640_G2">#REF!</definedName>
    <definedName name="S640_G3">#REF!</definedName>
    <definedName name="S640_G4">#REF!</definedName>
    <definedName name="S640_G5">#REF!</definedName>
    <definedName name="S640_G6">#REF!</definedName>
    <definedName name="S65_G1">#REF!</definedName>
    <definedName name="S65_G2">#REF!</definedName>
    <definedName name="S65_G3">#REF!</definedName>
    <definedName name="S65_G4">#REF!</definedName>
    <definedName name="S65_G5">#REF!</definedName>
    <definedName name="S65_G6">#REF!</definedName>
    <definedName name="S650_G1">#REF!</definedName>
    <definedName name="S650_G2">#REF!</definedName>
    <definedName name="S650_G3">#REF!</definedName>
    <definedName name="S650_G4">#REF!</definedName>
    <definedName name="S650_G5">#REF!</definedName>
    <definedName name="S650_G6">#REF!</definedName>
    <definedName name="S660_G1">#REF!</definedName>
    <definedName name="S660_G2">#REF!</definedName>
    <definedName name="S660_G3">#REF!</definedName>
    <definedName name="S660_G4">#REF!</definedName>
    <definedName name="S660_G5">#REF!</definedName>
    <definedName name="S660_G6">#REF!</definedName>
    <definedName name="S670_G1">#REF!</definedName>
    <definedName name="S670_G2">#REF!</definedName>
    <definedName name="S670_G3">#REF!</definedName>
    <definedName name="S670_G4">#REF!</definedName>
    <definedName name="S670_G5">#REF!</definedName>
    <definedName name="S670_G6">#REF!</definedName>
    <definedName name="S680_G1">#REF!</definedName>
    <definedName name="S680_G2">#REF!</definedName>
    <definedName name="S680_G3">#REF!</definedName>
    <definedName name="S680_G4">#REF!</definedName>
    <definedName name="S680_G5">#REF!</definedName>
    <definedName name="S680_G6">#REF!</definedName>
    <definedName name="S690_G1">#REF!</definedName>
    <definedName name="S690_G2">#REF!</definedName>
    <definedName name="S690_G3">#REF!</definedName>
    <definedName name="S690_G4">#REF!</definedName>
    <definedName name="S690_G5">#REF!</definedName>
    <definedName name="S690_G6">#REF!</definedName>
    <definedName name="S7_">#REF!</definedName>
    <definedName name="S70_G1">#REF!</definedName>
    <definedName name="S70_G2">#REF!</definedName>
    <definedName name="S70_G3">#REF!</definedName>
    <definedName name="S70_G4">#REF!</definedName>
    <definedName name="S70_G5">#REF!</definedName>
    <definedName name="S70_G6">#REF!</definedName>
    <definedName name="S700_G1">#REF!</definedName>
    <definedName name="S700_G2">#REF!</definedName>
    <definedName name="S700_G3">#REF!</definedName>
    <definedName name="S700_G4">#REF!</definedName>
    <definedName name="S700_G5">#REF!</definedName>
    <definedName name="S700_G6">#REF!</definedName>
    <definedName name="S710_G1">#REF!</definedName>
    <definedName name="S710_G2">#REF!</definedName>
    <definedName name="S710_G3">#REF!</definedName>
    <definedName name="S710_G4">#REF!</definedName>
    <definedName name="S710_G5">#REF!</definedName>
    <definedName name="S710_G6">#REF!</definedName>
    <definedName name="S720_G1">#REF!</definedName>
    <definedName name="S720_G2">#REF!</definedName>
    <definedName name="S720_G3">#REF!</definedName>
    <definedName name="S720_G4">#REF!</definedName>
    <definedName name="S720_G5">#REF!</definedName>
    <definedName name="S720_G6">#REF!</definedName>
    <definedName name="S730_G1">#REF!</definedName>
    <definedName name="S730_G2">#REF!</definedName>
    <definedName name="S730_G3">#REF!</definedName>
    <definedName name="S730_G4">#REF!</definedName>
    <definedName name="S730_G5">#REF!</definedName>
    <definedName name="S730_G6">#REF!</definedName>
    <definedName name="S740_G1">#REF!</definedName>
    <definedName name="S740_G2">#REF!</definedName>
    <definedName name="S740_G3">#REF!</definedName>
    <definedName name="S740_G4">#REF!</definedName>
    <definedName name="S740_G5">#REF!</definedName>
    <definedName name="S740_G6">#REF!</definedName>
    <definedName name="S750_G1">#REF!</definedName>
    <definedName name="S750_G2">#REF!</definedName>
    <definedName name="S750_G3">#REF!</definedName>
    <definedName name="S750_G4">#REF!</definedName>
    <definedName name="S750_G5">#REF!</definedName>
    <definedName name="S750_G6">#REF!</definedName>
    <definedName name="S760_G1">#REF!</definedName>
    <definedName name="S760_G2">#REF!</definedName>
    <definedName name="S760_G3">#REF!</definedName>
    <definedName name="S760_G4">#REF!</definedName>
    <definedName name="S760_G5">#REF!</definedName>
    <definedName name="S760_G6">#REF!</definedName>
    <definedName name="S770_G1">#REF!</definedName>
    <definedName name="S770_G2">#REF!</definedName>
    <definedName name="S770_G3">#REF!</definedName>
    <definedName name="S770_G4">#REF!</definedName>
    <definedName name="S770_G5">#REF!</definedName>
    <definedName name="S770_G6">#REF!</definedName>
    <definedName name="S780_G1">#REF!</definedName>
    <definedName name="S780_G2">#REF!</definedName>
    <definedName name="S780_G3">#REF!</definedName>
    <definedName name="S780_G4">#REF!</definedName>
    <definedName name="S780_G5">#REF!</definedName>
    <definedName name="S780_G6">#REF!</definedName>
    <definedName name="S790_G1">#REF!</definedName>
    <definedName name="S790_G2">#REF!</definedName>
    <definedName name="S790_G3">#REF!</definedName>
    <definedName name="S790_G4">#REF!</definedName>
    <definedName name="S790_G5">#REF!</definedName>
    <definedName name="S790_G6">#REF!</definedName>
    <definedName name="S8_">#REF!</definedName>
    <definedName name="S80_G1">#REF!</definedName>
    <definedName name="S80_G2">#REF!</definedName>
    <definedName name="S80_G3">#REF!</definedName>
    <definedName name="S80_G4">#REF!</definedName>
    <definedName name="S80_G5">#REF!</definedName>
    <definedName name="S80_G6">#REF!</definedName>
    <definedName name="S800_G1">#REF!</definedName>
    <definedName name="S800_G2">#REF!</definedName>
    <definedName name="S800_G3">#REF!</definedName>
    <definedName name="S800_G4">#REF!</definedName>
    <definedName name="S800_G5">#REF!</definedName>
    <definedName name="S800_G6">#REF!</definedName>
    <definedName name="S810_G1">#REF!</definedName>
    <definedName name="S810_G2">#REF!</definedName>
    <definedName name="S810_G3">#REF!</definedName>
    <definedName name="S810_G4">#REF!</definedName>
    <definedName name="S810_G5">#REF!</definedName>
    <definedName name="S810_G6">#REF!</definedName>
    <definedName name="S820_G1">#REF!</definedName>
    <definedName name="S820_G2">#REF!</definedName>
    <definedName name="S820_G3">#REF!</definedName>
    <definedName name="S820_G4">#REF!</definedName>
    <definedName name="S820_G5">#REF!</definedName>
    <definedName name="S820_G6">#REF!</definedName>
    <definedName name="S830_G1">#REF!</definedName>
    <definedName name="S830_G2">#REF!</definedName>
    <definedName name="S830_G3">#REF!</definedName>
    <definedName name="S830_G4">#REF!</definedName>
    <definedName name="S830_G5">#REF!</definedName>
    <definedName name="S830_G6">#REF!</definedName>
    <definedName name="S840_G1">#REF!</definedName>
    <definedName name="S840_G2">#REF!</definedName>
    <definedName name="S840_G3">#REF!</definedName>
    <definedName name="S840_G4">#REF!</definedName>
    <definedName name="S840_G5">#REF!</definedName>
    <definedName name="S840_G6">#REF!</definedName>
    <definedName name="S9_">#REF!</definedName>
    <definedName name="S90_G1">#REF!</definedName>
    <definedName name="S90_G2">#REF!</definedName>
    <definedName name="S90_G3">#REF!</definedName>
    <definedName name="S90_G4">#REF!</definedName>
    <definedName name="S90_G5">#REF!</definedName>
    <definedName name="S90_G6">#REF!</definedName>
    <definedName name="sadf">#REF!</definedName>
    <definedName name="Salaries_Prcnt_Sales">#REF!</definedName>
    <definedName name="Salary">#REF!</definedName>
    <definedName name="Salary_AD">#REF!</definedName>
    <definedName name="Salary_CD">#REF!</definedName>
    <definedName name="Salary_CS">#REF!</definedName>
    <definedName name="Salary_FD">#REF!</definedName>
    <definedName name="Salary_Free">#REF!</definedName>
    <definedName name="Salary_MD">#REF!</definedName>
    <definedName name="Salary_PR">#REF!</definedName>
    <definedName name="Salary_TD">#REF!</definedName>
    <definedName name="Sales_groupunits">#REF!</definedName>
    <definedName name="Sales_groupunits_F19">#REF!</definedName>
    <definedName name="Sales_to_related_parties">#REF!</definedName>
    <definedName name="Sales1">#REF!</definedName>
    <definedName name="Sales2">#REF!</definedName>
    <definedName name="Sales3">#REF!</definedName>
    <definedName name="Sales4">#REF!</definedName>
    <definedName name="Sales5">#REF!</definedName>
    <definedName name="Sales6">#REF!</definedName>
    <definedName name="Sales7">#REF!</definedName>
    <definedName name="Sales8">#REF!</definedName>
    <definedName name="SalesArea">#REF!</definedName>
    <definedName name="SalesSU1">#REF!</definedName>
    <definedName name="SalesSU2">#REF!</definedName>
    <definedName name="SalesSU3">#REF!</definedName>
    <definedName name="SalesSU4">#REF!</definedName>
    <definedName name="SalesSU5">#REF!</definedName>
    <definedName name="SalesSU6">#REF!</definedName>
    <definedName name="SalesSU7">#REF!</definedName>
    <definedName name="SalesSU8">#REF!</definedName>
    <definedName name="samle">#REF!</definedName>
    <definedName name="sample">#REF!</definedName>
    <definedName name="Sample_Size">#REF!</definedName>
    <definedName name="Sampled_Stratum_total">#REF!</definedName>
    <definedName name="sas">#REF!</definedName>
    <definedName name="SATBLT">#REF!</definedName>
    <definedName name="SATBUS">#REF!</definedName>
    <definedName name="SATRAP">#REF!</definedName>
    <definedName name="scaffoldhrspertonne">#REF!</definedName>
    <definedName name="scaffoldinglabourperc">#REF!</definedName>
    <definedName name="Scen">#REF!</definedName>
    <definedName name="Scen_int">#REF!</definedName>
    <definedName name="ScenV">#REF!</definedName>
    <definedName name="Sched_Pay">#REF!</definedName>
    <definedName name="Schedule_Code">#REF!</definedName>
    <definedName name="Scheduled_Extra_Payments">#REF!</definedName>
    <definedName name="Scheduled_Interest_Rate">#REF!</definedName>
    <definedName name="Scheduled_Monthly_Payment">#REF!</definedName>
    <definedName name="SCNCF_10">#REF!</definedName>
    <definedName name="SCNCF_11">#REF!</definedName>
    <definedName name="SCNCF_2">#REF!</definedName>
    <definedName name="SCNCF_3">#REF!</definedName>
    <definedName name="SCNCF_4">#REF!</definedName>
    <definedName name="SCNCF_5">#REF!</definedName>
    <definedName name="SCNCF_6">#REF!</definedName>
    <definedName name="SCNCF_7">#REF!</definedName>
    <definedName name="SCNCF_8">#REF!</definedName>
    <definedName name="SCNCF_9">#REF!</definedName>
    <definedName name="SD">#REF!</definedName>
    <definedName name="sdas">#REF!</definedName>
    <definedName name="SDBC_1">#REF!</definedName>
    <definedName name="SDBC_10">#REF!</definedName>
    <definedName name="SDBC_11">#REF!</definedName>
    <definedName name="SDBC_2">#REF!</definedName>
    <definedName name="SDBC_3">#REF!</definedName>
    <definedName name="SDBC_4">#REF!</definedName>
    <definedName name="SDBC_5">#REF!</definedName>
    <definedName name="SDBC_6">#REF!</definedName>
    <definedName name="SDBC_7">#REF!</definedName>
    <definedName name="SDBC_8">#REF!</definedName>
    <definedName name="SDBC_9">#REF!</definedName>
    <definedName name="sdc">#REF!</definedName>
    <definedName name="SDC_1">#REF!</definedName>
    <definedName name="SDCTC_1">#REF!</definedName>
    <definedName name="SDCTC_10">#REF!</definedName>
    <definedName name="SDCTC_11">#REF!</definedName>
    <definedName name="SDCTC_2">#REF!</definedName>
    <definedName name="SDCTC_3">#REF!</definedName>
    <definedName name="SDCTC_4">#REF!</definedName>
    <definedName name="SDCTC_5">#REF!</definedName>
    <definedName name="SDCTC_6">#REF!</definedName>
    <definedName name="SDCTC_7">#REF!</definedName>
    <definedName name="SDCTC_8">#REF!</definedName>
    <definedName name="SDCTC_9">#REF!</definedName>
    <definedName name="SDCTP_1">#REF!</definedName>
    <definedName name="SDCTP_10">#REF!</definedName>
    <definedName name="SDCTP_11">#REF!</definedName>
    <definedName name="SDCTP_2">#REF!</definedName>
    <definedName name="SDCTP_3">#REF!</definedName>
    <definedName name="SDCTP_4">#REF!</definedName>
    <definedName name="SDCTP_5">#REF!</definedName>
    <definedName name="SDCTP_6">#REF!</definedName>
    <definedName name="SDCTP_7">#REF!</definedName>
    <definedName name="SDCTP_8">#REF!</definedName>
    <definedName name="SDCTP_9">#REF!</definedName>
    <definedName name="sdf">#REF!</definedName>
    <definedName name="sdhks">#REF!</definedName>
    <definedName name="SDRCP_1">#REF!</definedName>
    <definedName name="SDRCP_10">#REF!</definedName>
    <definedName name="SDRCP_11">#REF!</definedName>
    <definedName name="SDRCP_2">#REF!</definedName>
    <definedName name="SDRCP_3">#REF!</definedName>
    <definedName name="SDRCP_4">#REF!</definedName>
    <definedName name="SDRCP_5">#REF!</definedName>
    <definedName name="SDRCP_6">#REF!</definedName>
    <definedName name="SDRCP_7">#REF!</definedName>
    <definedName name="SDRCP_8">#REF!</definedName>
    <definedName name="SDRCP_9">#REF!</definedName>
    <definedName name="sdsd">#REF!</definedName>
    <definedName name="sdsdf_dfd_12">#REF!</definedName>
    <definedName name="seafastenperc">#REF!</definedName>
    <definedName name="Sebest">#REF!</definedName>
    <definedName name="SEK">#REF!</definedName>
    <definedName name="Selection_Remainder">#REF!</definedName>
    <definedName name="SellingExp">#REF!</definedName>
    <definedName name="SENS_APPRAIS">#REF!</definedName>
    <definedName name="SENS_DECOMM">#REF!</definedName>
    <definedName name="SENS_DEV_CAPEX_DRL">#REF!</definedName>
    <definedName name="SENS_DEV_CAPEX_INFR">#REF!</definedName>
    <definedName name="SENS_DEV_CAPEX_OFFSH">#REF!</definedName>
    <definedName name="SENS_DEV_CAPEX_ONSH">#REF!</definedName>
    <definedName name="SENS_DEV_CAPEX_PIPE">#REF!</definedName>
    <definedName name="SENS_GenAdm">#REF!</definedName>
    <definedName name="Sens_oilprice_1">#REF!</definedName>
    <definedName name="Sens_oilprice_1_0">#REF!</definedName>
    <definedName name="SENS_OPEX">#REF!</definedName>
    <definedName name="SENS_PRICE_COND">#REF!</definedName>
    <definedName name="SENS_PRICE_GAS">#REF!</definedName>
    <definedName name="SENS_PRICE_LPG">#REF!</definedName>
    <definedName name="SENS_PRICE_OIL">#REF!</definedName>
    <definedName name="SENS_PRICE_SULPH">#REF!</definedName>
    <definedName name="SENS_PROD_OIL">#REF!</definedName>
    <definedName name="SENS_PROD_OTHER">#REF!</definedName>
    <definedName name="SENS_TRANSP_OIL1">#REF!</definedName>
    <definedName name="SENS_TRANSP_OIL2">#REF!</definedName>
    <definedName name="SENS_TRANSP_OIL3">#REF!</definedName>
    <definedName name="SENS_TRANSP_OIL4">#REF!</definedName>
    <definedName name="sensfactorexport">#REF!</definedName>
    <definedName name="ser">#REF!</definedName>
    <definedName name="ServiceContractsGondolaShareInput">#REF!</definedName>
    <definedName name="sex">#REF!</definedName>
    <definedName name="SFC">#REF!</definedName>
    <definedName name="SFC_1">#REF!</definedName>
    <definedName name="sfd">#REF!</definedName>
    <definedName name="sfdknf">#REF!</definedName>
    <definedName name="SFR">#REF!</definedName>
    <definedName name="sg">#REF!</definedName>
    <definedName name="SGA">#REF!</definedName>
    <definedName name="SGA_BankComission">#REF!</definedName>
    <definedName name="SGA_Insurance">#REF!</definedName>
    <definedName name="SGA_Marketing">#REF!</definedName>
    <definedName name="SGA_OtherForCIT">#REF!</definedName>
    <definedName name="SGA_OtherForVAT">#REF!</definedName>
    <definedName name="SGA_OtherNotForCIT">#REF!</definedName>
    <definedName name="SGA_OtherNotForVAT">#REF!</definedName>
    <definedName name="SGA_ProfServices">#REF!</definedName>
    <definedName name="SGA_Staff">#REF!</definedName>
    <definedName name="Shapka">#REF!</definedName>
    <definedName name="Shapka1">#REF!</definedName>
    <definedName name="Shapka10">#REF!</definedName>
    <definedName name="ShareForeignClientsInput">#REF!</definedName>
    <definedName name="ShareFXInput">#REF!</definedName>
    <definedName name="ShareInStockBoxcars">#REF!</definedName>
    <definedName name="ShareInStockDumpcars">#REF!</definedName>
    <definedName name="ShareInStockFlatcars40">#REF!</definedName>
    <definedName name="ShareInStockFlatcars80">#REF!</definedName>
    <definedName name="ShareInStockFlatcarsOther">#REF!</definedName>
    <definedName name="ShareInStockGondolas">#REF!</definedName>
    <definedName name="ShareInStockLocomotives">#REF!</definedName>
    <definedName name="ShareInStockLPG">#REF!</definedName>
    <definedName name="ShareInStockOil">#REF!</definedName>
    <definedName name="SharePrice">#REF!</definedName>
    <definedName name="shares">#REF!</definedName>
    <definedName name="ShareTaxRolledSteelReturnInput">#REF!</definedName>
    <definedName name="Sheet1">#REF!</definedName>
    <definedName name="Sheet1_BNE_MESSAGES">#REF!</definedName>
    <definedName name="Sheet1_BNE_MESSAGES_HIDDEN">#REF!</definedName>
    <definedName name="Sheet1_BNE_MESSAGES_LAMP">#REF!</definedName>
    <definedName name="Sheet1_BNE_UPLOAD">#REF!</definedName>
    <definedName name="Sheet1_GL_INTERFACE_ACCOUNTING_DATE">#REF!</definedName>
    <definedName name="Sheet1_GL_INTERFACE_ACTUAL_FLAG">#REF!</definedName>
    <definedName name="Sheet1_GL_INTERFACE_CURRENCY_CODE">#REF!</definedName>
    <definedName name="Sheet1_GL_INTERFACE_DATABASE">#REF!</definedName>
    <definedName name="Sheet1_GL_INTERFACE_ENTERED_CR">#REF!</definedName>
    <definedName name="Sheet1_GL_INTERFACE_ENTERED_DR">#REF!</definedName>
    <definedName name="Sheet1_GL_INTERFACE_GROUP_ID">#REF!</definedName>
    <definedName name="Sheet1_GL_INTERFACE_ORIGINATING_BAL_SEG_VALUE">#REF!</definedName>
    <definedName name="Sheet1_GL_INTERFACE_REFERENCE1">#REF!</definedName>
    <definedName name="Sheet1_GL_INTERFACE_REFERENCE10">#REF!</definedName>
    <definedName name="Sheet1_GL_INTERFACE_REFERENCE4">#REF!</definedName>
    <definedName name="Sheet1_GL_INTERFACE_REFERENCE5">#REF!</definedName>
    <definedName name="Sheet1_GL_INTERFACE_REFERENCE6">#REF!</definedName>
    <definedName name="Sheet1_GL_INTERFACE_REFERENCE7">#REF!</definedName>
    <definedName name="Sheet1_GL_INTERFACE_REFERENCE8">#REF!</definedName>
    <definedName name="Sheet1_GL_INTERFACE_SEGMENT1">#REF!</definedName>
    <definedName name="Sheet1_GL_INTERFACE_SEGMENT2">#REF!</definedName>
    <definedName name="Sheet1_GL_INTERFACE_SEGMENT3">#REF!</definedName>
    <definedName name="Sheet1_GL_INTERFACE_SEGMENT4">#REF!</definedName>
    <definedName name="Sheet1_GL_INTERFACE_SEGMENT5">#REF!</definedName>
    <definedName name="Sheet1_GL_INTERFACE_SEGMENT6">#REF!</definedName>
    <definedName name="Sheet1_GL_INTERFACE_SEGMENT7">#REF!</definedName>
    <definedName name="Sheet1_GL_INTERFACE_SET_OF_BOOKS_ID">#REF!</definedName>
    <definedName name="Sheet1_GL_INTERFACE_STAT_AMOUNT">#REF!</definedName>
    <definedName name="Sheet1_GL_INTERFACE_USER_JE_CATEGORY_NAME">#REF!</definedName>
    <definedName name="Sheet1_GL_INTERFACE_USER_JE_SOURCE_NAME">#REF!</definedName>
    <definedName name="ShEquity">#REF!</definedName>
    <definedName name="ShEquity1">#REF!</definedName>
    <definedName name="SHetts">#REF!</definedName>
    <definedName name="SideFramesCost">#REF!</definedName>
    <definedName name="Simulation_Oil_Price">#REF!</definedName>
    <definedName name="siteallow">#REF!</definedName>
    <definedName name="sitelabrateatshore">#REF!</definedName>
    <definedName name="sjdhks">#REF!</definedName>
    <definedName name="skjdlksl">#REF!</definedName>
    <definedName name="Slovakia_CPI">#REF!</definedName>
    <definedName name="SnrDebt1Amount">#REF!</definedName>
    <definedName name="SnrDebt1Term">#REF!</definedName>
    <definedName name="SnrDebt2Amount">#REF!</definedName>
    <definedName name="SnrDebt2Term">#REF!</definedName>
    <definedName name="SOC">#REF!</definedName>
    <definedName name="SOC_1">#REF!</definedName>
    <definedName name="SOCFUND">#REF!</definedName>
    <definedName name="spare10">#REF!</definedName>
    <definedName name="spare6">#REF!</definedName>
    <definedName name="spare7">#REF!</definedName>
    <definedName name="spare8">#REF!</definedName>
    <definedName name="spare9">#REF!</definedName>
    <definedName name="SpecContainersAcquisitions">#REF!</definedName>
    <definedName name="SponsorshipInput">#REF!</definedName>
    <definedName name="sQDWQ">#REF!</definedName>
    <definedName name="ss">#REF!</definedName>
    <definedName name="ss260_1">#REF!</definedName>
    <definedName name="ss260_10">#REF!</definedName>
    <definedName name="ss260_11">#REF!</definedName>
    <definedName name="ss260_12">#REF!</definedName>
    <definedName name="ss260_13">#REF!</definedName>
    <definedName name="ss260_14">#REF!</definedName>
    <definedName name="ss260_15">#REF!</definedName>
    <definedName name="ss260_16">#REF!</definedName>
    <definedName name="ss260_17">#REF!</definedName>
    <definedName name="ss260_18">#REF!</definedName>
    <definedName name="ss260_19">#REF!</definedName>
    <definedName name="ss260_2">#REF!</definedName>
    <definedName name="ss260_20">#REF!</definedName>
    <definedName name="ss260_3">#REF!</definedName>
    <definedName name="ss260_4">#REF!</definedName>
    <definedName name="ss260_5">#REF!</definedName>
    <definedName name="ss260_6">#REF!</definedName>
    <definedName name="ss260_7">#REF!</definedName>
    <definedName name="ss260_8">#REF!</definedName>
    <definedName name="ss260_9">#REF!</definedName>
    <definedName name="sss">#REF!</definedName>
    <definedName name="ssss">#REF!</definedName>
    <definedName name="ssssss">#REF!</definedName>
    <definedName name="st">#REF!</definedName>
    <definedName name="staff">#REF!</definedName>
    <definedName name="StaffGrowthServicesInput">#REF!</definedName>
    <definedName name="stag">#REF!</definedName>
    <definedName name="Standard_Daily_Hours">#REF!</definedName>
    <definedName name="Start">#REF!</definedName>
    <definedName name="Starting_Point">#REF!</definedName>
    <definedName name="starting_weight">#REF!</definedName>
    <definedName name="StartSeller">#REF!</definedName>
    <definedName name="Stationary_AD">#REF!</definedName>
    <definedName name="Stationary_CD">#REF!</definedName>
    <definedName name="Stationary_FD">#REF!</definedName>
    <definedName name="Stationary_Free">#REF!</definedName>
    <definedName name="Stationary_PR">#REF!</definedName>
    <definedName name="Stationary_TD">#REF!</definedName>
    <definedName name="statutory_rate">#REF!</definedName>
    <definedName name="Std_Hrs">#REF!</definedName>
    <definedName name="Stratum_100">#REF!</definedName>
    <definedName name="Stratum_100_Hits">#REF!</definedName>
    <definedName name="Stratum_100_Sample_Size">#REF!</definedName>
    <definedName name="SU01F">#REF!</definedName>
    <definedName name="subcategories">#REF!</definedName>
    <definedName name="subHUC">#REF!</definedName>
    <definedName name="subinst">#REF!</definedName>
    <definedName name="subs">#REF!</definedName>
    <definedName name="subsys">#REF!</definedName>
    <definedName name="subtotal">#REF!</definedName>
    <definedName name="subtotalpipelines">#REF!</definedName>
    <definedName name="sul">#REF!</definedName>
    <definedName name="Sum_Fact_Rang1_1">#REF!</definedName>
    <definedName name="Sum_Fact_Rang1_2">#REF!</definedName>
    <definedName name="Sum_Fact_Rang1_3">#REF!</definedName>
    <definedName name="Sum_Fact_Rang1_4">#REF!</definedName>
    <definedName name="Sum_Fact_Rang1_5">#REF!</definedName>
    <definedName name="Sum_Fact_Rang1_6">#REF!</definedName>
    <definedName name="Sum_Fact_Rang1_7">#REF!</definedName>
    <definedName name="Sum_Fact_Rang1_8">#REF!</definedName>
    <definedName name="Sum_Fact_Rang2_2">#REF!</definedName>
    <definedName name="Sum_Fact_Rang2_3">#REF!</definedName>
    <definedName name="Sum_Fact_Rang2_4">#REF!</definedName>
    <definedName name="Sum_Fact_Rang2_5">#REF!</definedName>
    <definedName name="Sum_Fact_Rang2_6">#REF!</definedName>
    <definedName name="Sum_Fact_Rang2_7">#REF!</definedName>
    <definedName name="Sum_Fact_Rang2_8">#REF!</definedName>
    <definedName name="Sum_Fact_Rang3_3">#REF!</definedName>
    <definedName name="Sum_Fact_Rang3_4">#REF!</definedName>
    <definedName name="Sum_Fact_Rang3_5">#REF!</definedName>
    <definedName name="Sum_Fact_Rang3_6">#REF!</definedName>
    <definedName name="Sum_Fact_Rang3_7">#REF!</definedName>
    <definedName name="Sum_Fact_Rang3_8">#REF!</definedName>
    <definedName name="Sum_Fact_Rang4_4">#REF!</definedName>
    <definedName name="Sum_Fact_Rang4_5">#REF!</definedName>
    <definedName name="Sum_Fact_Rang4_6">#REF!</definedName>
    <definedName name="Sum_Fact_Rang4_7">#REF!</definedName>
    <definedName name="Sum_Fact_Rang4_8">#REF!</definedName>
    <definedName name="Sum_Fact_Rang5_5">#REF!</definedName>
    <definedName name="Sum_Fact_Rang5_6">#REF!</definedName>
    <definedName name="Sum_Fact_Rang5_7">#REF!</definedName>
    <definedName name="Sum_Fact_Rang5_8">#REF!</definedName>
    <definedName name="Sum_Fact_Rang6_6">#REF!</definedName>
    <definedName name="Sum_Fact_Rang6_7">#REF!</definedName>
    <definedName name="Sum_Fact_Rang6_8">#REF!</definedName>
    <definedName name="Sum_Fact_Rang7_7">#REF!</definedName>
    <definedName name="Sum_Fact_Rang7_8">#REF!</definedName>
    <definedName name="Sum_Fact_Rang8_8">#REF!</definedName>
    <definedName name="SummaryTotal">#REF!</definedName>
    <definedName name="supnhoursperc">#REF!</definedName>
    <definedName name="supp">#REF!</definedName>
    <definedName name="supplyvesselunitrate">#REF!</definedName>
    <definedName name="suprnlabrate">#REF!</definedName>
    <definedName name="sure">#REF!</definedName>
    <definedName name="surveyrate">#REF!</definedName>
    <definedName name="sus4Q">#REF!</definedName>
    <definedName name="SUSPE">#REF!</definedName>
    <definedName name="SUSPEN">#REF!</definedName>
    <definedName name="susrecl">#REF!</definedName>
    <definedName name="sv">#REF!</definedName>
    <definedName name="Switch">#REF!</definedName>
    <definedName name="Switzerland_CPI">#REF!</definedName>
    <definedName name="SyncrudeJV">#REF!</definedName>
    <definedName name="SyncrudeJV1">#REF!</definedName>
    <definedName name="t">#REF!</definedName>
    <definedName name="t_4_b">#REF!</definedName>
    <definedName name="T_4_b_1">#REF!</definedName>
    <definedName name="t1b00">#REF!</definedName>
    <definedName name="t1b01">#REF!</definedName>
    <definedName name="t1c00">#REF!</definedName>
    <definedName name="t1c01">#REF!</definedName>
    <definedName name="t1d00">#REF!</definedName>
    <definedName name="t1d01">#REF!</definedName>
    <definedName name="t1e01">#REF!</definedName>
    <definedName name="t1f00">#REF!</definedName>
    <definedName name="t1f01">#REF!</definedName>
    <definedName name="t1g00">#REF!</definedName>
    <definedName name="t1g01">#REF!</definedName>
    <definedName name="t1i00">#REF!</definedName>
    <definedName name="t1i01">#REF!</definedName>
    <definedName name="t1k00">#REF!</definedName>
    <definedName name="t1k01">#REF!</definedName>
    <definedName name="t2c00">#REF!</definedName>
    <definedName name="t2c01">#REF!</definedName>
    <definedName name="t2d00">#REF!</definedName>
    <definedName name="t2d01">#REF!</definedName>
    <definedName name="t2f00">#REF!</definedName>
    <definedName name="t2f01">#REF!</definedName>
    <definedName name="t2g00">#REF!</definedName>
    <definedName name="t2g01">#REF!</definedName>
    <definedName name="t2g02">#REF!</definedName>
    <definedName name="t2h00">#REF!</definedName>
    <definedName name="t2h01">#REF!</definedName>
    <definedName name="t2i00">#REF!</definedName>
    <definedName name="t2i01">#REF!</definedName>
    <definedName name="t2k00">#REF!</definedName>
    <definedName name="t2k01">#REF!</definedName>
    <definedName name="t3h00">#REF!</definedName>
    <definedName name="t3h01">#REF!</definedName>
    <definedName name="t4b">#REF!</definedName>
    <definedName name="t4b00">#REF!</definedName>
    <definedName name="t4b01">#REF!</definedName>
    <definedName name="t4c00">#REF!</definedName>
    <definedName name="t4c01">#REF!</definedName>
    <definedName name="t4d00">#REF!</definedName>
    <definedName name="t4d01">#REF!</definedName>
    <definedName name="t4d1">#REF!</definedName>
    <definedName name="t4f00">#REF!</definedName>
    <definedName name="t4f01">#REF!</definedName>
    <definedName name="t4g00">#REF!</definedName>
    <definedName name="t4g01">#REF!</definedName>
    <definedName name="t4h00">#REF!</definedName>
    <definedName name="t4h01">#REF!</definedName>
    <definedName name="t4i00">#REF!</definedName>
    <definedName name="t4i01">#REF!</definedName>
    <definedName name="t4k00">#REF!</definedName>
    <definedName name="t4k01">#REF!</definedName>
    <definedName name="t5b">#REF!</definedName>
    <definedName name="t5b00">#REF!</definedName>
    <definedName name="t5b01">#REF!</definedName>
    <definedName name="t5c00">#REF!</definedName>
    <definedName name="t5c01">#REF!</definedName>
    <definedName name="t5d00">#REF!</definedName>
    <definedName name="t5d01">#REF!</definedName>
    <definedName name="t5f00">#REF!</definedName>
    <definedName name="t5f01">#REF!</definedName>
    <definedName name="t5g00">#REF!</definedName>
    <definedName name="t5g01">#REF!</definedName>
    <definedName name="t5h00">#REF!</definedName>
    <definedName name="t5h01">#REF!</definedName>
    <definedName name="t5i00">#REF!</definedName>
    <definedName name="t5i01">#REF!</definedName>
    <definedName name="t5k00">#REF!</definedName>
    <definedName name="t5k01">#REF!</definedName>
    <definedName name="t6b">#REF!</definedName>
    <definedName name="TA_1">#REF!</definedName>
    <definedName name="TA_10">#REF!</definedName>
    <definedName name="TA_11">#REF!</definedName>
    <definedName name="TA_2">#REF!</definedName>
    <definedName name="TA_3">#REF!</definedName>
    <definedName name="TA_4">#REF!</definedName>
    <definedName name="TA_5">#REF!</definedName>
    <definedName name="TA_6">#REF!</definedName>
    <definedName name="TA_7">#REF!</definedName>
    <definedName name="TA_8">#REF!</definedName>
    <definedName name="TA_9">#REF!</definedName>
    <definedName name="tabcum">#REF!</definedName>
    <definedName name="table">#REF!</definedName>
    <definedName name="table1">#REF!</definedName>
    <definedName name="Table10">#REF!</definedName>
    <definedName name="Table13">#REF!</definedName>
    <definedName name="Table14">#REF!</definedName>
    <definedName name="Table19">#REF!</definedName>
    <definedName name="table2">#REF!</definedName>
    <definedName name="Table20">#REF!</definedName>
    <definedName name="Table21">#REF!</definedName>
    <definedName name="Table22">#REF!</definedName>
    <definedName name="Table7">#REF!</definedName>
    <definedName name="Table8">#REF!</definedName>
    <definedName name="Table9">#REF!</definedName>
    <definedName name="TableC">#REF!</definedName>
    <definedName name="Tables_text">#REF!</definedName>
    <definedName name="TABMOIS">#REF!</definedName>
    <definedName name="TanDrilPercent">#REF!</definedName>
    <definedName name="TanksSecurity">#REF!</definedName>
    <definedName name="TargetIRR">#REF!</definedName>
    <definedName name="tax">#REF!</definedName>
    <definedName name="Tax_Effect_Income">#REF!</definedName>
    <definedName name="Tax_Effect_Liabs">#REF!</definedName>
    <definedName name="Tax_Effect_RetEarn">#REF!</definedName>
    <definedName name="Tax_Rate">#REF!</definedName>
    <definedName name="tax15GRP">#REF!</definedName>
    <definedName name="tax200GRP">#REF!</definedName>
    <definedName name="tax40GRP">#REF!</definedName>
    <definedName name="tax600GRP">#REF!</definedName>
    <definedName name="TaxableIncome">#REF!</definedName>
    <definedName name="TaxDepMethod">#REF!</definedName>
    <definedName name="TAXE">#REF!</definedName>
    <definedName name="taxlist">#REF!</definedName>
    <definedName name="taxrate">#REF!</definedName>
    <definedName name="TaxRate15">#REF!</definedName>
    <definedName name="taxrate2">#REF!</definedName>
    <definedName name="TaxRate200">#REF!</definedName>
    <definedName name="TaxRate40">#REF!</definedName>
    <definedName name="TaxRate600">#REF!</definedName>
    <definedName name="TaxRateMore600">#REF!</definedName>
    <definedName name="TB_AFTER_adjs">#REF!</definedName>
    <definedName name="TB_before_adjs">#REF!</definedName>
    <definedName name="TB63099N">#REF!</definedName>
    <definedName name="TBC">#REF!</definedName>
    <definedName name="TBCHANGE">#REF!</definedName>
    <definedName name="TBKZT">#REF!</definedName>
    <definedName name="tbl">#REF!</definedName>
    <definedName name="tbl_ProdInfo">#REF!</definedName>
    <definedName name="tbl_This_Month_K_Other">#REF!</definedName>
    <definedName name="TBS">#REF!</definedName>
    <definedName name="TBSEP">#REF!</definedName>
    <definedName name="TBSUN">#REF!</definedName>
    <definedName name="TBUSD">#REF!</definedName>
    <definedName name="TC_1">#REF!</definedName>
    <definedName name="TC_10">#REF!</definedName>
    <definedName name="TC_11">#REF!</definedName>
    <definedName name="TC_2">#REF!</definedName>
    <definedName name="TC_3">#REF!</definedName>
    <definedName name="TC_4">#REF!</definedName>
    <definedName name="TC_5">#REF!</definedName>
    <definedName name="TC_6">#REF!</definedName>
    <definedName name="TC_7">#REF!</definedName>
    <definedName name="TC_8">#REF!</definedName>
    <definedName name="TC_9">#REF!</definedName>
    <definedName name="TCodeNo">#REF!</definedName>
    <definedName name="TCOST">#REF!</definedName>
    <definedName name="TCOST_2">#REF!</definedName>
    <definedName name="TCOV_Share">#REF!</definedName>
    <definedName name="TCT_1">#REF!</definedName>
    <definedName name="TCT_10">#REF!</definedName>
    <definedName name="TCT_11">#REF!</definedName>
    <definedName name="TCT_2">#REF!</definedName>
    <definedName name="TCT_3">#REF!</definedName>
    <definedName name="TCT_4">#REF!</definedName>
    <definedName name="TCT_5">#REF!</definedName>
    <definedName name="TCT_6">#REF!</definedName>
    <definedName name="TCT_7">#REF!</definedName>
    <definedName name="TCT_8">#REF!</definedName>
    <definedName name="TCT_9">#REF!</definedName>
    <definedName name="TelecommunicationCosts">#REF!</definedName>
    <definedName name="temp">#REF!</definedName>
    <definedName name="temp_table">#REF!</definedName>
    <definedName name="temp1">#REF!</definedName>
    <definedName name="TEMP4">#REF!</definedName>
    <definedName name="templ_path">#REF!</definedName>
    <definedName name="Template">#REF!</definedName>
    <definedName name="templatechoice">#REF!</definedName>
    <definedName name="tempsteelperc">#REF!</definedName>
    <definedName name="Term_in_years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Description">#REF!</definedName>
    <definedName name="TESTHKEY">#REF!</definedName>
    <definedName name="TESTKEYS">#REF!</definedName>
    <definedName name="TESTVKEY">#REF!</definedName>
    <definedName name="texrefcopy245">#REF!</definedName>
    <definedName name="Text_column">#REF!</definedName>
    <definedName name="Text1">#REF!</definedName>
    <definedName name="TextA">#REF!</definedName>
    <definedName name="TextB1">#REF!</definedName>
    <definedName name="TextB2">#REF!</definedName>
    <definedName name="TextB3">#REF!</definedName>
    <definedName name="TextC">#REF!</definedName>
    <definedName name="TextD">#REF!</definedName>
    <definedName name="TextE">#REF!</definedName>
    <definedName name="TextF">#REF!</definedName>
    <definedName name="TextG">#REF!</definedName>
    <definedName name="TextH">#REF!</definedName>
    <definedName name="TextI">#REF!</definedName>
    <definedName name="TextJ">#REF!</definedName>
    <definedName name="TextK">#REF!</definedName>
    <definedName name="TextL">#REF!</definedName>
    <definedName name="TextM">#REF!</definedName>
    <definedName name="TextN">#REF!</definedName>
    <definedName name="TextO">#REF!</definedName>
    <definedName name="TextP">#REF!</definedName>
    <definedName name="TextQ">#REF!</definedName>
    <definedName name="TextR">#REF!</definedName>
    <definedName name="TextRefCopy1">#REF!</definedName>
    <definedName name="TextRefCopy10">#REF!</definedName>
    <definedName name="TextRefCopy100">#REF!</definedName>
    <definedName name="TextRefCopy101">#REF!</definedName>
    <definedName name="TextRefCopy102">#REF!</definedName>
    <definedName name="TextRefCopy103">#REF!</definedName>
    <definedName name="TextRefCopy104">#REF!</definedName>
    <definedName name="TextRefCopy105">#REF!</definedName>
    <definedName name="TextRefCopy106">#REF!</definedName>
    <definedName name="TextRefCopy107">#REF!</definedName>
    <definedName name="TextRefCopy108">#REF!</definedName>
    <definedName name="TextRefCopy109">#REF!</definedName>
    <definedName name="TextRefCopy11">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#REF!</definedName>
    <definedName name="TextRefCopy117">#REF!</definedName>
    <definedName name="TextRefCopy118">#REF!</definedName>
    <definedName name="TextRefCopy119">#REF!</definedName>
    <definedName name="TextRefCopy12">#REF!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#REF!</definedName>
    <definedName name="TextRefCopy127">#REF!</definedName>
    <definedName name="TextRefCopy128">#REF!</definedName>
    <definedName name="TextRefCopy129">#REF!</definedName>
    <definedName name="TextRefCopy13">#REF!</definedName>
    <definedName name="TextRefCopy130">#REF!</definedName>
    <definedName name="TextRefCopy131">#REF!</definedName>
    <definedName name="TextRefCopy132">#REF!</definedName>
    <definedName name="TextRefCopy133">#REF!</definedName>
    <definedName name="TextRefCopy134">#REF!</definedName>
    <definedName name="TextRefCopy135">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#REF!</definedName>
    <definedName name="TextRefCopy157">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2">#REF!</definedName>
    <definedName name="TextRefCopy163">#REF!</definedName>
    <definedName name="TextRefCopy164">#REF!</definedName>
    <definedName name="TextRefCopy165">#REF!</definedName>
    <definedName name="TextRefCopy166">#REF!</definedName>
    <definedName name="TextRefCopy167">#REF!</definedName>
    <definedName name="TextRefCopy168">#REF!</definedName>
    <definedName name="TextRefCopy169">#REF!</definedName>
    <definedName name="TextRefCopy17">#REF!</definedName>
    <definedName name="TextRefCopy170">#REF!</definedName>
    <definedName name="TextRefCopy171">#REF!</definedName>
    <definedName name="TextRefCopy172">#REF!</definedName>
    <definedName name="TextRefCopy173">#REF!</definedName>
    <definedName name="TextRefCopy174">#REF!</definedName>
    <definedName name="TextRefCopy175">#REF!</definedName>
    <definedName name="TextRefCopy176">#REF!</definedName>
    <definedName name="TextRefCopy177">#REF!</definedName>
    <definedName name="TextRefCopy178">#REF!</definedName>
    <definedName name="TextRefCopy179">#REF!</definedName>
    <definedName name="TextRefCopy18">#REF!</definedName>
    <definedName name="TextRefCopy180">#REF!</definedName>
    <definedName name="TextRefCopy181">#REF!</definedName>
    <definedName name="TextRefCopy182">#REF!</definedName>
    <definedName name="TextRefCopy183">#REF!</definedName>
    <definedName name="TextRefCopy184">#REF!</definedName>
    <definedName name="TextRefCopy185">#REF!</definedName>
    <definedName name="TextRefCopy186">#REF!</definedName>
    <definedName name="TextRefCopy187">#REF!</definedName>
    <definedName name="TextRefCopy188">#REF!</definedName>
    <definedName name="TextRefCopy189">#REF!</definedName>
    <definedName name="TextRefCopy19">#REF!</definedName>
    <definedName name="TextRefCopy190">#REF!</definedName>
    <definedName name="TextRefCopy191">#REF!</definedName>
    <definedName name="TextRefCopy192">#REF!</definedName>
    <definedName name="TextRefCopy193">#REF!</definedName>
    <definedName name="TextRefCopy194">#REF!</definedName>
    <definedName name="TextRefCopy195">#REF!</definedName>
    <definedName name="TextRefCopy196">#REF!</definedName>
    <definedName name="TextRefCopy197">#REF!</definedName>
    <definedName name="TextRefCopy198">#REF!</definedName>
    <definedName name="TextRefCopy199">#REF!</definedName>
    <definedName name="TextRefCopy2">#REF!</definedName>
    <definedName name="TextRefCopy20">#REF!</definedName>
    <definedName name="TextRefCopy200">#REF!</definedName>
    <definedName name="TextRefCopy201">#REF!</definedName>
    <definedName name="TextRefCopy202">#REF!</definedName>
    <definedName name="TextRefCopy203">#REF!</definedName>
    <definedName name="TextRefCopy204">#REF!</definedName>
    <definedName name="TextRefCopy205">#REF!</definedName>
    <definedName name="TextRefCopy206">#REF!</definedName>
    <definedName name="TextRefCopy207">#REF!</definedName>
    <definedName name="TextRefCopy208">#REF!</definedName>
    <definedName name="TextRefCopy209">#REF!</definedName>
    <definedName name="TextRefCopy21">#REF!</definedName>
    <definedName name="TextRefCopy210">#REF!</definedName>
    <definedName name="TextRefCopy211">#REF!</definedName>
    <definedName name="TextRefCopy212">#REF!</definedName>
    <definedName name="TextRefCopy213">#REF!</definedName>
    <definedName name="TextRefCopy214">#REF!</definedName>
    <definedName name="TextRefCopy215">#REF!</definedName>
    <definedName name="TextRefCopy216">#REF!</definedName>
    <definedName name="TextRefCopy217">#REF!</definedName>
    <definedName name="TextRefCopy218">#REF!</definedName>
    <definedName name="TextRefCopy219">#REF!</definedName>
    <definedName name="TextRefCopy22">#REF!</definedName>
    <definedName name="TextRefCopy220">#REF!</definedName>
    <definedName name="TextRefCopy221">#REF!</definedName>
    <definedName name="TextRefCopy222">#REF!</definedName>
    <definedName name="TextRefCopy223">#REF!</definedName>
    <definedName name="TextRefCopy224">#REF!</definedName>
    <definedName name="TextRefCopy225">#REF!</definedName>
    <definedName name="TextRefCopy226">#REF!</definedName>
    <definedName name="TextRefCopy227">#REF!</definedName>
    <definedName name="TextRefCopy228">#REF!</definedName>
    <definedName name="TextRefCopy229">#REF!</definedName>
    <definedName name="TextRefCopy23">#REF!</definedName>
    <definedName name="TextRefCopy230">#REF!</definedName>
    <definedName name="TextRefCopy231">#REF!</definedName>
    <definedName name="TextRefCopy232">#REF!</definedName>
    <definedName name="TextRefCopy233">#REF!</definedName>
    <definedName name="TextRefCopy234">#REF!</definedName>
    <definedName name="TextRefCopy235">#REF!</definedName>
    <definedName name="TextRefCopy236">#REF!</definedName>
    <definedName name="TextRefCopy237">#REF!</definedName>
    <definedName name="TextRefCopy238">#REF!</definedName>
    <definedName name="TextRefCopy239">#REF!</definedName>
    <definedName name="TextRefCopy24">#REF!</definedName>
    <definedName name="TextRefCopy240">#REF!</definedName>
    <definedName name="TextRefCopy241">#REF!</definedName>
    <definedName name="TextRefCopy242">#REF!</definedName>
    <definedName name="TextRefCopy243">#REF!</definedName>
    <definedName name="TextRefCopy244">#REF!</definedName>
    <definedName name="TextRefCopy245">#REF!</definedName>
    <definedName name="TextRefCopy246">#REF!</definedName>
    <definedName name="TextRefCopy247">#REF!</definedName>
    <definedName name="TextRefCopy248">#REF!</definedName>
    <definedName name="TextRefCopy249">#REF!</definedName>
    <definedName name="TextRefCopy25">#REF!</definedName>
    <definedName name="TextRefCopy250">#REF!</definedName>
    <definedName name="TextRefCopy251">#REF!</definedName>
    <definedName name="TextRefCopy252">#REF!</definedName>
    <definedName name="TextRefCopy253">#REF!</definedName>
    <definedName name="TextRefCopy254">#REF!</definedName>
    <definedName name="TextRefCopy255">#REF!</definedName>
    <definedName name="TextRefCopy256">#REF!</definedName>
    <definedName name="TextRefCopy257">#REF!</definedName>
    <definedName name="TextRefCopy258">#REF!</definedName>
    <definedName name="TextRefCopy259">#REF!</definedName>
    <definedName name="TextRefCopy26">#REF!</definedName>
    <definedName name="TextRefCopy260">#REF!</definedName>
    <definedName name="TextRefCopy261">#REF!</definedName>
    <definedName name="TextRefCopy262">#REF!</definedName>
    <definedName name="TextRefCopy263">#REF!</definedName>
    <definedName name="TextRefCopy264">#REF!</definedName>
    <definedName name="TextRefCopy265">#REF!</definedName>
    <definedName name="TextRefCopy266">#REF!</definedName>
    <definedName name="TextRefCopy267">#REF!</definedName>
    <definedName name="TextRefCopy268">#REF!</definedName>
    <definedName name="TextRefCopy269">#REF!</definedName>
    <definedName name="TextRefCopy27">#REF!</definedName>
    <definedName name="TextRefCopy270">#REF!</definedName>
    <definedName name="TextRefCopy271">#REF!</definedName>
    <definedName name="TextRefCopy272">#REF!</definedName>
    <definedName name="TextRefCopy273">#REF!</definedName>
    <definedName name="TextRefCopy274">#REF!</definedName>
    <definedName name="TextRefCopy275">#REF!</definedName>
    <definedName name="TextRefCopy276">#REF!</definedName>
    <definedName name="TextRefCopy277">#REF!</definedName>
    <definedName name="TextRefCopy278">#REF!</definedName>
    <definedName name="TextRefCopy279">#REF!</definedName>
    <definedName name="TextRefCopy28">#REF!</definedName>
    <definedName name="TextRefCopy280">#REF!</definedName>
    <definedName name="TextRefCopy281">#REF!</definedName>
    <definedName name="TextRefCopy282">#REF!</definedName>
    <definedName name="TextRefCopy283">#REF!</definedName>
    <definedName name="TextRefCopy284">#REF!</definedName>
    <definedName name="TextRefCopy285">#REF!</definedName>
    <definedName name="TextRefCopy287">#REF!</definedName>
    <definedName name="TextRefCopy288">#REF!</definedName>
    <definedName name="TextRefCopy289">#REF!</definedName>
    <definedName name="TextRefCopy29">#REF!</definedName>
    <definedName name="TextRefCopy290">#REF!</definedName>
    <definedName name="TextRefCopy291">#REF!</definedName>
    <definedName name="TextRefCopy292">#REF!</definedName>
    <definedName name="TextRefCopy293">#REF!</definedName>
    <definedName name="TextRefCopy294">#REF!</definedName>
    <definedName name="TextRefCopy295">#REF!</definedName>
    <definedName name="TextRefCopy296">#REF!</definedName>
    <definedName name="TextRefCopy297">#REF!</definedName>
    <definedName name="TextRefCopy298">#REF!</definedName>
    <definedName name="TextRefCopy299">#REF!</definedName>
    <definedName name="TextRefCopy3">#REF!</definedName>
    <definedName name="TextRefCopy30">#REF!</definedName>
    <definedName name="TextRefCopy300">#REF!</definedName>
    <definedName name="TextRefCopy301">#REF!</definedName>
    <definedName name="TextRefCopy302">#REF!</definedName>
    <definedName name="TextRefCopy304">#REF!</definedName>
    <definedName name="TextRefCopy305">#REF!</definedName>
    <definedName name="TextRefCopy306">#REF!</definedName>
    <definedName name="TextRefCopy307">#REF!</definedName>
    <definedName name="TextRefCopy308">#REF!</definedName>
    <definedName name="TextRefCopy309">#REF!</definedName>
    <definedName name="TextRefCopy31">#REF!</definedName>
    <definedName name="TextRefCopy310">#REF!</definedName>
    <definedName name="TextRefCopy311">#REF!</definedName>
    <definedName name="TextRefCopy312">#REF!</definedName>
    <definedName name="TextRefCopy313">#REF!</definedName>
    <definedName name="TextRefCopy314">#REF!</definedName>
    <definedName name="TextRefCopy315">#REF!</definedName>
    <definedName name="TextRefCopy316">#REF!</definedName>
    <definedName name="TextRefCopy317">#REF!</definedName>
    <definedName name="TextRefCopy318">#REF!</definedName>
    <definedName name="TextRefCopy319">#REF!</definedName>
    <definedName name="TextRefCopy32">#REF!</definedName>
    <definedName name="TextRefCopy320">#REF!</definedName>
    <definedName name="TextRefCopy321">#REF!</definedName>
    <definedName name="TextRefCopy322">#REF!</definedName>
    <definedName name="TextRefCopy323">#REF!</definedName>
    <definedName name="TextRefCopy324">#REF!</definedName>
    <definedName name="TextRefCopy325">#REF!</definedName>
    <definedName name="TextRefCopy326">#REF!</definedName>
    <definedName name="TextRefCopy327">#REF!</definedName>
    <definedName name="TextRefCopy328">#REF!</definedName>
    <definedName name="TextRefCopy329">#REF!</definedName>
    <definedName name="TextRefCopy33">#REF!</definedName>
    <definedName name="TextRefCopy330">#REF!</definedName>
    <definedName name="TextRefCopy331">#REF!</definedName>
    <definedName name="TextRefCopy332">#REF!</definedName>
    <definedName name="TextRefCopy333">#REF!</definedName>
    <definedName name="TextRefCopy334">#REF!</definedName>
    <definedName name="TextRefCopy335">#REF!</definedName>
    <definedName name="TextRefCopy336">#REF!</definedName>
    <definedName name="TextRefCopy337">#REF!</definedName>
    <definedName name="TextRefCopy338">#REF!</definedName>
    <definedName name="TextRefCopy339">#REF!</definedName>
    <definedName name="TextRefCopy34">#REF!</definedName>
    <definedName name="TextRefCopy340">#REF!</definedName>
    <definedName name="TextRefCopy341">#REF!</definedName>
    <definedName name="TextRefCopy342">#REF!</definedName>
    <definedName name="TextRefCopy343">#REF!</definedName>
    <definedName name="TextRefCopy344">#REF!</definedName>
    <definedName name="TextRefCopy345">#REF!</definedName>
    <definedName name="TextRefCopy346">#REF!</definedName>
    <definedName name="TextRefCopy347">#REF!</definedName>
    <definedName name="TextRefCopy348">#REF!</definedName>
    <definedName name="TextRefCopy349">#REF!</definedName>
    <definedName name="TextRefCopy35">#REF!</definedName>
    <definedName name="TextRefCopy350">#REF!</definedName>
    <definedName name="TextRefCopy351">#REF!</definedName>
    <definedName name="TextRefCopy352">#REF!</definedName>
    <definedName name="TextRefCopy353">#REF!</definedName>
    <definedName name="TextRefCopy354">#REF!</definedName>
    <definedName name="TextRefCopy355">#REF!</definedName>
    <definedName name="TextRefCopy356">#REF!</definedName>
    <definedName name="TextRefCopy357">#REF!</definedName>
    <definedName name="TextRefCopy358">#REF!</definedName>
    <definedName name="TextRefCopy359">#REF!</definedName>
    <definedName name="TextRefCopy36">#REF!</definedName>
    <definedName name="TextRefCopy360">#REF!</definedName>
    <definedName name="TextRefCopy361">#REF!</definedName>
    <definedName name="TextRefCopy362">#REF!</definedName>
    <definedName name="TextRefCopy363">#REF!</definedName>
    <definedName name="TextRefCopy364">#REF!</definedName>
    <definedName name="TextRefCopy365">#REF!</definedName>
    <definedName name="TextRefCopy366">#REF!</definedName>
    <definedName name="TextRefCopy367">#REF!</definedName>
    <definedName name="TextRefCopy368">#REF!</definedName>
    <definedName name="TextRefCopy369">#REF!</definedName>
    <definedName name="TextRefCopy37">#REF!</definedName>
    <definedName name="TextRefCopy370">#REF!</definedName>
    <definedName name="TextRefCopy371">#REF!</definedName>
    <definedName name="TextRefCopy372">#REF!</definedName>
    <definedName name="TextRefCopy373">#REF!</definedName>
    <definedName name="TextRefCopy377">#REF!</definedName>
    <definedName name="TextRefCopy379">#REF!</definedName>
    <definedName name="TextRefCopy38">#REF!</definedName>
    <definedName name="TextRefCopy380">#REF!</definedName>
    <definedName name="TextRefCopy382">#REF!</definedName>
    <definedName name="TextRefCopy384">#REF!</definedName>
    <definedName name="TextRefCopy385">#REF!</definedName>
    <definedName name="TextRefCopy387">#REF!</definedName>
    <definedName name="TextRefCopy389">#REF!</definedName>
    <definedName name="TextRefCopy39">#REF!</definedName>
    <definedName name="TextRefCopy391">#REF!</definedName>
    <definedName name="TextRefCopy393">#REF!</definedName>
    <definedName name="TextRefCopy394">#REF!</definedName>
    <definedName name="TextRefCopy395">#REF!</definedName>
    <definedName name="TextRefCopy396">#REF!</definedName>
    <definedName name="TextRefCopy397">#REF!</definedName>
    <definedName name="TextRefCopy398">#REF!</definedName>
    <definedName name="TextRefCopy399">#REF!</definedName>
    <definedName name="TextRefCopy4">#REF!</definedName>
    <definedName name="TextRefCopy40">#REF!</definedName>
    <definedName name="TextRefCopy400">#REF!</definedName>
    <definedName name="TextRefCopy401">#REF!</definedName>
    <definedName name="TextRefCopy402">#REF!</definedName>
    <definedName name="TextRefCopy403">#REF!</definedName>
    <definedName name="TextRefCopy407">#REF!</definedName>
    <definedName name="TextRefCopy408">#REF!</definedName>
    <definedName name="TextRefCopy41">#REF!</definedName>
    <definedName name="TextRefCopy417">#REF!</definedName>
    <definedName name="TextRefCopy418">#REF!</definedName>
    <definedName name="TextRefCopy42">#REF!</definedName>
    <definedName name="TextRefCopy421">#REF!</definedName>
    <definedName name="TextRefCopy422">#REF!</definedName>
    <definedName name="TextRefCopy423">#REF!</definedName>
    <definedName name="TextRefCopy424">#REF!</definedName>
    <definedName name="TextRefCopy425">#REF!</definedName>
    <definedName name="TextRefCopy427">#REF!</definedName>
    <definedName name="TextRefCopy428">#REF!</definedName>
    <definedName name="TextRefCopy43">#REF!</definedName>
    <definedName name="TextRefCopy430">#REF!</definedName>
    <definedName name="TextRefCopy44">#REF!</definedName>
    <definedName name="TextRefCopy446">#REF!</definedName>
    <definedName name="TextRefCopy45">#REF!</definedName>
    <definedName name="TextRefCopy46">#REF!</definedName>
    <definedName name="TextRefCopy465">#REF!</definedName>
    <definedName name="TextRefCopy467">#REF!</definedName>
    <definedName name="TextRefCopy47">#REF!</definedName>
    <definedName name="TextRefCopy472">#REF!</definedName>
    <definedName name="TextRefCopy48">#REF!</definedName>
    <definedName name="TextRefCopy482">#REF!</definedName>
    <definedName name="TextRefCopy483">#REF!</definedName>
    <definedName name="TextRefCopy486">#REF!</definedName>
    <definedName name="TextRefCopy49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#REF!</definedName>
    <definedName name="TextRefCopy92">#REF!</definedName>
    <definedName name="TextRefCopy93">#REF!</definedName>
    <definedName name="TextRefCopy94">#REF!</definedName>
    <definedName name="TextRefCopy95">#REF!</definedName>
    <definedName name="TextRefCopy96">#REF!</definedName>
    <definedName name="TextRefCopy97">#REF!</definedName>
    <definedName name="TextRefCopy98">#REF!</definedName>
    <definedName name="TextRefCopy99">#REF!</definedName>
    <definedName name="TextS">#REF!</definedName>
    <definedName name="TextT">#REF!</definedName>
    <definedName name="TextU">#REF!</definedName>
    <definedName name="TextV">#REF!</definedName>
    <definedName name="TextW">#REF!</definedName>
    <definedName name="TextX">#REF!</definedName>
    <definedName name="thirdpartyinsonperc">#REF!</definedName>
    <definedName name="This_date">#REF!</definedName>
    <definedName name="Thousands">#REF!</definedName>
    <definedName name="Threshold">#REF!</definedName>
    <definedName name="threshold1">#REF!</definedName>
    <definedName name="tid">#REF!</definedName>
    <definedName name="Time">#REF!</definedName>
    <definedName name="tipcell">#REF!</definedName>
    <definedName name="TITLE">#REF!</definedName>
    <definedName name="TKT">#REF!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MP_REPORT_R16Comp">#REF!</definedName>
    <definedName name="TOC_1">#REF!</definedName>
    <definedName name="TOC_10">#REF!</definedName>
    <definedName name="TOC_11">#REF!</definedName>
    <definedName name="TOC_2">#REF!</definedName>
    <definedName name="TOC_3">#REF!</definedName>
    <definedName name="TOC_4">#REF!</definedName>
    <definedName name="TOC_5">#REF!</definedName>
    <definedName name="TOC_6">#REF!</definedName>
    <definedName name="TOC_7">#REF!</definedName>
    <definedName name="TOC_8">#REF!</definedName>
    <definedName name="TOC_9">#REF!</definedName>
    <definedName name="Tod">#REF!</definedName>
    <definedName name="toleran">#REF!</definedName>
    <definedName name="TONMILL">#REF!</definedName>
    <definedName name="TONMIN">#REF!</definedName>
    <definedName name="Top_Stratum_Number">#REF!</definedName>
    <definedName name="Top_Stratum_Value">#REF!</definedName>
    <definedName name="TopR">#REF!</definedName>
    <definedName name="Topsidetonnes">#REF!</definedName>
    <definedName name="Tot_knw_Xfoot">#REF!</definedName>
    <definedName name="Tot_lik_Xfoot">#REF!</definedName>
    <definedName name="Total">#REF!</definedName>
    <definedName name="total_1">#REF!</definedName>
    <definedName name="Total_Amount">#REF!</definedName>
    <definedName name="Total_D_A">#REF!</definedName>
    <definedName name="Total_Interest">#REF!</definedName>
    <definedName name="Total_Name_rang1">#REF!</definedName>
    <definedName name="Total_Name_rang2">#REF!</definedName>
    <definedName name="Total_Number_Selections">#REF!</definedName>
    <definedName name="Total_Pay">#REF!</definedName>
    <definedName name="Total_Population2">#REF!</definedName>
    <definedName name="Total_R">#REF!</definedName>
    <definedName name="Total_rang1">#REF!</definedName>
    <definedName name="Total_rang2">#REF!</definedName>
    <definedName name="Total_Rest_Fact">#REF!</definedName>
    <definedName name="Total_Rest_Fact_R">#REF!</definedName>
    <definedName name="Total_Rest_Fact_rang1">#REF!</definedName>
    <definedName name="Total_Rest_Fact_rang2">#REF!</definedName>
    <definedName name="Total_Revenue">#REF!</definedName>
    <definedName name="total1">#REF!</definedName>
    <definedName name="total1_0">#REF!</definedName>
    <definedName name="total1_00">#REF!</definedName>
    <definedName name="total1_01">#REF!</definedName>
    <definedName name="total2_00">#REF!</definedName>
    <definedName name="total2_01">#REF!</definedName>
    <definedName name="total3_00">#REF!</definedName>
    <definedName name="total3_01">#REF!</definedName>
    <definedName name="total4_00">#REF!</definedName>
    <definedName name="total4_01">#REF!</definedName>
    <definedName name="total5_00">#REF!</definedName>
    <definedName name="total5_01">#REF!</definedName>
    <definedName name="TotalFinancingIn">#REF!</definedName>
    <definedName name="TotalStaff">#REF!</definedName>
    <definedName name="toteqptanddeckwt">#REF!</definedName>
    <definedName name="towrate">#REF!</definedName>
    <definedName name="TP_10">#REF!</definedName>
    <definedName name="TP_11">#REF!</definedName>
    <definedName name="TP_2">#REF!</definedName>
    <definedName name="TP_3">#REF!</definedName>
    <definedName name="TP_4">#REF!</definedName>
    <definedName name="TP_5">#REF!</definedName>
    <definedName name="TP_6">#REF!</definedName>
    <definedName name="TP_7">#REF!</definedName>
    <definedName name="TP_8">#REF!</definedName>
    <definedName name="TP_9">#REF!</definedName>
    <definedName name="tpy">#REF!</definedName>
    <definedName name="Tr1_SU">#REF!</definedName>
    <definedName name="Tr2_SU">#REF!</definedName>
    <definedName name="Tr3_SU">#REF!</definedName>
    <definedName name="TRA_1">#REF!</definedName>
    <definedName name="TRA_10">#REF!</definedName>
    <definedName name="TRA_11">#REF!</definedName>
    <definedName name="TRA_2">#REF!</definedName>
    <definedName name="TRA_3">#REF!</definedName>
    <definedName name="TRA_4">#REF!</definedName>
    <definedName name="TRA_5">#REF!</definedName>
    <definedName name="TRA_6">#REF!</definedName>
    <definedName name="TRA_7">#REF!</definedName>
    <definedName name="TRA_8">#REF!</definedName>
    <definedName name="TRA_9">#REF!</definedName>
    <definedName name="TRAD_1">#REF!</definedName>
    <definedName name="TRAD_10">#REF!</definedName>
    <definedName name="TRAD_11">#REF!</definedName>
    <definedName name="TRAD_2">#REF!</definedName>
    <definedName name="TRAD_3">#REF!</definedName>
    <definedName name="TRAD_4">#REF!</definedName>
    <definedName name="TRAD_5">#REF!</definedName>
    <definedName name="TRAD_6">#REF!</definedName>
    <definedName name="TRAD_7">#REF!</definedName>
    <definedName name="TRAD_8">#REF!</definedName>
    <definedName name="TRAD_9">#REF!</definedName>
    <definedName name="TradePayableEoP">#REF!</definedName>
    <definedName name="TradeReceivablesEoP">#REF!</definedName>
    <definedName name="Transf_Fact_Rang1_1">#REF!</definedName>
    <definedName name="Transf_Fact_Rang1_2">#REF!</definedName>
    <definedName name="Transf_Fact_Rang1_3">#REF!</definedName>
    <definedName name="Transf_Fact_Rang1_4">#REF!</definedName>
    <definedName name="Transf_Fact_Rang1_5">#REF!</definedName>
    <definedName name="Transf_Fact_Rang1_6">#REF!</definedName>
    <definedName name="Transf_Fact_Rang1_7">#REF!</definedName>
    <definedName name="Transf_Fact_Rang1_8">#REF!</definedName>
    <definedName name="Transf_Fact_Rang2_2">#REF!</definedName>
    <definedName name="Transf_Fact_Rang2_3">#REF!</definedName>
    <definedName name="Transf_Fact_Rang2_4">#REF!</definedName>
    <definedName name="Transf_Fact_Rang2_5">#REF!</definedName>
    <definedName name="Transf_Fact_Rang2_6">#REF!</definedName>
    <definedName name="Transf_Fact_Rang2_7">#REF!</definedName>
    <definedName name="Transf_Fact_Rang2_8">#REF!</definedName>
    <definedName name="Transf_Fact_Rang3_3">#REF!</definedName>
    <definedName name="Transf_Fact_Rang3_4">#REF!</definedName>
    <definedName name="Transf_Fact_Rang3_5">#REF!</definedName>
    <definedName name="Transf_Fact_Rang3_6">#REF!</definedName>
    <definedName name="Transf_Fact_Rang3_7">#REF!</definedName>
    <definedName name="Transf_Fact_Rang3_8">#REF!</definedName>
    <definedName name="Transf_Fact_Rang4_4">#REF!</definedName>
    <definedName name="Transf_Fact_Rang4_5">#REF!</definedName>
    <definedName name="Transf_Fact_Rang4_6">#REF!</definedName>
    <definedName name="Transf_Fact_Rang4_7">#REF!</definedName>
    <definedName name="Transf_Fact_Rang4_8">#REF!</definedName>
    <definedName name="Transf_Fact_Rang5_5">#REF!</definedName>
    <definedName name="Transf_Fact_Rang5_6">#REF!</definedName>
    <definedName name="Transf_Fact_Rang5_7">#REF!</definedName>
    <definedName name="Transf_Fact_Rang5_8">#REF!</definedName>
    <definedName name="Transf_Fact_Rang6_6">#REF!</definedName>
    <definedName name="Transf_Fact_Rang6_7">#REF!</definedName>
    <definedName name="Transf_Fact_Rang6_8">#REF!</definedName>
    <definedName name="Transf_Fact_Rang7_7">#REF!</definedName>
    <definedName name="Transf_Fact_Rang7_8">#REF!</definedName>
    <definedName name="Transf_Fact_Rang8_8">#REF!</definedName>
    <definedName name="transpallow">#REF!</definedName>
    <definedName name="TransportationCostTotal">#REF!</definedName>
    <definedName name="TREI_1">#REF!</definedName>
    <definedName name="TREI_10">#REF!</definedName>
    <definedName name="TREI_11">#REF!</definedName>
    <definedName name="TREI_2">#REF!</definedName>
    <definedName name="TREI_3">#REF!</definedName>
    <definedName name="TREI_4">#REF!</definedName>
    <definedName name="TREI_5">#REF!</definedName>
    <definedName name="TREI_6">#REF!</definedName>
    <definedName name="TREI_7">#REF!</definedName>
    <definedName name="TREI_8">#REF!</definedName>
    <definedName name="TREI_9">#REF!</definedName>
    <definedName name="trenchrate">#REF!</definedName>
    <definedName name="TRIMESTRE_May_98_Jul_98">#REF!</definedName>
    <definedName name="TRP">#REF!</definedName>
    <definedName name="TSD_1">#REF!</definedName>
    <definedName name="TSD_10">#REF!</definedName>
    <definedName name="TSD_11">#REF!</definedName>
    <definedName name="TSD_2">#REF!</definedName>
    <definedName name="TSD_3">#REF!</definedName>
    <definedName name="TSD_4">#REF!</definedName>
    <definedName name="TSD_5">#REF!</definedName>
    <definedName name="TSD_6">#REF!</definedName>
    <definedName name="TSD_7">#REF!</definedName>
    <definedName name="TSD_8">#REF!</definedName>
    <definedName name="TSD_9">#REF!</definedName>
    <definedName name="TSDDTE_1">#REF!</definedName>
    <definedName name="TSDDTE_10">#REF!</definedName>
    <definedName name="TSDDTE_11">#REF!</definedName>
    <definedName name="TSDDTE_2">#REF!</definedName>
    <definedName name="TSDDTE_3">#REF!</definedName>
    <definedName name="TSDDTE_4">#REF!</definedName>
    <definedName name="TSDDTE_5">#REF!</definedName>
    <definedName name="TSDDTE_6">#REF!</definedName>
    <definedName name="TSDDTE_7">#REF!</definedName>
    <definedName name="TSDDTE_8">#REF!</definedName>
    <definedName name="TSDDTE_9">#REF!</definedName>
    <definedName name="TSDDTP_1">#REF!</definedName>
    <definedName name="TSDDTP_10">#REF!</definedName>
    <definedName name="TSDDTP_11">#REF!</definedName>
    <definedName name="TSDDTP_2">#REF!</definedName>
    <definedName name="TSDDTP_3">#REF!</definedName>
    <definedName name="TSDDTP_4">#REF!</definedName>
    <definedName name="TSDDTP_5">#REF!</definedName>
    <definedName name="TSDDTP_6">#REF!</definedName>
    <definedName name="TSDDTP_7">#REF!</definedName>
    <definedName name="TSDDTP_8">#REF!</definedName>
    <definedName name="TSDDTP_9">#REF!</definedName>
    <definedName name="TSDNUKC_1">#REF!</definedName>
    <definedName name="TSDNUKC_10">#REF!</definedName>
    <definedName name="TSDNUKC_11">#REF!</definedName>
    <definedName name="TSDNUKC_2">#REF!</definedName>
    <definedName name="TSDNUKC_3">#REF!</definedName>
    <definedName name="TSDNUKC_4">#REF!</definedName>
    <definedName name="TSDNUKC_5">#REF!</definedName>
    <definedName name="TSDNUKC_6">#REF!</definedName>
    <definedName name="TSDNUKC_7">#REF!</definedName>
    <definedName name="TSDNUKC_8">#REF!</definedName>
    <definedName name="TSDNUKC_9">#REF!</definedName>
    <definedName name="TSDNUKD_1">#REF!</definedName>
    <definedName name="TSDNUKD_10">#REF!</definedName>
    <definedName name="TSDNUKD_11">#REF!</definedName>
    <definedName name="TSDNUKD_2">#REF!</definedName>
    <definedName name="TSDNUKD_3">#REF!</definedName>
    <definedName name="TSDNUKD_4">#REF!</definedName>
    <definedName name="TSDNUKD_5">#REF!</definedName>
    <definedName name="TSDNUKD_6">#REF!</definedName>
    <definedName name="TSDNUKD_7">#REF!</definedName>
    <definedName name="TSDNUKD_8">#REF!</definedName>
    <definedName name="TSDNUKD_9">#REF!</definedName>
    <definedName name="TSDOC_1">#REF!</definedName>
    <definedName name="TSDOC_10">#REF!</definedName>
    <definedName name="TSDOC_11">#REF!</definedName>
    <definedName name="TSDOC_2">#REF!</definedName>
    <definedName name="TSDOC_3">#REF!</definedName>
    <definedName name="TSDOC_4">#REF!</definedName>
    <definedName name="TSDOC_5">#REF!</definedName>
    <definedName name="TSDOC_6">#REF!</definedName>
    <definedName name="TSDOC_7">#REF!</definedName>
    <definedName name="TSDOC_8">#REF!</definedName>
    <definedName name="TSDOC_9">#REF!</definedName>
    <definedName name="TSDTCG_1">#REF!</definedName>
    <definedName name="TSDTCG_10">#REF!</definedName>
    <definedName name="TSDTCG_11">#REF!</definedName>
    <definedName name="TSDTCG_2">#REF!</definedName>
    <definedName name="TSDTCG_3">#REF!</definedName>
    <definedName name="TSDTCG_4">#REF!</definedName>
    <definedName name="TSDTCG_5">#REF!</definedName>
    <definedName name="TSDTCG_6">#REF!</definedName>
    <definedName name="TSDTCG_7">#REF!</definedName>
    <definedName name="TSDTCG_8">#REF!</definedName>
    <definedName name="TSDTCG_9">#REF!</definedName>
    <definedName name="TSDTCU_1">#REF!</definedName>
    <definedName name="TSDTCU_10">#REF!</definedName>
    <definedName name="TSDTCU_11">#REF!</definedName>
    <definedName name="TSDTCU_2">#REF!</definedName>
    <definedName name="TSDTCU_3">#REF!</definedName>
    <definedName name="TSDTCU_4">#REF!</definedName>
    <definedName name="TSDTCU_5">#REF!</definedName>
    <definedName name="TSDTCU_6">#REF!</definedName>
    <definedName name="TSDTCU_7">#REF!</definedName>
    <definedName name="TSDTCU_8">#REF!</definedName>
    <definedName name="TSDTCU_9">#REF!</definedName>
    <definedName name="TSDUK_1">#REF!</definedName>
    <definedName name="TSDUK_10">#REF!</definedName>
    <definedName name="TSDUK_11">#REF!</definedName>
    <definedName name="TSDUK_2">#REF!</definedName>
    <definedName name="TSDUK_3">#REF!</definedName>
    <definedName name="TSDUK_4">#REF!</definedName>
    <definedName name="TSDUK_5">#REF!</definedName>
    <definedName name="TSDUK_6">#REF!</definedName>
    <definedName name="TSDUK_7">#REF!</definedName>
    <definedName name="TSDUK_8">#REF!</definedName>
    <definedName name="TSDUK_9">#REF!</definedName>
    <definedName name="TSDUKC_1">#REF!</definedName>
    <definedName name="TSDUKC_10">#REF!</definedName>
    <definedName name="TSDUKC_11">#REF!</definedName>
    <definedName name="TSDUKC_2">#REF!</definedName>
    <definedName name="TSDUKC_3">#REF!</definedName>
    <definedName name="TSDUKC_4">#REF!</definedName>
    <definedName name="TSDUKC_5">#REF!</definedName>
    <definedName name="TSDUKC_6">#REF!</definedName>
    <definedName name="TSDUKC_7">#REF!</definedName>
    <definedName name="TSDUKC_8">#REF!</definedName>
    <definedName name="TSDUKC_9">#REF!</definedName>
    <definedName name="TSDUKD_1">#REF!</definedName>
    <definedName name="TSDUKD_10">#REF!</definedName>
    <definedName name="TSDUKD_11">#REF!</definedName>
    <definedName name="TSDUKD_2">#REF!</definedName>
    <definedName name="TSDUKD_3">#REF!</definedName>
    <definedName name="TSDUKD_4">#REF!</definedName>
    <definedName name="TSDUKD_5">#REF!</definedName>
    <definedName name="TSDUKD_6">#REF!</definedName>
    <definedName name="TSDUKD_7">#REF!</definedName>
    <definedName name="TSDUKD_8">#REF!</definedName>
    <definedName name="TSDUKD_9">#REF!</definedName>
    <definedName name="TSDUKDC_1">#REF!</definedName>
    <definedName name="TSDUKDC_10">#REF!</definedName>
    <definedName name="TSDUKDC_11">#REF!</definedName>
    <definedName name="TSDUKDC_2">#REF!</definedName>
    <definedName name="TSDUKDC_3">#REF!</definedName>
    <definedName name="TSDUKDC_4">#REF!</definedName>
    <definedName name="TSDUKDC_5">#REF!</definedName>
    <definedName name="TSDUKDC_6">#REF!</definedName>
    <definedName name="TSDUKDC_7">#REF!</definedName>
    <definedName name="TSDUKDC_8">#REF!</definedName>
    <definedName name="TSDUKDC_9">#REF!</definedName>
    <definedName name="ttttt">#REF!</definedName>
    <definedName name="ttttttt">#REF!</definedName>
    <definedName name="TWC_1">#REF!</definedName>
    <definedName name="TWC_10">#REF!</definedName>
    <definedName name="TWC_11">#REF!</definedName>
    <definedName name="TWC_2">#REF!</definedName>
    <definedName name="TWC_3">#REF!</definedName>
    <definedName name="TWC_4">#REF!</definedName>
    <definedName name="TWC_5">#REF!</definedName>
    <definedName name="TWC_6">#REF!</definedName>
    <definedName name="TWC_7">#REF!</definedName>
    <definedName name="TWC_8">#REF!</definedName>
    <definedName name="TWC_9">#REF!</definedName>
    <definedName name="txadj">#REF!</definedName>
    <definedName name="u">#REF!</definedName>
    <definedName name="U01U10">#REF!</definedName>
    <definedName name="U01U2">#REF!</definedName>
    <definedName name="UDVARS">#REF!</definedName>
    <definedName name="ugfil">#REF!</definedName>
    <definedName name="uh">#REF!</definedName>
    <definedName name="UK_CPI">#REF!</definedName>
    <definedName name="UnauthorizedVATTotal">#REF!</definedName>
    <definedName name="unhide">#REF!</definedName>
    <definedName name="UniContainersAcquisitions">#REF!</definedName>
    <definedName name="unif">#REF!</definedName>
    <definedName name="Unit">#REF!</definedName>
    <definedName name="UnitedStates">#REF!</definedName>
    <definedName name="Unitname">#REF!</definedName>
    <definedName name="Unlevered_NPV">#REF!</definedName>
    <definedName name="Upfront">#REF!</definedName>
    <definedName name="US_CPI">#REF!</definedName>
    <definedName name="USCT_1">#REF!</definedName>
    <definedName name="USCT_10">#REF!</definedName>
    <definedName name="USCT_11">#REF!</definedName>
    <definedName name="USCT_2">#REF!</definedName>
    <definedName name="USCT_3">#REF!</definedName>
    <definedName name="USCT_4">#REF!</definedName>
    <definedName name="USCT_5">#REF!</definedName>
    <definedName name="USCT_6">#REF!</definedName>
    <definedName name="USCT_7">#REF!</definedName>
    <definedName name="USCT_8">#REF!</definedName>
    <definedName name="USCT_9">#REF!</definedName>
    <definedName name="usd_01.10.04">#REF!</definedName>
    <definedName name="usd_311203">#REF!</definedName>
    <definedName name="USD_FC">#REF!</definedName>
    <definedName name="USD2003avg">#REF!</definedName>
    <definedName name="USD2004avg">#REF!</definedName>
    <definedName name="USDF_1">#REF!</definedName>
    <definedName name="USDF_10">#REF!</definedName>
    <definedName name="USDF_11">#REF!</definedName>
    <definedName name="USDF_2">#REF!</definedName>
    <definedName name="USDF_3">#REF!</definedName>
    <definedName name="USDF_4">#REF!</definedName>
    <definedName name="USDF_5">#REF!</definedName>
    <definedName name="USDF_6">#REF!</definedName>
    <definedName name="USDF_7">#REF!</definedName>
    <definedName name="USDF_8">#REF!</definedName>
    <definedName name="USDF_9">#REF!</definedName>
    <definedName name="USDPL">#REF!</definedName>
    <definedName name="USDval">#REF!</definedName>
    <definedName name="UsedBoxcarsPriceInput">#REF!</definedName>
    <definedName name="UsedContainersPriceInput">#REF!</definedName>
    <definedName name="UsedDumpcarsPriceInput">#REF!</definedName>
    <definedName name="UsedFlatcars40PriceInput">#REF!</definedName>
    <definedName name="UsedFlatcars80PriceInput">#REF!</definedName>
    <definedName name="UsedGondolasPriceInput">#REF!</definedName>
    <definedName name="UsedLocomotivesInput">#REF!</definedName>
    <definedName name="UsedLPGPriceInput">#REF!</definedName>
    <definedName name="UsedOilCarsPriceInput">#REF!</definedName>
    <definedName name="USOpexSensitivity">#REF!</definedName>
    <definedName name="USOpexSensitivitySU">#REF!</definedName>
    <definedName name="uthj">#REF!</definedName>
    <definedName name="Util_Cap">#REF!</definedName>
    <definedName name="Util_Cap_Lab">#REF!</definedName>
    <definedName name="uu">#REF!</definedName>
    <definedName name="uuu">#REF!</definedName>
    <definedName name="V_доп.об.">#REF!</definedName>
    <definedName name="V_доп.об._Сумм">#REF!</definedName>
    <definedName name="V_нефти">#REF!</definedName>
    <definedName name="ValDate">#REF!</definedName>
    <definedName name="Valuation_date">#REF!</definedName>
    <definedName name="valutac1">#REF!</definedName>
    <definedName name="vat">#REF!</definedName>
    <definedName name="VATAssetsChange">#REF!</definedName>
    <definedName name="VATInput">#REF!</definedName>
    <definedName name="VATLiabilitiesChange">#REF!</definedName>
    <definedName name="VATPaid">#REF!</definedName>
    <definedName name="vb">#REF!</definedName>
    <definedName name="VDECRECL">#REF!</definedName>
    <definedName name="Vehicle_maintainance_costs">#REF!</definedName>
    <definedName name="VehicleMaintainanceCosts">#REF!</definedName>
    <definedName name="vend">#REF!</definedName>
    <definedName name="vendorssupnrate">#REF!</definedName>
    <definedName name="Ventas">#REF!</definedName>
    <definedName name="version">#REF!</definedName>
    <definedName name="version_43">#REF!</definedName>
    <definedName name="version_44">#REF!</definedName>
    <definedName name="version_45">#REF!</definedName>
    <definedName name="version1">#REF!</definedName>
    <definedName name="vfhn">#REF!</definedName>
    <definedName name="vfhn02u">#REF!</definedName>
    <definedName name="Vfrhjc2">#REF!</definedName>
    <definedName name="VID">#REF!</definedName>
    <definedName name="VincCapexPerc">#REF!</definedName>
    <definedName name="VincExR">#REF!</definedName>
    <definedName name="VincInflation">#REF!</definedName>
    <definedName name="VincLOF">#REF!</definedName>
    <definedName name="VincNPV">#REF!</definedName>
    <definedName name="VincOpexDeduct">#REF!</definedName>
    <definedName name="VincOpexPerc">#REF!</definedName>
    <definedName name="VincPrices">#REF!</definedName>
    <definedName name="VincProdnPerc">#REF!</definedName>
    <definedName name="VincProdnStart">#REF!</definedName>
    <definedName name="VincProdProf">#REF!</definedName>
    <definedName name="VincProdTime">#REF!</definedName>
    <definedName name="VincSalValues">#REF!</definedName>
    <definedName name="VOLUMES">#REF!</definedName>
    <definedName name="VRECLAS">#REF!</definedName>
    <definedName name="vur">#REF!</definedName>
    <definedName name="vural">#REF!</definedName>
    <definedName name="VVV">#REF!</definedName>
    <definedName name="Vдоп_Сдоп">#REF!</definedName>
    <definedName name="Vдоп_Сдоп_Сумм">#REF!</definedName>
    <definedName name="w">#REF!</definedName>
    <definedName name="wa">#REF!</definedName>
    <definedName name="WACC">#REF!</definedName>
    <definedName name="WagesAdminStaff">#REF!</definedName>
    <definedName name="WagesProdStaff">#REF!</definedName>
    <definedName name="WagesTotalStaff">#REF!</definedName>
    <definedName name="WagonInDepot">#REF!</definedName>
    <definedName name="WagonMaintenance">#REF!</definedName>
    <definedName name="Water_req">#REF!</definedName>
    <definedName name="WBUILD">#REF!</definedName>
    <definedName name="WC">#REF!</definedName>
    <definedName name="weatherdowntime">#REF!</definedName>
    <definedName name="weeks">#REF!</definedName>
    <definedName name="wef">#REF!</definedName>
    <definedName name="WellNameStart">#REF!</definedName>
    <definedName name="WELLOUT">#REF!</definedName>
    <definedName name="wer">#REF!</definedName>
    <definedName name="wf">#REF!</definedName>
    <definedName name="WGRPS">#REF!</definedName>
    <definedName name="WGRUPTREE">#REF!</definedName>
    <definedName name="WheelsetsCost">#REF!</definedName>
    <definedName name="WheelsetsDeprRateInput">#REF!</definedName>
    <definedName name="WheelsetsFactRepairInput">#REF!</definedName>
    <definedName name="WheelsetsLocalRepairInput">#REF!</definedName>
    <definedName name="WheelsPerWagonInput">#REF!</definedName>
    <definedName name="wi">#REF!</definedName>
    <definedName name="WIDTH">#REF!</definedName>
    <definedName name="WIP">#REF!</definedName>
    <definedName name="WIP_1">#REF!</definedName>
    <definedName name="WIP_10">#REF!</definedName>
    <definedName name="WIP_11">#REF!</definedName>
    <definedName name="WIP_2">#REF!</definedName>
    <definedName name="WIP_3">#REF!</definedName>
    <definedName name="WIP_4">#REF!</definedName>
    <definedName name="WIP_5">#REF!</definedName>
    <definedName name="WIP_6">#REF!</definedName>
    <definedName name="WIP_7">#REF!</definedName>
    <definedName name="WIP_8">#REF!</definedName>
    <definedName name="wo">#REF!</definedName>
    <definedName name="wor">#REF!</definedName>
    <definedName name="work_path">#REF!</definedName>
    <definedName name="working">#REF!</definedName>
    <definedName name="WORKSHEET">#REF!</definedName>
    <definedName name="wr">#REF!</definedName>
    <definedName name="wrewr">#REF!</definedName>
    <definedName name="WSTART">#REF!</definedName>
    <definedName name="WSTART3">#REF!</definedName>
    <definedName name="WSTART4">#REF!</definedName>
    <definedName name="wwwwwww">#REF!</definedName>
    <definedName name="x">#REF!</definedName>
    <definedName name="X_DATE">#REF!</definedName>
    <definedName name="xcv">#REF!</definedName>
    <definedName name="XLRPARAMS_d">#REF!</definedName>
    <definedName name="XLRPARAMS_dv">#REF!</definedName>
    <definedName name="XLRPARAMS_kzt">#REF!</definedName>
    <definedName name="XLRPARAMS_mm1">#REF!</definedName>
    <definedName name="XLRPARAMS_mm2">#REF!</definedName>
    <definedName name="XLRPARAMS_mm3">#REF!</definedName>
    <definedName name="XLRPARAMS_repdate">#REF!</definedName>
    <definedName name="XLRPARAMS_repdate1">#REF!</definedName>
    <definedName name="XLRPARAMS_usd">#REF!</definedName>
    <definedName name="XREF_COLUMN_1">#REF!</definedName>
    <definedName name="XREF_COLUMN_10">#REF!</definedName>
    <definedName name="XREF_COLUMN_11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2">#REF!</definedName>
    <definedName name="XREF_COLUMN_24">#REF!</definedName>
    <definedName name="XREF_COLUMN_3">#REF!</definedName>
    <definedName name="XREF_COLUMN_36">#REF!</definedName>
    <definedName name="XREF_COLUMN_37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py1">#REF!</definedName>
    <definedName name="XRefCopy10">#REF!</definedName>
    <definedName name="XRefCopy104Row">#REF!</definedName>
    <definedName name="XRefCopy105Row">#REF!</definedName>
    <definedName name="XRefCopy10Row">#REF!</definedName>
    <definedName name="XRefCopy11">#REF!</definedName>
    <definedName name="XRefCopy111">#REF!</definedName>
    <definedName name="XRefCopy112">#REF!</definedName>
    <definedName name="XRefCopy11Row">#REF!</definedName>
    <definedName name="XRefCopy12">#REF!</definedName>
    <definedName name="XRefCopy126">#REF!</definedName>
    <definedName name="XRefCopy127">#REF!</definedName>
    <definedName name="XRefCopy128">#REF!</definedName>
    <definedName name="XRefCopy129">#REF!</definedName>
    <definedName name="XRefCopy12Row">#REF!</definedName>
    <definedName name="XRefCopy13">#REF!</definedName>
    <definedName name="XRefCopy14">#REF!</definedName>
    <definedName name="XRefCopy15">#REF!</definedName>
    <definedName name="XRefCopy155">#REF!</definedName>
    <definedName name="XRefCopy156Row">#REF!</definedName>
    <definedName name="XRefCopy157Row">#REF!</definedName>
    <definedName name="XRefCopy158Row">#REF!</definedName>
    <definedName name="XRefCopy159Row">#REF!</definedName>
    <definedName name="XRefCopy16">#REF!</definedName>
    <definedName name="XRefCopy160Row">#REF!</definedName>
    <definedName name="XRefCopy161Row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Row">#REF!</definedName>
    <definedName name="XRefCopy24Row">#REF!</definedName>
    <definedName name="XRefCopy257Row">#REF!</definedName>
    <definedName name="XRefCopy26Row">#REF!</definedName>
    <definedName name="XRefCopy27Row">#REF!</definedName>
    <definedName name="XRefCopy28Row">#REF!</definedName>
    <definedName name="XRefCopy29Row">#REF!</definedName>
    <definedName name="XRefCopy2Row">#REF!</definedName>
    <definedName name="XRefCopy3">#REF!</definedName>
    <definedName name="XRefCopy30Row">#REF!</definedName>
    <definedName name="XRefCopy31Row">#REF!</definedName>
    <definedName name="XRefCopy32Row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Row">#REF!</definedName>
    <definedName name="XRefCopy4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Row">#REF!</definedName>
    <definedName name="XRefCopy5">#REF!</definedName>
    <definedName name="XRefCopy51">#REF!</definedName>
    <definedName name="XRefCopy52">#REF!</definedName>
    <definedName name="XRefCopy53">#REF!</definedName>
    <definedName name="XRefCopy54">#REF!</definedName>
    <definedName name="XRefCopy55">#REF!</definedName>
    <definedName name="XRefCopy56">#REF!</definedName>
    <definedName name="XRefCopy56Row">#REF!</definedName>
    <definedName name="XRefCopy57">#REF!</definedName>
    <definedName name="XRefCopy58">#REF!</definedName>
    <definedName name="XRefCopy59">#REF!</definedName>
    <definedName name="XRefCopy5Row">#REF!</definedName>
    <definedName name="XRefCopy6">#REF!</definedName>
    <definedName name="XRefCopy60">#REF!</definedName>
    <definedName name="XRefCopy61">#REF!</definedName>
    <definedName name="XRefCopy62">#REF!</definedName>
    <definedName name="XRefCopy63">#REF!</definedName>
    <definedName name="XRefCopy64">#REF!</definedName>
    <definedName name="XRefCopy65">#REF!</definedName>
    <definedName name="XRefCopy66">#REF!</definedName>
    <definedName name="XRefCopy67">#REF!</definedName>
    <definedName name="XRefCopy68">#REF!</definedName>
    <definedName name="XRefCopy69">#REF!</definedName>
    <definedName name="XRefCopy6Row">#REF!</definedName>
    <definedName name="XRefCopy7">#REF!</definedName>
    <definedName name="XRefCopy70">#REF!</definedName>
    <definedName name="XRefCopy71">#REF!</definedName>
    <definedName name="XRefCopy72">#REF!</definedName>
    <definedName name="XRefCopy73">#REF!</definedName>
    <definedName name="XRefCopy74">#REF!</definedName>
    <definedName name="XRefCopy75">#REF!</definedName>
    <definedName name="XRefCopy76">#REF!</definedName>
    <definedName name="XRefCopy77">#REF!</definedName>
    <definedName name="XRefCopy78">#REF!</definedName>
    <definedName name="XRefCopy79">#REF!</definedName>
    <definedName name="XRefCopy7Row">#REF!</definedName>
    <definedName name="XRefCopy85Row">#REF!</definedName>
    <definedName name="XRefCopy8Row">#REF!</definedName>
    <definedName name="XRefCopy9">#REF!</definedName>
    <definedName name="XRefCopy98Row">#REF!</definedName>
    <definedName name="XRefCopy9Row">#REF!</definedName>
    <definedName name="XRefPaste1">#REF!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Row">#REF!</definedName>
    <definedName name="XRefPaste2">#REF!</definedName>
    <definedName name="XRefPaste21Row">#REF!</definedName>
    <definedName name="XRefPaste22">#REF!</definedName>
    <definedName name="XRefPaste22Row">#REF!</definedName>
    <definedName name="XRefPaste23Row">#REF!</definedName>
    <definedName name="XRefPaste24">#REF!</definedName>
    <definedName name="XRefPaste24Row">#REF!</definedName>
    <definedName name="XRefPaste2Row">#REF!</definedName>
    <definedName name="XRefPaste3">#REF!</definedName>
    <definedName name="XRefPaste3Row">#REF!</definedName>
    <definedName name="XRefPaste4">#REF!</definedName>
    <definedName name="XRefPaste40Row">#REF!</definedName>
    <definedName name="XRefPaste43">#REF!</definedName>
    <definedName name="XRefPaste44">#REF!</definedName>
    <definedName name="XRefPaste45">#REF!</definedName>
    <definedName name="XRefPaste48">#REF!</definedName>
    <definedName name="XRefPaste49">#REF!</definedName>
    <definedName name="XRefPaste4Row">#REF!</definedName>
    <definedName name="XRefPaste5">#REF!</definedName>
    <definedName name="XRefPaste50">#REF!</definedName>
    <definedName name="XRefPaste51">#REF!</definedName>
    <definedName name="XRefPaste55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1Row">#REF!</definedName>
    <definedName name="XRefPaste9Row">#REF!</definedName>
    <definedName name="xxx">#REF!</definedName>
    <definedName name="y">#REF!</definedName>
    <definedName name="yas">#REF!</definedName>
    <definedName name="yasin">#REF!</definedName>
    <definedName name="year">#REF!</definedName>
    <definedName name="Year0">#REF!</definedName>
    <definedName name="Year1">#REF!</definedName>
    <definedName name="Year10">#REF!</definedName>
    <definedName name="Year11">#REF!</definedName>
    <definedName name="Year12">#REF!</definedName>
    <definedName name="Year13">#REF!</definedName>
    <definedName name="Year14">#REF!</definedName>
    <definedName name="Year15">#REF!</definedName>
    <definedName name="Year16">#REF!</definedName>
    <definedName name="Year17">#REF!</definedName>
    <definedName name="Year18">#REF!</definedName>
    <definedName name="Year19">#REF!</definedName>
    <definedName name="Year2">#REF!</definedName>
    <definedName name="Year3">#REF!</definedName>
    <definedName name="Year4">#REF!</definedName>
    <definedName name="Year5">#REF!</definedName>
    <definedName name="Year6">#REF!</definedName>
    <definedName name="Year7">#REF!</definedName>
    <definedName name="Year8">#REF!</definedName>
    <definedName name="Year9">#REF!</definedName>
    <definedName name="Years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  <definedName name="Yemen">#REF!</definedName>
    <definedName name="Yemen1">#REF!</definedName>
    <definedName name="yerusd">#REF!</definedName>
    <definedName name="yes">#REF!</definedName>
    <definedName name="YSALES">#REF!</definedName>
    <definedName name="yt">#REF!</definedName>
    <definedName name="YTD">#REF!</definedName>
    <definedName name="yy">#REF!</definedName>
    <definedName name="z">#REF!</definedName>
    <definedName name="Z_270BB401_5236_11D4_BB54_0050044E0CFA_.wvu.PrintArea">#REF!</definedName>
    <definedName name="Z_270BB401_5236_11D4_BB54_0050044E0CFA_.wvu.PrintTitles">#REF!</definedName>
    <definedName name="Z_30FEE15E_D26F_11D4_A6F7_00508B6A7686_.wvu.PrintArea">#REF!</definedName>
    <definedName name="Z_30FEE15E_D26F_11D4_A6F7_00508B6A7686_.wvu.PrintTitles">#REF!</definedName>
    <definedName name="Z_30FEE15E_D26F_11D4_A6F7_00508B6A7686_.wvu.Rows">#REF!</definedName>
    <definedName name="Z_3FF835A2_A4C0_4941_9E4A_4EABDC6914AE_.wvu.PrintArea">#REF!</definedName>
    <definedName name="Z_3FF835A2_A4C0_4941_9E4A_4EABDC6914AE_.wvu.Rows">#REF!</definedName>
    <definedName name="Z_9944A555_2A6E_4775_AF28_A37C2EA58D79_.wvu.PrintArea">#REF!</definedName>
    <definedName name="Z_9944A555_2A6E_4775_AF28_A37C2EA58D79_.wvu.Rows">#REF!</definedName>
    <definedName name="Z_9D8A7FE8_EB32_11D6_AAD8_00E04C390749_.wvu.Cols">#REF!</definedName>
    <definedName name="Z_A0AC4B42_5259_11D4_B5FE_00C04FC949BF_.wvu.PrintArea">#REF!</definedName>
    <definedName name="Z_A0AC4B42_5259_11D4_B5FE_00C04FC949BF_.wvu.PrintTitles">#REF!</definedName>
    <definedName name="Z_C37E65A7_9893_435E_9759_72E0D8A5DD87_.wvu.PrintTitles">#REF!</definedName>
    <definedName name="Z_C38D798C_080A_4519_9B17_6ABAC626E22C_.wvu.PrintArea">#REF!</definedName>
    <definedName name="Z_C38D798C_080A_4519_9B17_6ABAC626E22C_.wvu.Rows">#REF!</definedName>
    <definedName name="zheldor">#REF!</definedName>
    <definedName name="zheldorizdat">#REF!</definedName>
    <definedName name="ZKJS">#REF!</definedName>
    <definedName name="zks">#REF!</definedName>
    <definedName name="zou">#REF!</definedName>
    <definedName name="zz">#REF!</definedName>
    <definedName name="а">#REF!</definedName>
    <definedName name="а1">#REF!</definedName>
    <definedName name="А2">#REF!</definedName>
    <definedName name="а25000">#REF!</definedName>
    <definedName name="А2810">#REF!</definedName>
    <definedName name="А47">#REF!</definedName>
    <definedName name="А51">#REF!</definedName>
    <definedName name="а7">#REF!</definedName>
    <definedName name="ааа">#REF!</definedName>
    <definedName name="ааааа">#REF!</definedName>
    <definedName name="АААААААА">#REF!</definedName>
    <definedName name="аааааааааа">#REF!</definedName>
    <definedName name="АБ">#REF!</definedName>
    <definedName name="АБ_со_склада">#REF!</definedName>
    <definedName name="АБКМЫНКУДУК">#REF!</definedName>
    <definedName name="Август">#REF!</definedName>
    <definedName name="август_Лист1_Таблица">#REF!</definedName>
    <definedName name="август2002г">#REF!</definedName>
    <definedName name="АвгустКарта">#REF!</definedName>
    <definedName name="АвгустНормативы">#REF!</definedName>
    <definedName name="АвгустПродажи">#REF!</definedName>
    <definedName name="авиаперевозчик">#REF!</definedName>
    <definedName name="АВК">#REF!</definedName>
    <definedName name="авпрар">#REF!</definedName>
    <definedName name="автоперевозчик">#REF!</definedName>
    <definedName name="автоПерестр">#REF!</definedName>
    <definedName name="автотранспорт">#REF!</definedName>
    <definedName name="админ">#REF!</definedName>
    <definedName name="Администрация">#REF!</definedName>
    <definedName name="адмрасходы">#REF!</definedName>
    <definedName name="аж192">#REF!</definedName>
    <definedName name="Ажиотаж">#REF!</definedName>
    <definedName name="азот_газообразный">#REF!</definedName>
    <definedName name="азотная_кислота">#REF!</definedName>
    <definedName name="Акциз">#REF!</definedName>
    <definedName name="Акциз1">#REF!</definedName>
    <definedName name="алюминий_чушковой">#REF!</definedName>
    <definedName name="аммиачная_вода">#REF!</definedName>
    <definedName name="амортиз">#REF!</definedName>
    <definedName name="амортизация">#REF!</definedName>
    <definedName name="ап">#REF!</definedName>
    <definedName name="ап2">#REF!</definedName>
    <definedName name="апапарарарар">#REF!</definedName>
    <definedName name="апва">#REF!</definedName>
    <definedName name="Апрель">#REF!</definedName>
    <definedName name="апрель2000">#REF!</definedName>
    <definedName name="АпрельКарта">#REF!</definedName>
    <definedName name="АпрельНормативы">#REF!</definedName>
    <definedName name="АпрельПродажи">#REF!</definedName>
    <definedName name="АПУ">#REF!</definedName>
    <definedName name="АРВАРВА">#REF!</definedName>
    <definedName name="аргон_технический">#REF!</definedName>
    <definedName name="аренда">#REF!</definedName>
    <definedName name="Аудит">#REF!</definedName>
    <definedName name="АХО">#REF!</definedName>
    <definedName name="аэрокаско">#REF!</definedName>
    <definedName name="баз_индекс">#REF!</definedName>
    <definedName name="база">#REF!</definedName>
    <definedName name="база_1">#REF!</definedName>
    <definedName name="База_Сортировки">#REF!</definedName>
    <definedName name="БазаАвтоперевозчиковНазвания">#REF!</definedName>
    <definedName name="БазаДанных">#REF!</definedName>
    <definedName name="БазаКодПроизводителя">#REF!</definedName>
    <definedName name="БазаКодТовара">#REF!</definedName>
    <definedName name="БазаСтраховки">#REF!</definedName>
    <definedName name="Бал300609">#REF!</definedName>
    <definedName name="БалGAAP30.06.09">#REF!</definedName>
    <definedName name="баланс">#REF!</definedName>
    <definedName name="бд">#REF!</definedName>
    <definedName name="Безоп">#REF!</definedName>
    <definedName name="бельтинг">#REF!</definedName>
    <definedName name="бериллий_в_карбонатной_окиси">#REF!</definedName>
    <definedName name="бериллий_в_концентратах_и_отходах">#REF!</definedName>
    <definedName name="бериллий_из_основного_карбоната__доводка">#REF!</definedName>
    <definedName name="биржа">#REF!</definedName>
    <definedName name="биржа1">#REF!</definedName>
    <definedName name="БЛРаздел10">#REF!</definedName>
    <definedName name="блхз">#REF!</definedName>
    <definedName name="бух">#REF!</definedName>
    <definedName name="Бюджет__по__подразд__2003__года_Лист1_Таблица">#REF!</definedName>
    <definedName name="в1">#REF!</definedName>
    <definedName name="в10">#REF!</definedName>
    <definedName name="в10___0">#REF!</definedName>
    <definedName name="в10___12">#REF!</definedName>
    <definedName name="в10___17">#REF!</definedName>
    <definedName name="в10___2">#REF!</definedName>
    <definedName name="в10___22">#REF!</definedName>
    <definedName name="в10___24">#REF!</definedName>
    <definedName name="в10___29">#REF!</definedName>
    <definedName name="в10___30">#REF!</definedName>
    <definedName name="в10___33">#REF!</definedName>
    <definedName name="в10___34">#REF!</definedName>
    <definedName name="в10___35">#REF!</definedName>
    <definedName name="в10___40">#REF!</definedName>
    <definedName name="в10___41">#REF!</definedName>
    <definedName name="в10___44">#REF!</definedName>
    <definedName name="в10___45">#REF!</definedName>
    <definedName name="в10___47">#REF!</definedName>
    <definedName name="в176">#REF!</definedName>
    <definedName name="в23ё">#REF!</definedName>
    <definedName name="В32">#REF!</definedName>
    <definedName name="ва">#REF!</definedName>
    <definedName name="валюта">#REF!</definedName>
    <definedName name="ВалютаБаланса">#REF!</definedName>
    <definedName name="вв">#REF!</definedName>
    <definedName name="ВВВ">#REF!</definedName>
    <definedName name="ввыф">#REF!</definedName>
    <definedName name="Ведомость">#REF!</definedName>
    <definedName name="ВиП">#REF!</definedName>
    <definedName name="вода">#REF!</definedName>
    <definedName name="восемь">#REF!</definedName>
    <definedName name="впвыф">#REF!</definedName>
    <definedName name="Всего">#REF!</definedName>
    <definedName name="Всего_дней">#REF!</definedName>
    <definedName name="Всего_дней_пред.">#REF!</definedName>
    <definedName name="Всего_дней_след.">#REF!</definedName>
    <definedName name="Всего_дней_тек.">#REF!</definedName>
    <definedName name="вспом.ссуд.порт.">#REF!</definedName>
    <definedName name="вспомогательные_материалы_и_реагенты">#REF!</definedName>
    <definedName name="второй">#REF!</definedName>
    <definedName name="выпуск">#REF!</definedName>
    <definedName name="Выработка">#REF!</definedName>
    <definedName name="Выработка_Сумм">#REF!</definedName>
    <definedName name="ГБП">#REF!</definedName>
    <definedName name="гис">#REF!</definedName>
    <definedName name="ГО">#REF!</definedName>
    <definedName name="год">#REF!</definedName>
    <definedName name="головы">#REF!</definedName>
    <definedName name="ГПО">#REF!</definedName>
    <definedName name="ГПОобяз">#REF!</definedName>
    <definedName name="ГПОЧН">#REF!</definedName>
    <definedName name="графит">#REF!</definedName>
    <definedName name="графит_в_заготовках">#REF!</definedName>
    <definedName name="графитовые_блоки">#REF!</definedName>
    <definedName name="грп">#REF!</definedName>
    <definedName name="Грузы">#REF!</definedName>
    <definedName name="Группа">#REF!</definedName>
    <definedName name="ГТП">#REF!</definedName>
    <definedName name="Д">#REF!</definedName>
    <definedName name="д___0">#REF!</definedName>
    <definedName name="д___11">#REF!</definedName>
    <definedName name="д___47">#REF!</definedName>
    <definedName name="д___9">#REF!</definedName>
    <definedName name="д1">#REF!</definedName>
    <definedName name="д2">#REF!</definedName>
    <definedName name="д3">#REF!</definedName>
    <definedName name="д4">#REF!</definedName>
    <definedName name="Дал_в_упаковке">#REF!</definedName>
    <definedName name="Дал_на_паллете">#REF!</definedName>
    <definedName name="Данные">#REF!</definedName>
    <definedName name="дат4">#REF!</definedName>
    <definedName name="Дата">#REF!</definedName>
    <definedName name="Дата_справки">#REF!</definedName>
    <definedName name="дата3">#REF!</definedName>
    <definedName name="дата5">#REF!</definedName>
    <definedName name="дата6">#REF!</definedName>
    <definedName name="дата7">#REF!</definedName>
    <definedName name="дата8">#REF!</definedName>
    <definedName name="ДатаБаланса">#REF!</definedName>
    <definedName name="ДатаНалива">#REF!</definedName>
    <definedName name="двенадцать">#REF!</definedName>
    <definedName name="дебит">#REF!</definedName>
    <definedName name="девять">#REF!</definedName>
    <definedName name="дек02">#REF!</definedName>
    <definedName name="дек2002год">#REF!</definedName>
    <definedName name="Декабрь">#REF!</definedName>
    <definedName name="декабрь2002">#REF!</definedName>
    <definedName name="ДекабрьКарта">#REF!</definedName>
    <definedName name="ДекабрьНормативы">#REF!</definedName>
    <definedName name="ДекабрьПродажи">#REF!</definedName>
    <definedName name="ДЕП">#REF!</definedName>
    <definedName name="Департамент">#REF!</definedName>
    <definedName name="джлдх">#REF!</definedName>
    <definedName name="джэж">#REF!</definedName>
    <definedName name="диагональ">#REF!</definedName>
    <definedName name="Дизайн">#REF!</definedName>
    <definedName name="Динамика_экспорта_ферро_98_00">#REF!</definedName>
    <definedName name="Динамика_экспорта_ферро_98_01">#REF!</definedName>
    <definedName name="Динамика_экспорта_ферро_98_99">#REF!</definedName>
    <definedName name="Динамика_экспорта_чугуна_97_00">#REF!</definedName>
    <definedName name="Динамика_экспорта_чугуна_98_00">#REF!</definedName>
    <definedName name="Динамика_экспорта_чугуна_98_99">#REF!</definedName>
    <definedName name="ДиПР">#REF!</definedName>
    <definedName name="длдж">#REF!</definedName>
    <definedName name="ДМС">#REF!</definedName>
    <definedName name="дмтс">#REF!</definedName>
    <definedName name="дни">#REF!</definedName>
    <definedName name="ДниПродаж">#REF!</definedName>
    <definedName name="Добыча">#REF!</definedName>
    <definedName name="Доз5">#REF!</definedName>
    <definedName name="доз6">#REF!</definedName>
    <definedName name="Должность">#REF!</definedName>
    <definedName name="доллар">#REF!</definedName>
    <definedName name="ДоляНДС">#REF!</definedName>
    <definedName name="Дополнительный">#REF!</definedName>
    <definedName name="дэис">#REF!</definedName>
    <definedName name="е78979879">#REF!</definedName>
    <definedName name="ЕдИзм">#REF!</definedName>
    <definedName name="ЕЕУЕУКЕПУ">#REF!</definedName>
    <definedName name="емкость">#REF!</definedName>
    <definedName name="ЕУЕУЕУ">#REF!</definedName>
    <definedName name="ЕУЕУКЕУФ">#REF!</definedName>
    <definedName name="жжжж">#REF!</definedName>
    <definedName name="З_Выработка">#REF!</definedName>
    <definedName name="З_Рента">#REF!</definedName>
    <definedName name="З_СС">#REF!</definedName>
    <definedName name="за2002">#REF!</definedName>
    <definedName name="за4мес">#REF!</definedName>
    <definedName name="Загол_1_1">#REF!</definedName>
    <definedName name="Загол_1_2">#REF!</definedName>
    <definedName name="Загол_1_3">#REF!</definedName>
    <definedName name="Загол_1_4">#REF!</definedName>
    <definedName name="Загол_1_5">#REF!</definedName>
    <definedName name="Загол_1_6">#REF!</definedName>
    <definedName name="Загол_1_7">#REF!</definedName>
    <definedName name="Загол_2_1">#REF!</definedName>
    <definedName name="Загол_2_2">#REF!</definedName>
    <definedName name="Загол_2_3">#REF!</definedName>
    <definedName name="Загол_2_4">#REF!</definedName>
    <definedName name="Загол_2_5">#REF!</definedName>
    <definedName name="Загол_2_6">#REF!</definedName>
    <definedName name="Загол_2_7">#REF!</definedName>
    <definedName name="Зарплата">#REF!</definedName>
    <definedName name="ЗглвПравый">#REF!</definedName>
    <definedName name="ЗглвПравыйДляЛистаБаланс">#REF!</definedName>
    <definedName name="земельный_налог">#REF!</definedName>
    <definedName name="зквартал">#REF!</definedName>
    <definedName name="Знак">#REF!</definedName>
    <definedName name="И">#REF!</definedName>
    <definedName name="и1">#REF!</definedName>
    <definedName name="иав">#REF!</definedName>
    <definedName name="известняк">#REF!</definedName>
    <definedName name="имн">#REF!</definedName>
    <definedName name="импорт">#REF!</definedName>
    <definedName name="Имущество">#REF!</definedName>
    <definedName name="ИмяФайлаSQL">#REF!</definedName>
    <definedName name="индекс">#REF!</definedName>
    <definedName name="индекс_азф">#REF!</definedName>
    <definedName name="индекс_ак">#REF!</definedName>
    <definedName name="индекс_актюбе">#REF!</definedName>
    <definedName name="индекс_донгок">#REF!</definedName>
    <definedName name="индекс_концентрат">#REF!</definedName>
    <definedName name="индекс_окатышей">#REF!</definedName>
    <definedName name="индекс_окатыши">#REF!</definedName>
    <definedName name="индекс_фер">#REF!</definedName>
    <definedName name="индекс_ферр">#REF!</definedName>
    <definedName name="индплан">#REF!</definedName>
    <definedName name="инкассация">#REF!</definedName>
    <definedName name="Испр.выработка">#REF!</definedName>
    <definedName name="Исходные_данные">#REF!</definedName>
    <definedName name="Июль">#REF!</definedName>
    <definedName name="июль2002">#REF!</definedName>
    <definedName name="ИюльКарта">#REF!</definedName>
    <definedName name="ИюльНормативы">#REF!</definedName>
    <definedName name="ИюльПродажи">#REF!</definedName>
    <definedName name="Июнь">#REF!</definedName>
    <definedName name="ИюньКарта">#REF!</definedName>
    <definedName name="ИюньНормативы">#REF!</definedName>
    <definedName name="ИюньПродажи">#REF!</definedName>
    <definedName name="й">#REF!</definedName>
    <definedName name="йй">#REF!</definedName>
    <definedName name="ййй">#REF!</definedName>
    <definedName name="к">#REF!</definedName>
    <definedName name="К_поправка">#REF!</definedName>
    <definedName name="к1">#REF!</definedName>
    <definedName name="к4">#REF!</definedName>
    <definedName name="Капитальные_вложения_всего">#REF!</definedName>
    <definedName name="Карт">#REF!</definedName>
    <definedName name="касса">#REF!</definedName>
    <definedName name="Квартал1">#REF!</definedName>
    <definedName name="Квартал1Показать">#REF!</definedName>
    <definedName name="Квартал2">#REF!</definedName>
    <definedName name="Квартал2Показать">#REF!</definedName>
    <definedName name="Квартал3">#REF!</definedName>
    <definedName name="Квартал3Показать">#REF!</definedName>
    <definedName name="Квартал4">#REF!</definedName>
    <definedName name="Квартал4Показать">#REF!</definedName>
    <definedName name="ке">#REF!</definedName>
    <definedName name="КЕПЕВКПЕК">#REF!</definedName>
    <definedName name="ККППК">#REF!</definedName>
    <definedName name="Класс">#REF!</definedName>
    <definedName name="Клинкер_01">#REF!</definedName>
    <definedName name="Клинкер_04">#REF!</definedName>
    <definedName name="Клинкер_05">#REF!</definedName>
    <definedName name="Клинкер_06">#REF!</definedName>
    <definedName name="Клинкер_07">#REF!</definedName>
    <definedName name="Клинкер_08">#REF!</definedName>
    <definedName name="Клинкер_09">#REF!</definedName>
    <definedName name="Клинкер_10">#REF!</definedName>
    <definedName name="Клинкер_11">#REF!</definedName>
    <definedName name="Клинкер_12">#REF!</definedName>
    <definedName name="Код">#REF!</definedName>
    <definedName name="Код_Н">#REF!</definedName>
    <definedName name="КодБранда">#REF!</definedName>
    <definedName name="кокс">#REF!</definedName>
    <definedName name="Кол_во_единиц_в_кейсе">#REF!</definedName>
    <definedName name="Кол_во_кейсов">#REF!</definedName>
    <definedName name="кол_инв">#REF!</definedName>
    <definedName name="кол_кред">#REF!</definedName>
    <definedName name="кол_услуг">#REF!</definedName>
    <definedName name="колич_РКО">#REF!</definedName>
    <definedName name="командировки">#REF!</definedName>
    <definedName name="Компр">#REF!</definedName>
    <definedName name="Консолидация">#REF!</definedName>
    <definedName name="Контент">#REF!</definedName>
    <definedName name="Коэф.загрузки">#REF!</definedName>
    <definedName name="кп">#REF!</definedName>
    <definedName name="Кпопр">#REF!</definedName>
    <definedName name="Кред">#REF!</definedName>
    <definedName name="кредит">#REF!</definedName>
    <definedName name="Кредит._ресурсы_Экибастузского_ф_ла_896709">#REF!</definedName>
    <definedName name="крс1">#REF!</definedName>
    <definedName name="Кружки">#REF!</definedName>
    <definedName name="Ктруд">#REF!</definedName>
    <definedName name="Кузня">#REF!</definedName>
    <definedName name="Курс">#REF!</definedName>
    <definedName name="курс_2005">#REF!</definedName>
    <definedName name="курс_2006">#REF!</definedName>
    <definedName name="курс_2007">#REF!</definedName>
    <definedName name="курс_2008">#REF!</definedName>
    <definedName name="курс_2009">#REF!</definedName>
    <definedName name="курс_2010">#REF!</definedName>
    <definedName name="курс_CHF">#REF!</definedName>
    <definedName name="курс_RR">#REF!</definedName>
    <definedName name="Курс_долл">#REF!</definedName>
    <definedName name="курс_доллара">#REF!</definedName>
    <definedName name="курс_сент">#REF!</definedName>
    <definedName name="курс_фев">#REF!</definedName>
    <definedName name="курс_февраль">#REF!</definedName>
    <definedName name="курс01">#REF!</definedName>
    <definedName name="Курс1">#REF!</definedName>
    <definedName name="Курсы">#REF!</definedName>
    <definedName name="кууу">#REF!</definedName>
    <definedName name="кыз1">#REF!</definedName>
    <definedName name="л">#REF!</definedName>
    <definedName name="л103">#REF!</definedName>
    <definedName name="лд">#REF!</definedName>
    <definedName name="лддлд">#REF!</definedName>
    <definedName name="лджож">#REF!</definedName>
    <definedName name="лена">#REF!</definedName>
    <definedName name="Ликвидация">#REF!</definedName>
    <definedName name="лист1">#REF!</definedName>
    <definedName name="лл">#REF!</definedName>
    <definedName name="Лом___тоннаж_экс99_по_месяцам">#REF!</definedName>
    <definedName name="Лом___тоннаж_экс99_по_странам">#REF!</definedName>
    <definedName name="ЛОМ3">#REF!</definedName>
    <definedName name="лорлрлрY38">#REF!</definedName>
    <definedName name="лр">#REF!</definedName>
    <definedName name="лщоь">#REF!</definedName>
    <definedName name="Лямбда">#REF!</definedName>
    <definedName name="магнезит_металлургический">#REF!</definedName>
    <definedName name="Май">#REF!</definedName>
    <definedName name="МайКарта">#REF!</definedName>
    <definedName name="МайНормативы">#REF!</definedName>
    <definedName name="МайПродажи">#REF!</definedName>
    <definedName name="Макрос1">#REF!</definedName>
    <definedName name="Макрос2">#REF!</definedName>
    <definedName name="Макрос3">#REF!</definedName>
    <definedName name="Макрос4">#REF!</definedName>
    <definedName name="Максимум">#REF!</definedName>
    <definedName name="Маркетинг">#REF!</definedName>
    <definedName name="Март">#REF!</definedName>
    <definedName name="март02г">#REF!</definedName>
    <definedName name="март2002">#REF!</definedName>
    <definedName name="МартКарта">#REF!</definedName>
    <definedName name="МартПродажи">#REF!</definedName>
    <definedName name="Массив_БАНКА">#REF!</definedName>
    <definedName name="Массив_КЕГ">#REF!</definedName>
    <definedName name="Массив_ПЭТ">#REF!</definedName>
    <definedName name="Массив_Тара">#REF!</definedName>
    <definedName name="Массив_ЦРП_1">#REF!</definedName>
    <definedName name="Массив_ЦРП_2">#REF!</definedName>
    <definedName name="матер_содерж_зданий">#REF!</definedName>
    <definedName name="материальные_расх">#REF!</definedName>
    <definedName name="медь_катодная">#REF!</definedName>
    <definedName name="мен_тал">#REF!</definedName>
    <definedName name="Меню">#REF!</definedName>
    <definedName name="Мес">#REF!</definedName>
    <definedName name="Месяц">#REF!</definedName>
    <definedName name="металлический_магний">#REF!</definedName>
    <definedName name="МИР">#REF!</definedName>
    <definedName name="мм">#REF!</definedName>
    <definedName name="ммм">#REF!</definedName>
    <definedName name="мммммммммммммм">#REF!</definedName>
    <definedName name="МоскоеКаско">#REF!</definedName>
    <definedName name="мпр">#REF!</definedName>
    <definedName name="МРП">#REF!</definedName>
    <definedName name="мсм">#REF!</definedName>
    <definedName name="МСТ">#REF!</definedName>
    <definedName name="мым">#REF!</definedName>
    <definedName name="МЭШ">#REF!</definedName>
    <definedName name="Н_дорож">#REF!</definedName>
    <definedName name="Надпись">#REF!</definedName>
    <definedName name="название">#REF!</definedName>
    <definedName name="Наименование">#REF!</definedName>
    <definedName name="налог_имущество">#REF!</definedName>
    <definedName name="налог_транспорт">#REF!</definedName>
    <definedName name="налог_ЦБ">#REF!</definedName>
    <definedName name="налоги">#REF!</definedName>
    <definedName name="НДС">#REF!</definedName>
    <definedName name="Недвижимость">#REF!</definedName>
    <definedName name="никель_катодный">#REF!</definedName>
    <definedName name="Номенклатура">#REF!</definedName>
    <definedName name="Номер">#REF!</definedName>
    <definedName name="номер__1">#REF!</definedName>
    <definedName name="номер__2">#REF!</definedName>
    <definedName name="номер__3">#REF!</definedName>
    <definedName name="номер_1">#REF!</definedName>
    <definedName name="номер_2">#REF!</definedName>
    <definedName name="номер_3">#REF!</definedName>
    <definedName name="номер_4">#REF!</definedName>
    <definedName name="номер_5">#REF!</definedName>
    <definedName name="Номер_Н">#REF!</definedName>
    <definedName name="номер01">#REF!</definedName>
    <definedName name="номер02">#REF!</definedName>
    <definedName name="номер03">#REF!</definedName>
    <definedName name="номер04">#REF!</definedName>
    <definedName name="номер05">#REF!</definedName>
    <definedName name="номер11">#REF!</definedName>
    <definedName name="номер12">#REF!</definedName>
    <definedName name="номер13">#REF!</definedName>
    <definedName name="НомР">#REF!</definedName>
    <definedName name="норма">#REF!</definedName>
    <definedName name="норма2">#REF!</definedName>
    <definedName name="норма3">#REF!</definedName>
    <definedName name="норма4">#REF!</definedName>
    <definedName name="Нормативы_численности_на_ТС_нормы_трудозатрат_главных_путей_Таблица">#REF!</definedName>
    <definedName name="Нормативы_численности_на_ТС_нормы_трудозатрат_главных_путей_Таблица1">#REF!</definedName>
    <definedName name="Нормативы_численности_на_ТС_нормы_трудозатрат_станцпутей_Таблица">#REF!</definedName>
    <definedName name="Нормативы_численности_на_ТС_рельсы_Таблица">#REF!</definedName>
    <definedName name="Ноябрь">#REF!</definedName>
    <definedName name="НоябрьКарта">#REF!</definedName>
    <definedName name="НоябрьНормативы">#REF!</definedName>
    <definedName name="НоябрьПродажи">#REF!</definedName>
    <definedName name="НС">#REF!</definedName>
    <definedName name="НСАБ">#REF!</definedName>
    <definedName name="НСККБ">#REF!</definedName>
    <definedName name="Нстроки">#REF!</definedName>
    <definedName name="о">#REF!</definedName>
    <definedName name="ОАБ">#REF!</definedName>
    <definedName name="Область_печати_ИМ">#REF!</definedName>
    <definedName name="Область_печати_ИМ___0">#REF!</definedName>
    <definedName name="Область_печати_ИМ___12">#REF!</definedName>
    <definedName name="Область_печати_ИМ___17">#REF!</definedName>
    <definedName name="Область_печати_ИМ___2">#REF!</definedName>
    <definedName name="Область_печати_ИМ___22">#REF!</definedName>
    <definedName name="Область_печати_ИМ___24">#REF!</definedName>
    <definedName name="Область_печати_ИМ___29">#REF!</definedName>
    <definedName name="Область_печати_ИМ___30">#REF!</definedName>
    <definedName name="Область_печати_ИМ___33">#REF!</definedName>
    <definedName name="Область_печати_ИМ___34">#REF!</definedName>
    <definedName name="Область_печати_ИМ___35">#REF!</definedName>
    <definedName name="Область_печати_ИМ___40">#REF!</definedName>
    <definedName name="Область_печати_ИМ___41">#REF!</definedName>
    <definedName name="Область_печати_ИМ___44">#REF!</definedName>
    <definedName name="Область_печати_ИМ___45">#REF!</definedName>
    <definedName name="Область_печати_ИМ___47">#REF!</definedName>
    <definedName name="обмунд_инкасс">#REF!</definedName>
    <definedName name="обмундир_охраны">#REF!</definedName>
    <definedName name="Обследование">#REF!</definedName>
    <definedName name="Объем_дополн.">#REF!</definedName>
    <definedName name="Обязательства_по_форфейтинговым_операциям">#REF!</definedName>
    <definedName name="ОГП">#REF!</definedName>
    <definedName name="одиннадцать">#REF!</definedName>
    <definedName name="ОККБ">#REF!</definedName>
    <definedName name="оклад">#REF!</definedName>
    <definedName name="окно">#REF!</definedName>
    <definedName name="окно_1">#REF!</definedName>
    <definedName name="окт">#REF!</definedName>
    <definedName name="Октябрь">#REF!</definedName>
    <definedName name="октябрь2002">#REF!</definedName>
    <definedName name="ОктябрьКарта">#REF!</definedName>
    <definedName name="ОктябрьНормативы">#REF!</definedName>
    <definedName name="ОктябрьПродажи">#REF!</definedName>
    <definedName name="октябрьуслуги">#REF!</definedName>
    <definedName name="олдж">#REF!</definedName>
    <definedName name="ОЛЕСЯ">#REF!</definedName>
    <definedName name="Олимпиады">#REF!</definedName>
    <definedName name="Онлайн_школа">#REF!</definedName>
    <definedName name="оол">#REF!</definedName>
    <definedName name="оопро">#REF!</definedName>
    <definedName name="Оперу">#REF!</definedName>
    <definedName name="оплата_труда">#REF!</definedName>
    <definedName name="ОР">#REF!</definedName>
    <definedName name="Ора">#REF!</definedName>
    <definedName name="осн_расч">#REF!</definedName>
    <definedName name="оснастка">#REF!</definedName>
    <definedName name="Остатки">#REF!</definedName>
    <definedName name="Остаток">#REF!</definedName>
    <definedName name="Остаток_новый">#REF!</definedName>
    <definedName name="отдел">#REF!</definedName>
    <definedName name="отдел_1">#REF!</definedName>
    <definedName name="Отдел_разработки">#REF!</definedName>
    <definedName name="охрана">#REF!</definedName>
    <definedName name="П_ПНОС">#REF!</definedName>
    <definedName name="П_произв">#REF!</definedName>
    <definedName name="П_прочие">#REF!</definedName>
    <definedName name="П_Смета">#REF!</definedName>
    <definedName name="П_техн">#REF!</definedName>
    <definedName name="пав">#REF!</definedName>
    <definedName name="пакет">#REF!</definedName>
    <definedName name="паот">#REF!</definedName>
    <definedName name="пар">#REF!</definedName>
    <definedName name="пер_затр">#REF!</definedName>
    <definedName name="первый">#REF!</definedName>
    <definedName name="Период_отгрузки">#REF!</definedName>
    <definedName name="Персон">#REF!</definedName>
    <definedName name="печ_гиш">#REF!</definedName>
    <definedName name="печ_диспспр">#REF!</definedName>
    <definedName name="печ_кн">#REF!</definedName>
    <definedName name="печ_кн1">#REF!</definedName>
    <definedName name="печ_кн11">#REF!</definedName>
    <definedName name="печ_месп">#REF!</definedName>
    <definedName name="печ_меср">#REF!</definedName>
    <definedName name="печ_оснспр">#REF!</definedName>
    <definedName name="печ_отч">#REF!</definedName>
    <definedName name="печ_отч1">#REF!</definedName>
    <definedName name="печ_пл1">#REF!</definedName>
    <definedName name="печать">#REF!</definedName>
    <definedName name="печать_перкв">#REF!</definedName>
    <definedName name="печать_рабкв">#REF!</definedName>
    <definedName name="пилоло">#REF!</definedName>
    <definedName name="ПКПЕКПП">#REF!</definedName>
    <definedName name="ПКПКЕПКЕ">#REF!</definedName>
    <definedName name="ПКУПЫУ">#REF!</definedName>
    <definedName name="плавиковая_кислота">#REF!</definedName>
    <definedName name="ПланЗАОсдопзад">#REF!</definedName>
    <definedName name="площ">#REF!</definedName>
    <definedName name="плюсНДС">#REF!</definedName>
    <definedName name="ПОА">#REF!</definedName>
    <definedName name="под">#REF!</definedName>
    <definedName name="под_изм">#REF!</definedName>
    <definedName name="под_норма">#REF!</definedName>
    <definedName name="под_объем">#REF!</definedName>
    <definedName name="под_раб">#REF!</definedName>
    <definedName name="под1">#REF!</definedName>
    <definedName name="под2">#REF!</definedName>
    <definedName name="под3">#REF!</definedName>
    <definedName name="под4">#REF!</definedName>
    <definedName name="под5">#REF!</definedName>
    <definedName name="под6">#REF!</definedName>
    <definedName name="подбор_к">#REF!</definedName>
    <definedName name="подбор_кSpectra">#REF!</definedName>
    <definedName name="подгод">#REF!</definedName>
    <definedName name="подгод_1">#REF!</definedName>
    <definedName name="подгот_кадров">#REF!</definedName>
    <definedName name="Подготовка_к_печати_и_сохранение0710">#REF!</definedName>
    <definedName name="Поддержка">#REF!</definedName>
    <definedName name="подписка">#REF!</definedName>
    <definedName name="поиск">#REF!</definedName>
    <definedName name="поиск2">#REF!</definedName>
    <definedName name="поиск3">#REF!</definedName>
    <definedName name="поиск4">#REF!</definedName>
    <definedName name="ПоказатьВсё">#REF!</definedName>
    <definedName name="после">#REF!</definedName>
    <definedName name="после_1">#REF!</definedName>
    <definedName name="послед">#REF!</definedName>
    <definedName name="Последняя_строка">#REF!</definedName>
    <definedName name="ППКПКЕП">#REF!</definedName>
    <definedName name="ппп">#REF!</definedName>
    <definedName name="пппп">#REF!</definedName>
    <definedName name="ппппп">#REF!</definedName>
    <definedName name="ППТН">#REF!</definedName>
    <definedName name="ППУПМУП">#REF!</definedName>
    <definedName name="пр4">#REF!</definedName>
    <definedName name="Предприятия">#REF!</definedName>
    <definedName name="ПризнакР">#REF!</definedName>
    <definedName name="прил.10">#REF!</definedName>
    <definedName name="прил14_нов">#REF!</definedName>
    <definedName name="прн">#REF!</definedName>
    <definedName name="про">#REF!</definedName>
    <definedName name="Проб_займ">#REF!</definedName>
    <definedName name="проверка_кп">#REF!</definedName>
    <definedName name="проврка_кп">#REF!</definedName>
    <definedName name="Прог">#REF!</definedName>
    <definedName name="Продажи2001">#REF!</definedName>
    <definedName name="Продукт">#REF!</definedName>
    <definedName name="промвода">#REF!</definedName>
    <definedName name="процент">#REF!</definedName>
    <definedName name="проч_адмрасх">#REF!</definedName>
    <definedName name="проч_операц">#REF!</definedName>
    <definedName name="Прочие_материалы">#REF!</definedName>
    <definedName name="прочие_налог">#REF!</definedName>
    <definedName name="прочие_общехоз">#REF!</definedName>
    <definedName name="прочие_расх">#REF!</definedName>
    <definedName name="прр">#REF!</definedName>
    <definedName name="пррррр">#REF!</definedName>
    <definedName name="прррррр">#REF!</definedName>
    <definedName name="ПФО">#REF!</definedName>
    <definedName name="Р_внепроизв">#REF!</definedName>
    <definedName name="Р_доп">#REF!</definedName>
    <definedName name="Р_общехоз">#REF!</definedName>
    <definedName name="Р_план">#REF!</definedName>
    <definedName name="Р_транспорт">#REF!</definedName>
    <definedName name="Р_факт">#REF!</definedName>
    <definedName name="Р_хранение">#REF!</definedName>
    <definedName name="Раб_дни">#REF!</definedName>
    <definedName name="Рабочие_дни">#REF!</definedName>
    <definedName name="рабочий">#REF!</definedName>
    <definedName name="размер">#REF!</definedName>
    <definedName name="РАПРАР">#REF!</definedName>
    <definedName name="РАРАКРАКР">#REF!</definedName>
    <definedName name="Рас_т">#REF!</definedName>
    <definedName name="Расх_внепр">#REF!</definedName>
    <definedName name="Расх_доп">#REF!</definedName>
    <definedName name="расх_мат_охраны">#REF!</definedName>
    <definedName name="расх_матер_инкасс">#REF!</definedName>
    <definedName name="Расш300609">#REF!</definedName>
    <definedName name="рдллл">#REF!</definedName>
    <definedName name="Реализ_плановая">#REF!</definedName>
    <definedName name="Реализ_факт">#REF!</definedName>
    <definedName name="Реализация">#REF!</definedName>
    <definedName name="Реализация_Сумм">#REF!</definedName>
    <definedName name="реклама">#REF!</definedName>
    <definedName name="рем">#REF!</definedName>
    <definedName name="ремонт">#REF!</definedName>
    <definedName name="Рентаб_сред">#REF!</definedName>
    <definedName name="рес1">#REF!</definedName>
    <definedName name="рк">#REF!</definedName>
    <definedName name="РОблКл1">#REF!</definedName>
    <definedName name="РОблКл2">#REF!</definedName>
    <definedName name="РОблКл3">#REF!</definedName>
    <definedName name="РОблКл4">#REF!</definedName>
    <definedName name="РОблКл5">#REF!</definedName>
    <definedName name="РОблКл6">#REF!</definedName>
    <definedName name="РОблКл7">#REF!</definedName>
    <definedName name="роДатаОтчетаSQL">#REF!</definedName>
    <definedName name="роЗаголовок1">#REF!</definedName>
    <definedName name="роЗаголовок2">#REF!</definedName>
    <definedName name="роЗаголовок3">#REF!</definedName>
    <definedName name="роИмяБанка">#REF!</definedName>
    <definedName name="роИмяФайлаТелеграммы">#REF!</definedName>
    <definedName name="роКаталогФайлаТелеграммы">#REF!</definedName>
    <definedName name="роКодМФО">#REF!</definedName>
    <definedName name="роПодпись1">#REF!</definedName>
    <definedName name="роПодпись2">#REF!</definedName>
    <definedName name="роПодпись3">#REF!</definedName>
    <definedName name="роПодпись4">#REF!</definedName>
    <definedName name="роРазделитель1">#REF!</definedName>
    <definedName name="роРазделитель2">#REF!</definedName>
    <definedName name="роРазделитель3">#REF!</definedName>
    <definedName name="РП">#REF!</definedName>
    <definedName name="рр">#REF!</definedName>
    <definedName name="ррр">#REF!</definedName>
    <definedName name="рррр">#REF!</definedName>
    <definedName name="рррррррррррррррррр">#REF!</definedName>
    <definedName name="с">#REF!</definedName>
    <definedName name="С_дата">#REF!</definedName>
    <definedName name="С_материал_Сумм">#REF!</definedName>
    <definedName name="С_полная">#REF!</definedName>
    <definedName name="С_производ">#REF!</definedName>
    <definedName name="С34">#REF!</definedName>
    <definedName name="сахар">#REF!</definedName>
    <definedName name="сброс.сброс">#REF!</definedName>
    <definedName name="сброс1">#REF!</definedName>
    <definedName name="СБУ_100">#REF!</definedName>
    <definedName name="свб">#REF!</definedName>
    <definedName name="свб_кол">#REF!</definedName>
    <definedName name="Сводный_баланс_н_п_с">#REF!</definedName>
    <definedName name="связь">#REF!</definedName>
    <definedName name="Себестоимость">#REF!</definedName>
    <definedName name="сев_уб">#REF!</definedName>
    <definedName name="сектор">#REF!</definedName>
    <definedName name="сент">#REF!</definedName>
    <definedName name="сент2002">#REF!</definedName>
    <definedName name="Сентябрь">#REF!</definedName>
    <definedName name="сентябрь2000год">#REF!</definedName>
    <definedName name="СентябрьКарта">#REF!</definedName>
    <definedName name="СентябрьНормативы">#REF!</definedName>
    <definedName name="СентябрьПродажи">#REF!</definedName>
    <definedName name="серная_кислота">#REF!</definedName>
    <definedName name="сетка">#REF!</definedName>
    <definedName name="см">#REF!</definedName>
    <definedName name="Смета_скр">#REF!</definedName>
    <definedName name="Смета_скр1">#REF!</definedName>
    <definedName name="СМР">#REF!</definedName>
    <definedName name="СН">#REF!</definedName>
    <definedName name="сода_кальцинированная">#REF!</definedName>
    <definedName name="сода_каустическая">#REF!</definedName>
    <definedName name="содерж_помещ">#REF!</definedName>
    <definedName name="Сохранение">#REF!</definedName>
    <definedName name="СП">#REF!</definedName>
    <definedName name="спец_одежд_обсл_перс">#REF!</definedName>
    <definedName name="спецоснастка">#REF!</definedName>
    <definedName name="спис01">#REF!</definedName>
    <definedName name="спис02">#REF!</definedName>
    <definedName name="спис03">#REF!</definedName>
    <definedName name="спис04">#REF!</definedName>
    <definedName name="спис05">#REF!</definedName>
    <definedName name="спис11">#REF!</definedName>
    <definedName name="спис12">#REF!</definedName>
    <definedName name="спис13">#REF!</definedName>
    <definedName name="СписокТЭП">#REF!</definedName>
    <definedName name="срок_4">#REF!</definedName>
    <definedName name="срок_6">#REF!</definedName>
    <definedName name="сс">#REF!</definedName>
    <definedName name="ссс">#REF!</definedName>
    <definedName name="сссс">#REF!</definedName>
    <definedName name="сссссс">#REF!</definedName>
    <definedName name="сссссссссс">#REF!</definedName>
    <definedName name="ссы">#REF!</definedName>
    <definedName name="СТ">#REF!</definedName>
    <definedName name="ставка">#REF!</definedName>
    <definedName name="Станция">#REF!</definedName>
    <definedName name="Степногрский_филиал">#REF!</definedName>
    <definedName name="стр_1">#REF!</definedName>
    <definedName name="стр_2">#REF!</definedName>
    <definedName name="стр_3">#REF!</definedName>
    <definedName name="стр_4">#REF!</definedName>
    <definedName name="стр_5">#REF!</definedName>
    <definedName name="стр1">#REF!</definedName>
    <definedName name="стр2">#REF!</definedName>
    <definedName name="стр3">#REF!</definedName>
    <definedName name="СТРОИТЕЛЬСТВО">#REF!</definedName>
    <definedName name="Строка">#REF!</definedName>
    <definedName name="строка__1">#REF!</definedName>
    <definedName name="строка__2">#REF!</definedName>
    <definedName name="строка__3">#REF!</definedName>
    <definedName name="строка_1">#REF!</definedName>
    <definedName name="строка_2">#REF!</definedName>
    <definedName name="строка_3">#REF!</definedName>
    <definedName name="строка_4">#REF!</definedName>
    <definedName name="строка_5">#REF!</definedName>
    <definedName name="строка01">#REF!</definedName>
    <definedName name="строка02">#REF!</definedName>
    <definedName name="строка03">#REF!</definedName>
    <definedName name="строка04">#REF!</definedName>
    <definedName name="строка05">#REF!</definedName>
    <definedName name="строка11">#REF!</definedName>
    <definedName name="строка12">#REF!</definedName>
    <definedName name="строка13">#REF!</definedName>
    <definedName name="Строки">#REF!</definedName>
    <definedName name="сумма_отрицат._остатков">#REF!</definedName>
    <definedName name="сумма_положит._остатков">#REF!</definedName>
    <definedName name="сурик_свинцовый">#REF!</definedName>
    <definedName name="Сценарий">#REF!</definedName>
    <definedName name="СЧ_ИСКЛ">#REF!</definedName>
    <definedName name="счет221">#REF!</definedName>
    <definedName name="сщзн">#REF!</definedName>
    <definedName name="сяры">#REF!</definedName>
    <definedName name="тал_уб">#REF!</definedName>
    <definedName name="Тариф_на_автоперевозки">#REF!</definedName>
    <definedName name="текдепоз">#REF!</definedName>
    <definedName name="ТекущаяДата">#REF!</definedName>
    <definedName name="Текущий_день">#REF!</definedName>
    <definedName name="тендер1">#REF!</definedName>
    <definedName name="техн">#REF!</definedName>
    <definedName name="техобслуж_ВТ">#REF!</definedName>
    <definedName name="техобслуж_ОС">#REF!</definedName>
    <definedName name="Тип_автомобиля">#REF!</definedName>
    <definedName name="Тип_продаж">#REF!</definedName>
    <definedName name="титэк">#REF!</definedName>
    <definedName name="титэк1">#REF!</definedName>
    <definedName name="титэмба">#REF!</definedName>
    <definedName name="тлн">#REF!</definedName>
    <definedName name="тлн1">#REF!</definedName>
    <definedName name="ТНП">#REF!</definedName>
    <definedName name="тов6м">#REF!</definedName>
    <definedName name="Трансляция_F">#REF!</definedName>
    <definedName name="трансп">#REF!</definedName>
    <definedName name="транспорт">#REF!</definedName>
    <definedName name="транспорт_раст">#REF!</definedName>
    <definedName name="Требования_к_должнику_по_форфейтинговым_операциям">#REF!</definedName>
    <definedName name="третий">#REF!</definedName>
    <definedName name="ттт">#REF!</definedName>
    <definedName name="туц">#REF!</definedName>
    <definedName name="у">#REF!</definedName>
    <definedName name="Увеличение">#REF!</definedName>
    <definedName name="уголь_осветляющий">#REF!</definedName>
    <definedName name="Узлы">#REF!</definedName>
    <definedName name="УИТ">#REF!</definedName>
    <definedName name="ук">#REF!</definedName>
    <definedName name="УКУПАУПУ">#REF!</definedName>
    <definedName name="Упорядочить_по_областям">#REF!</definedName>
    <definedName name="УППР">#REF!</definedName>
    <definedName name="УПРАВЛЕНИЕ_АНАЛИЗА_И_РАЗВИТИЯ_СТРАТЕГИИ_БАНКА">#REF!</definedName>
    <definedName name="УПРАВЛЕНИЕ_ПРОДАЖ_КОММЕРЧЕСКОЙ_СЕТИ">#REF!</definedName>
    <definedName name="УРБ">#REF!</definedName>
    <definedName name="Уровень2">#REF!</definedName>
    <definedName name="Уровень3">#REF!</definedName>
    <definedName name="урож2">#REF!</definedName>
    <definedName name="усл">#REF!</definedName>
    <definedName name="усл2002">#REF!</definedName>
    <definedName name="услуги">#REF!</definedName>
    <definedName name="Усть_Каменогорский_филиал">#REF!</definedName>
    <definedName name="ф">#REF!</definedName>
    <definedName name="Ф2">#REF!</definedName>
    <definedName name="Ф5_97">#REF!</definedName>
    <definedName name="Ф6_96">#REF!</definedName>
    <definedName name="Ф6_97">#REF!</definedName>
    <definedName name="Ф7_цены">#REF!</definedName>
    <definedName name="ф77">#REF!</definedName>
    <definedName name="Ф8_цены">#REF!</definedName>
    <definedName name="фев02г">#REF!</definedName>
    <definedName name="февр">#REF!</definedName>
    <definedName name="Февраль">#REF!</definedName>
    <definedName name="ФевральКарта">#REF!</definedName>
    <definedName name="ФевральПродажи">#REF!</definedName>
    <definedName name="фил.N1__Атамек._г.Алматы__акт">#REF!</definedName>
    <definedName name="Фил.N2_г.Алматы__Орда___акт.">#REF!</definedName>
    <definedName name="Филиал__1_ОАОБ_Центркредит__896217">#REF!</definedName>
    <definedName name="Филиал_N2_г.Алматы">#REF!</definedName>
    <definedName name="Филиал_N3">#REF!</definedName>
    <definedName name="Филиал_в_г_Акмоле_896327">#REF!</definedName>
    <definedName name="Филиал_в_г_Актау_896903">#REF!</definedName>
    <definedName name="Филиал_в_г_актюбинске_896505">#REF!</definedName>
    <definedName name="Филиал_в_г_Атырау_896424">#REF!</definedName>
    <definedName name="Филиал_в_г_Жамбыле_896806">#REF!</definedName>
    <definedName name="Филиал_в_г_Жезказгане_896822">#REF!</definedName>
    <definedName name="Филиал_в_г_Павлодаре_896110">#REF!</definedName>
    <definedName name="Филиал_в_г_Петропавловске_896916">#REF!</definedName>
    <definedName name="Филиал_в_г_Рудный_896408">#REF!</definedName>
    <definedName name="Филиал_в_г_Семипалатинске_896204">#REF!</definedName>
    <definedName name="Филиал_в_г_Степногорске_896521">#REF!</definedName>
    <definedName name="Филиал_в_г_Талдыкургане_896602">#REF!</definedName>
    <definedName name="Филиал_в_г_Темиртау_896107">#REF!</definedName>
    <definedName name="Филиал_в_г_Уральске_896013">#REF!</definedName>
    <definedName name="Филиал_в_г_устькаменогорске_896712">#REF!</definedName>
    <definedName name="Филиал_в_г_Шымкенте_896725">#REF!</definedName>
    <definedName name="Филиал_в_г_Шымкенте_Дос_896026">#REF!</definedName>
    <definedName name="Филиал_в_г_Щучинске_896123">#REF!</definedName>
    <definedName name="Филиал_г._Тараз___1896106">#REF!</definedName>
    <definedName name="филиал_г.Актау___активный_.">#REF!</definedName>
    <definedName name="Филиал_г.Рудный__пасс.">#REF!</definedName>
    <definedName name="Филиал_г.Темиртау">#REF!</definedName>
    <definedName name="Финансы">#REF!</definedName>
    <definedName name="ФинРиски">#REF!</definedName>
    <definedName name="ФИО1">#REF!</definedName>
    <definedName name="фис">#REF!</definedName>
    <definedName name="Флажок16_Щелкнуть">#REF!</definedName>
    <definedName name="Форма_Рент">#REF!</definedName>
    <definedName name="Форма_СС">#REF!</definedName>
    <definedName name="Форма_Цена">#REF!</definedName>
    <definedName name="форма6">#REF!</definedName>
    <definedName name="ффф">#REF!</definedName>
    <definedName name="фффффф">#REF!</definedName>
    <definedName name="ФХЛ">#REF!</definedName>
    <definedName name="фывфыв">#REF!</definedName>
    <definedName name="хд">#REF!</definedName>
    <definedName name="хъ">#REF!</definedName>
    <definedName name="ц">#REF!</definedName>
    <definedName name="Ц_нефти">#REF!</definedName>
    <definedName name="Ц_нефти_проч">#REF!</definedName>
    <definedName name="Ц_нефти_сред">#REF!</definedName>
    <definedName name="Ц_отгрузки">#REF!</definedName>
    <definedName name="Ц_пр_мат">#REF!</definedName>
    <definedName name="Ц_процес">#REF!</definedName>
    <definedName name="Ц_транспорт">#REF!</definedName>
    <definedName name="Ц_трнспорт">#REF!</definedName>
    <definedName name="Ц_услуг">#REF!</definedName>
    <definedName name="Ц1_Материал">#REF!</definedName>
    <definedName name="Ц1_переработ">#REF!</definedName>
    <definedName name="Цемент_01">#REF!</definedName>
    <definedName name="Цемент_04">#REF!</definedName>
    <definedName name="Цемент_05">#REF!</definedName>
    <definedName name="Цемент_06">#REF!</definedName>
    <definedName name="Цемент_07">#REF!</definedName>
    <definedName name="Цемент_08">#REF!</definedName>
    <definedName name="Цемент_09">#REF!</definedName>
    <definedName name="Цемент_10">#REF!</definedName>
    <definedName name="Цемент_11">#REF!</definedName>
    <definedName name="Цемент_12">#REF!</definedName>
    <definedName name="Цена">#REF!</definedName>
    <definedName name="Цена_03">#REF!</definedName>
    <definedName name="Цена_33">#REF!</definedName>
    <definedName name="Цена_34">#REF!</definedName>
    <definedName name="Цена_35">#REF!</definedName>
    <definedName name="Цена_4">#REF!</definedName>
    <definedName name="Цена_5">#REF!</definedName>
    <definedName name="Цена_55">#REF!</definedName>
    <definedName name="Цена_97">#REF!</definedName>
    <definedName name="Цена_без_НДС">#REF!</definedName>
    <definedName name="цена_воды">#REF!</definedName>
    <definedName name="Цена_нефти">#REF!</definedName>
    <definedName name="Цена_О">#REF!</definedName>
    <definedName name="Цена_переработки">#REF!</definedName>
    <definedName name="Цена_с_НДС">#REF!</definedName>
    <definedName name="цена10">#REF!</definedName>
    <definedName name="цена11">#REF!</definedName>
    <definedName name="цена13">#REF!</definedName>
    <definedName name="цена14">#REF!</definedName>
    <definedName name="цена15">#REF!</definedName>
    <definedName name="ЦенаFCA_53">#REF!</definedName>
    <definedName name="ЦиклНалив">#REF!</definedName>
    <definedName name="ЦО1">#REF!</definedName>
    <definedName name="ЦПБО">#REF!</definedName>
    <definedName name="ЦПК">#REF!</definedName>
    <definedName name="цу">#REF!</definedName>
    <definedName name="ЦФО">#REF!</definedName>
    <definedName name="ццццццццццц">#REF!</definedName>
    <definedName name="четвертый">#REF!</definedName>
    <definedName name="четырнадцать">#REF!</definedName>
    <definedName name="ЧУГУН3">#REF!</definedName>
    <definedName name="шаг1">#REF!</definedName>
    <definedName name="шаг5">#REF!</definedName>
    <definedName name="шаг8">#REF!</definedName>
    <definedName name="щ">#REF!</definedName>
    <definedName name="Щучинский_филиал__896213">#REF!</definedName>
    <definedName name="ы">#REF!</definedName>
    <definedName name="ыв">#REF!</definedName>
    <definedName name="ЫВПКПИАИ">#REF!</definedName>
    <definedName name="ывывы">#REF!</definedName>
    <definedName name="ЫРРЫРР">#REF!</definedName>
    <definedName name="ЫФилиал__2_ОАОБЦентркредит___896819">#REF!</definedName>
    <definedName name="ыыыы">#REF!</definedName>
    <definedName name="ь1">#REF!</definedName>
    <definedName name="ь2">#REF!</definedName>
    <definedName name="ьдома">#REF!</definedName>
    <definedName name="ььь">#REF!</definedName>
    <definedName name="Экология">#REF!</definedName>
    <definedName name="Экспорт_99_1">#REF!</definedName>
    <definedName name="Экспорт_99_2">#REF!</definedName>
    <definedName name="Экспорт_99_3">#REF!</definedName>
    <definedName name="Экспорт_Объемы_добычи">#REF!</definedName>
    <definedName name="Экспорт_Поставки_нефти">#REF!</definedName>
    <definedName name="электроды_графитовые">#REF!</definedName>
    <definedName name="электроэнергия">#REF!</definedName>
    <definedName name="ЭМУ">#REF!</definedName>
    <definedName name="энергозатраты">#REF!</definedName>
    <definedName name="ээ">#REF!</definedName>
    <definedName name="юр">#REF!</definedName>
    <definedName name="юю">#REF!</definedName>
    <definedName name="явп">#REF!</definedName>
    <definedName name="Январь">#REF!</definedName>
    <definedName name="январь2002">#REF!</definedName>
    <definedName name="ЯнварьАвгуст">#REF!</definedName>
    <definedName name="ЯнварьАпрель">#REF!</definedName>
    <definedName name="ЯнварьДекабрь">#REF!</definedName>
    <definedName name="ЯнварьИюль">#REF!</definedName>
    <definedName name="ЯнварьИюнь">#REF!</definedName>
    <definedName name="ЯнварьКарта">#REF!</definedName>
    <definedName name="ЯнварьМай">#REF!</definedName>
    <definedName name="ЯнварьНоябрь">#REF!</definedName>
    <definedName name="ЯнварьОктябрь">#REF!</definedName>
    <definedName name="ЯнварьПродажи">#REF!</definedName>
    <definedName name="ЯнварьСентябрь">#REF!</definedName>
    <definedName name="ЯнварьФевраль">#REF!</definedName>
    <definedName name="яя">#REF!</definedName>
    <definedName name="яяяя">#REF!</definedName>
    <definedName name="яяяяяя">#REF!</definedName>
    <definedName name="яяяяяяяяя">#REF!</definedName>
    <definedName name="яяяяяяяяяяяяяя">#REF!</definedName>
    <definedName name="订单产品信息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zaiD4ID4E433E6I0E7CaZsyFohbJDVSCnOtjrnaQmME="/>
    </ext>
  </extLst>
</workbook>
</file>

<file path=xl/calcChain.xml><?xml version="1.0" encoding="utf-8"?>
<calcChain xmlns="http://schemas.openxmlformats.org/spreadsheetml/2006/main">
  <c r="E177" i="3" l="1"/>
  <c r="C26" i="14"/>
  <c r="H26" i="14" s="1"/>
  <c r="C19" i="14"/>
  <c r="AI107" i="4"/>
  <c r="J209" i="3"/>
  <c r="K209" i="3"/>
  <c r="L209" i="3"/>
  <c r="M209" i="3"/>
  <c r="N209" i="3"/>
  <c r="O209" i="3"/>
  <c r="P209" i="3"/>
  <c r="Q209" i="3"/>
  <c r="R209" i="3"/>
  <c r="S209" i="3"/>
  <c r="T209" i="3"/>
  <c r="U209" i="3"/>
  <c r="V209" i="3"/>
  <c r="W209" i="3"/>
  <c r="X209" i="3"/>
  <c r="Y209" i="3"/>
  <c r="Z209" i="3"/>
  <c r="AA209" i="3"/>
  <c r="AB209" i="3"/>
  <c r="AC209" i="3"/>
  <c r="AD209" i="3"/>
  <c r="AE209" i="3"/>
  <c r="AF209" i="3"/>
  <c r="AG209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V210" i="3"/>
  <c r="W210" i="3"/>
  <c r="X210" i="3"/>
  <c r="Y210" i="3"/>
  <c r="Z210" i="3"/>
  <c r="AA210" i="3"/>
  <c r="AB210" i="3"/>
  <c r="AC210" i="3"/>
  <c r="AD210" i="3"/>
  <c r="AE210" i="3"/>
  <c r="AF210" i="3"/>
  <c r="AG210" i="3"/>
  <c r="J211" i="3"/>
  <c r="K211" i="3" s="1"/>
  <c r="J212" i="3"/>
  <c r="J213" i="3"/>
  <c r="K213" i="3" s="1"/>
  <c r="L213" i="3" s="1"/>
  <c r="M213" i="3" s="1"/>
  <c r="N213" i="3" s="1"/>
  <c r="O213" i="3" s="1"/>
  <c r="P213" i="3" s="1"/>
  <c r="Q213" i="3" s="1"/>
  <c r="R213" i="3" s="1"/>
  <c r="S213" i="3" s="1"/>
  <c r="T213" i="3" s="1"/>
  <c r="U213" i="3" s="1"/>
  <c r="V213" i="3" s="1"/>
  <c r="W213" i="3" s="1"/>
  <c r="X213" i="3" s="1"/>
  <c r="Y213" i="3" s="1"/>
  <c r="Z213" i="3" s="1"/>
  <c r="AA213" i="3" s="1"/>
  <c r="AB213" i="3" s="1"/>
  <c r="AC213" i="3" s="1"/>
  <c r="AD213" i="3" s="1"/>
  <c r="AE213" i="3" s="1"/>
  <c r="AF213" i="3" s="1"/>
  <c r="AG213" i="3" s="1"/>
  <c r="F82" i="14"/>
  <c r="F81" i="14"/>
  <c r="F80" i="14"/>
  <c r="F79" i="14"/>
  <c r="F78" i="13"/>
  <c r="F77" i="13"/>
  <c r="F76" i="13"/>
  <c r="F75" i="13"/>
  <c r="D23" i="14"/>
  <c r="E23" i="14" s="1"/>
  <c r="H23" i="14" s="1"/>
  <c r="D22" i="14"/>
  <c r="E22" i="14" s="1"/>
  <c r="H22" i="14" s="1"/>
  <c r="D21" i="14"/>
  <c r="E21" i="14" s="1"/>
  <c r="H21" i="14" s="1"/>
  <c r="D20" i="14"/>
  <c r="E20" i="14" s="1"/>
  <c r="H20" i="14" s="1"/>
  <c r="D19" i="14"/>
  <c r="E19" i="14" s="1"/>
  <c r="F74" i="13"/>
  <c r="F73" i="13"/>
  <c r="F72" i="13"/>
  <c r="F71" i="13"/>
  <c r="F70" i="13"/>
  <c r="F75" i="15"/>
  <c r="J75" i="15" s="1"/>
  <c r="K75" i="15" s="1"/>
  <c r="J74" i="15"/>
  <c r="K74" i="15" s="1"/>
  <c r="F74" i="15"/>
  <c r="J73" i="15"/>
  <c r="K73" i="15" s="1"/>
  <c r="F73" i="15"/>
  <c r="J72" i="15"/>
  <c r="K72" i="15" s="1"/>
  <c r="F72" i="15"/>
  <c r="F71" i="15"/>
  <c r="J71" i="15" s="1"/>
  <c r="K71" i="15" s="1"/>
  <c r="K70" i="15"/>
  <c r="J70" i="15"/>
  <c r="F70" i="15"/>
  <c r="F69" i="15"/>
  <c r="J69" i="15" s="1"/>
  <c r="K69" i="15" s="1"/>
  <c r="F68" i="15"/>
  <c r="J68" i="15" s="1"/>
  <c r="K68" i="15" s="1"/>
  <c r="F67" i="15"/>
  <c r="J67" i="15" s="1"/>
  <c r="K67" i="15" s="1"/>
  <c r="J66" i="15"/>
  <c r="K66" i="15" s="1"/>
  <c r="F66" i="15"/>
  <c r="J65" i="15"/>
  <c r="K65" i="15" s="1"/>
  <c r="F65" i="15"/>
  <c r="J64" i="15"/>
  <c r="K64" i="15" s="1"/>
  <c r="F64" i="15"/>
  <c r="F63" i="15"/>
  <c r="J63" i="15" s="1"/>
  <c r="K63" i="15" s="1"/>
  <c r="K62" i="15"/>
  <c r="J62" i="15"/>
  <c r="F62" i="15"/>
  <c r="F61" i="15"/>
  <c r="J61" i="15" s="1"/>
  <c r="K61" i="15" s="1"/>
  <c r="F60" i="15"/>
  <c r="J60" i="15" s="1"/>
  <c r="K60" i="15" s="1"/>
  <c r="F59" i="15"/>
  <c r="J59" i="15" s="1"/>
  <c r="K59" i="15" s="1"/>
  <c r="H5" i="14"/>
  <c r="H16" i="14"/>
  <c r="H24" i="14"/>
  <c r="H18" i="14"/>
  <c r="H17" i="14"/>
  <c r="H25" i="14"/>
  <c r="H15" i="14"/>
  <c r="H13" i="14"/>
  <c r="H10" i="14"/>
  <c r="E26" i="14"/>
  <c r="E24" i="14"/>
  <c r="E25" i="14"/>
  <c r="E18" i="14"/>
  <c r="E17" i="14"/>
  <c r="E15" i="14"/>
  <c r="E13" i="14"/>
  <c r="E10" i="14"/>
  <c r="E5" i="14"/>
  <c r="G70" i="3"/>
  <c r="K212" i="3" l="1"/>
  <c r="L211" i="3"/>
  <c r="H19" i="14"/>
  <c r="L212" i="3" l="1"/>
  <c r="M211" i="3"/>
  <c r="M212" i="3" l="1"/>
  <c r="N211" i="3"/>
  <c r="O211" i="3" l="1"/>
  <c r="N212" i="3"/>
  <c r="P211" i="3" l="1"/>
  <c r="O212" i="3"/>
  <c r="P212" i="3" l="1"/>
  <c r="Q211" i="3"/>
  <c r="Q212" i="3" l="1"/>
  <c r="R211" i="3"/>
  <c r="R212" i="3" l="1"/>
  <c r="S211" i="3"/>
  <c r="S212" i="3" l="1"/>
  <c r="T211" i="3"/>
  <c r="T212" i="3" l="1"/>
  <c r="U211" i="3"/>
  <c r="U212" i="3" l="1"/>
  <c r="V211" i="3"/>
  <c r="W211" i="3" l="1"/>
  <c r="V212" i="3"/>
  <c r="X211" i="3" l="1"/>
  <c r="W212" i="3"/>
  <c r="X212" i="3" l="1"/>
  <c r="Y211" i="3"/>
  <c r="Z211" i="3" l="1"/>
  <c r="Y212" i="3"/>
  <c r="AA211" i="3" l="1"/>
  <c r="Z212" i="3"/>
  <c r="AA212" i="3" l="1"/>
  <c r="AB211" i="3"/>
  <c r="AB212" i="3" l="1"/>
  <c r="AC211" i="3"/>
  <c r="AC212" i="3" l="1"/>
  <c r="AD211" i="3"/>
  <c r="AE211" i="3" l="1"/>
  <c r="AD212" i="3"/>
  <c r="AF211" i="3" l="1"/>
  <c r="AE212" i="3"/>
  <c r="AF212" i="3" l="1"/>
  <c r="AG211" i="3"/>
  <c r="AG212" i="3" s="1"/>
  <c r="H14" i="14" l="1"/>
  <c r="H12" i="14"/>
  <c r="H11" i="14"/>
  <c r="H9" i="14"/>
  <c r="H8" i="14"/>
  <c r="H7" i="14"/>
  <c r="H6" i="14"/>
  <c r="F85" i="14"/>
  <c r="F84" i="14"/>
  <c r="F87" i="14"/>
  <c r="F42" i="13"/>
  <c r="F40" i="13"/>
  <c r="C13" i="5"/>
  <c r="J51" i="7"/>
  <c r="AH169" i="7"/>
  <c r="AH157" i="7"/>
  <c r="AH145" i="7"/>
  <c r="AH95" i="7"/>
  <c r="AH77" i="7"/>
  <c r="AH53" i="7"/>
  <c r="H34" i="14"/>
  <c r="H48" i="14"/>
  <c r="H52" i="14"/>
  <c r="AI24" i="3"/>
  <c r="H49" i="13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47" i="14"/>
  <c r="H46" i="14"/>
  <c r="H45" i="14"/>
  <c r="H44" i="14"/>
  <c r="H43" i="14"/>
  <c r="H42" i="14"/>
  <c r="H41" i="14"/>
  <c r="H35" i="14"/>
  <c r="H33" i="14"/>
  <c r="H27" i="14" l="1"/>
  <c r="H28" i="14" s="1"/>
  <c r="H29" i="14" s="1"/>
  <c r="H71" i="14"/>
  <c r="E70" i="3" l="1"/>
  <c r="F53" i="13"/>
  <c r="E41" i="3"/>
  <c r="H49" i="14" l="1"/>
  <c r="H53" i="13"/>
  <c r="G53" i="13" s="1"/>
  <c r="H36" i="14"/>
  <c r="H37" i="14"/>
  <c r="F8" i="13"/>
  <c r="F16" i="1"/>
  <c r="F12" i="1"/>
  <c r="F11" i="1"/>
  <c r="F10" i="1"/>
  <c r="AF299" i="3"/>
  <c r="AE299" i="3"/>
  <c r="AD299" i="3"/>
  <c r="AC299" i="3"/>
  <c r="AB299" i="3"/>
  <c r="AA299" i="3"/>
  <c r="Z299" i="3"/>
  <c r="Y299" i="3"/>
  <c r="X299" i="3"/>
  <c r="W299" i="3"/>
  <c r="V299" i="3"/>
  <c r="U299" i="3"/>
  <c r="T299" i="3"/>
  <c r="S299" i="3"/>
  <c r="R299" i="3"/>
  <c r="Q299" i="3"/>
  <c r="P299" i="3"/>
  <c r="O299" i="3"/>
  <c r="N299" i="3"/>
  <c r="M299" i="3"/>
  <c r="L299" i="3"/>
  <c r="K299" i="3"/>
  <c r="J299" i="3"/>
  <c r="AF297" i="3"/>
  <c r="AE297" i="3"/>
  <c r="AD297" i="3"/>
  <c r="AC297" i="3"/>
  <c r="AB297" i="3"/>
  <c r="AA297" i="3"/>
  <c r="Z297" i="3"/>
  <c r="Y297" i="3"/>
  <c r="X297" i="3"/>
  <c r="W297" i="3"/>
  <c r="V297" i="3"/>
  <c r="T297" i="3"/>
  <c r="S297" i="3"/>
  <c r="R297" i="3"/>
  <c r="Q297" i="3"/>
  <c r="P297" i="3"/>
  <c r="O297" i="3"/>
  <c r="N297" i="3"/>
  <c r="M297" i="3"/>
  <c r="L297" i="3"/>
  <c r="K297" i="3"/>
  <c r="J297" i="3"/>
  <c r="F51" i="13" l="1"/>
  <c r="H51" i="13" s="1"/>
  <c r="H38" i="14"/>
  <c r="F9" i="1"/>
  <c r="H73" i="14" l="1"/>
  <c r="F50" i="13"/>
  <c r="F14" i="1"/>
  <c r="S47" i="3"/>
  <c r="J228" i="3"/>
  <c r="E46" i="5"/>
  <c r="F16" i="13"/>
  <c r="E4" i="5"/>
  <c r="F25" i="13"/>
  <c r="E16" i="1"/>
  <c r="E60" i="1" s="1"/>
  <c r="AT307" i="3"/>
  <c r="AS307" i="3"/>
  <c r="AG198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AT197" i="3"/>
  <c r="AS197" i="3"/>
  <c r="AR197" i="3"/>
  <c r="AQ197" i="3"/>
  <c r="AP197" i="3"/>
  <c r="AO197" i="3"/>
  <c r="AN197" i="3"/>
  <c r="AM197" i="3"/>
  <c r="AL197" i="3"/>
  <c r="AK197" i="3"/>
  <c r="AT196" i="3"/>
  <c r="AS196" i="3"/>
  <c r="AR196" i="3"/>
  <c r="AQ196" i="3"/>
  <c r="AP196" i="3"/>
  <c r="AO196" i="3"/>
  <c r="AN196" i="3"/>
  <c r="AM196" i="3"/>
  <c r="AL196" i="3"/>
  <c r="AK196" i="3"/>
  <c r="AT195" i="3"/>
  <c r="AS195" i="3"/>
  <c r="AR195" i="3"/>
  <c r="AQ195" i="3"/>
  <c r="AP195" i="3"/>
  <c r="AO195" i="3"/>
  <c r="AN195" i="3"/>
  <c r="AM195" i="3"/>
  <c r="AL195" i="3"/>
  <c r="AK195" i="3"/>
  <c r="AG197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AG196" i="3"/>
  <c r="AF196" i="3"/>
  <c r="AE196" i="3"/>
  <c r="AD196" i="3"/>
  <c r="AC196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AG195" i="3"/>
  <c r="AF195" i="3"/>
  <c r="AE195" i="3"/>
  <c r="AD195" i="3"/>
  <c r="AC195" i="3"/>
  <c r="AB195" i="3"/>
  <c r="AA195" i="3"/>
  <c r="E63" i="5" l="1"/>
  <c r="E64" i="5" s="1"/>
  <c r="E21" i="5"/>
  <c r="AA228" i="3" l="1"/>
  <c r="S228" i="3"/>
  <c r="K228" i="3"/>
  <c r="AK228" i="3"/>
  <c r="AL228" i="3" s="1"/>
  <c r="AM228" i="3" s="1"/>
  <c r="AN228" i="3" s="1"/>
  <c r="AO228" i="3" s="1"/>
  <c r="AP228" i="3" s="1"/>
  <c r="AQ228" i="3" s="1"/>
  <c r="AR228" i="3" s="1"/>
  <c r="AS228" i="3" s="1"/>
  <c r="AT228" i="3" s="1"/>
  <c r="Z228" i="3"/>
  <c r="R228" i="3"/>
  <c r="W228" i="3"/>
  <c r="AG228" i="3"/>
  <c r="Y228" i="3"/>
  <c r="Q228" i="3"/>
  <c r="AE228" i="3"/>
  <c r="V228" i="3"/>
  <c r="AF228" i="3"/>
  <c r="X228" i="3"/>
  <c r="P228" i="3"/>
  <c r="O228" i="3"/>
  <c r="AD228" i="3"/>
  <c r="N228" i="3"/>
  <c r="AC228" i="3"/>
  <c r="U228" i="3"/>
  <c r="M228" i="3"/>
  <c r="AB228" i="3"/>
  <c r="T228" i="3"/>
  <c r="L228" i="3"/>
  <c r="K68" i="5" l="1"/>
  <c r="L68" i="5" s="1"/>
  <c r="M68" i="5" s="1"/>
  <c r="N68" i="5" s="1"/>
  <c r="O68" i="5" s="1"/>
  <c r="P68" i="5" s="1"/>
  <c r="Q68" i="5" s="1"/>
  <c r="R68" i="5" s="1"/>
  <c r="S68" i="5" s="1"/>
  <c r="AI330" i="3" l="1"/>
  <c r="AI45" i="3"/>
  <c r="G55" i="13"/>
  <c r="G49" i="13"/>
  <c r="F17" i="3"/>
  <c r="E10" i="1" s="1"/>
  <c r="E55" i="1" s="1"/>
  <c r="F22" i="9" l="1"/>
  <c r="AI41" i="3"/>
  <c r="E46" i="3"/>
  <c r="E48" i="3" s="1"/>
  <c r="E47" i="3" s="1"/>
  <c r="F31" i="13"/>
  <c r="F18" i="13"/>
  <c r="F6" i="13"/>
  <c r="G41" i="13" s="1"/>
  <c r="F41" i="13" l="1"/>
  <c r="F54" i="13" s="1"/>
  <c r="H54" i="13" s="1"/>
  <c r="G54" i="13" s="1"/>
  <c r="F22" i="3"/>
  <c r="E14" i="1" s="1"/>
  <c r="E58" i="1" s="1"/>
  <c r="U19" i="12"/>
  <c r="T19" i="12"/>
  <c r="M19" i="12"/>
  <c r="L19" i="12"/>
  <c r="K19" i="12"/>
  <c r="J19" i="12"/>
  <c r="K4" i="12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F52" i="13" l="1"/>
  <c r="H52" i="13" s="1"/>
  <c r="F15" i="1"/>
  <c r="F23" i="3"/>
  <c r="E15" i="1" s="1"/>
  <c r="E59" i="1" l="1"/>
  <c r="H59" i="1" s="1"/>
  <c r="F13" i="1"/>
  <c r="F17" i="1" s="1"/>
  <c r="F19" i="3"/>
  <c r="E12" i="1" s="1"/>
  <c r="E57" i="1" s="1"/>
  <c r="G52" i="13"/>
  <c r="E45" i="5" l="1"/>
  <c r="AJ292" i="3"/>
  <c r="AJ295" i="3" s="1"/>
  <c r="F48" i="13"/>
  <c r="G51" i="13"/>
  <c r="F18" i="3"/>
  <c r="E11" i="1" s="1"/>
  <c r="E56" i="1" s="1"/>
  <c r="H48" i="13" l="1"/>
  <c r="H50" i="13" s="1"/>
  <c r="F56" i="13"/>
  <c r="F44" i="13" s="1"/>
  <c r="F39" i="13" s="1"/>
  <c r="AI331" i="3"/>
  <c r="AI445" i="3" s="1"/>
  <c r="F16" i="3"/>
  <c r="G48" i="13" l="1"/>
  <c r="H56" i="13"/>
  <c r="G56" i="13" s="1"/>
  <c r="G57" i="13" s="1"/>
  <c r="G50" i="13"/>
  <c r="E438" i="3"/>
  <c r="J346" i="3"/>
  <c r="F6" i="3"/>
  <c r="AI271" i="3"/>
  <c r="AI346" i="3" s="1"/>
  <c r="AI282" i="3" l="1"/>
  <c r="E3" i="5"/>
  <c r="AG79" i="5"/>
  <c r="AG299" i="3" l="1"/>
  <c r="DY79" i="5"/>
  <c r="AS79" i="5"/>
  <c r="DM79" i="5"/>
  <c r="DA79" i="5"/>
  <c r="CO79" i="5"/>
  <c r="CC79" i="5"/>
  <c r="BQ79" i="5"/>
  <c r="BE79" i="5"/>
  <c r="S72" i="5"/>
  <c r="S75" i="5"/>
  <c r="AG534" i="3" l="1"/>
  <c r="AG376" i="3"/>
  <c r="AF376" i="3"/>
  <c r="AE376" i="3"/>
  <c r="AD376" i="3"/>
  <c r="AC376" i="3"/>
  <c r="AB376" i="3"/>
  <c r="AA376" i="3"/>
  <c r="Z376" i="3"/>
  <c r="Y376" i="3"/>
  <c r="X376" i="3"/>
  <c r="W376" i="3"/>
  <c r="V376" i="3"/>
  <c r="U376" i="3"/>
  <c r="T376" i="3"/>
  <c r="S376" i="3"/>
  <c r="R376" i="3"/>
  <c r="Q376" i="3"/>
  <c r="P376" i="3"/>
  <c r="O376" i="3"/>
  <c r="N376" i="3"/>
  <c r="M376" i="3"/>
  <c r="L376" i="3"/>
  <c r="K376" i="3"/>
  <c r="J376" i="3"/>
  <c r="J381" i="3" s="1"/>
  <c r="AI376" i="3"/>
  <c r="AI381" i="3" s="1"/>
  <c r="AI326" i="3" s="1"/>
  <c r="AJ376" i="3"/>
  <c r="J219" i="3"/>
  <c r="C16" i="1"/>
  <c r="H60" i="1"/>
  <c r="AI147" i="3"/>
  <c r="AG147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Q147" i="3"/>
  <c r="P147" i="3"/>
  <c r="O147" i="3"/>
  <c r="N147" i="3"/>
  <c r="M147" i="3"/>
  <c r="L147" i="3"/>
  <c r="K147" i="3"/>
  <c r="J147" i="3"/>
  <c r="AI186" i="3"/>
  <c r="AJ186" i="3" s="1"/>
  <c r="AK186" i="3" s="1"/>
  <c r="AL186" i="3" s="1"/>
  <c r="AM186" i="3" s="1"/>
  <c r="AN186" i="3" s="1"/>
  <c r="AO186" i="3" s="1"/>
  <c r="AP186" i="3" s="1"/>
  <c r="AQ186" i="3" s="1"/>
  <c r="AR186" i="3" s="1"/>
  <c r="AS186" i="3" s="1"/>
  <c r="AT186" i="3" s="1"/>
  <c r="J186" i="3"/>
  <c r="AT25" i="7"/>
  <c r="AT24" i="7"/>
  <c r="AT23" i="7"/>
  <c r="AT22" i="7"/>
  <c r="AT6" i="7"/>
  <c r="AI185" i="3"/>
  <c r="AJ185" i="3" s="1"/>
  <c r="AK185" i="3" s="1"/>
  <c r="AL185" i="3" s="1"/>
  <c r="AM185" i="3" s="1"/>
  <c r="AN185" i="3" s="1"/>
  <c r="AO185" i="3" s="1"/>
  <c r="AP185" i="3" s="1"/>
  <c r="AQ185" i="3" s="1"/>
  <c r="AR185" i="3" s="1"/>
  <c r="AS185" i="3" s="1"/>
  <c r="AT185" i="3" s="1"/>
  <c r="J185" i="3"/>
  <c r="AA169" i="3"/>
  <c r="T169" i="3"/>
  <c r="S169" i="3"/>
  <c r="R169" i="3"/>
  <c r="Q169" i="3"/>
  <c r="J169" i="3"/>
  <c r="AT123" i="4"/>
  <c r="AT85" i="4"/>
  <c r="AT146" i="3"/>
  <c r="AT177" i="4" s="1"/>
  <c r="AT259" i="4" s="1"/>
  <c r="AS146" i="3"/>
  <c r="AS169" i="3" s="1"/>
  <c r="AR146" i="3"/>
  <c r="AR169" i="3" s="1"/>
  <c r="AQ146" i="3"/>
  <c r="AQ169" i="3" s="1"/>
  <c r="AP146" i="3"/>
  <c r="AP169" i="3" s="1"/>
  <c r="AO146" i="3"/>
  <c r="AO169" i="3" s="1"/>
  <c r="AN146" i="3"/>
  <c r="AN169" i="3" s="1"/>
  <c r="AM146" i="3"/>
  <c r="AM169" i="3" s="1"/>
  <c r="AL146" i="3"/>
  <c r="AL169" i="3" s="1"/>
  <c r="AK146" i="3"/>
  <c r="AK169" i="3" s="1"/>
  <c r="AJ146" i="3"/>
  <c r="AJ147" i="3" s="1"/>
  <c r="AI177" i="4"/>
  <c r="AI259" i="4" s="1"/>
  <c r="J134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R146" i="3" s="1"/>
  <c r="R147" i="3" s="1"/>
  <c r="Q135" i="3"/>
  <c r="P135" i="3"/>
  <c r="O135" i="3"/>
  <c r="N135" i="3"/>
  <c r="M135" i="3"/>
  <c r="L135" i="3"/>
  <c r="K135" i="3"/>
  <c r="J135" i="3"/>
  <c r="AG142" i="3"/>
  <c r="AG151" i="3" s="1"/>
  <c r="AG152" i="3" s="1"/>
  <c r="AG169" i="3" s="1"/>
  <c r="AF142" i="3"/>
  <c r="AF151" i="3" s="1"/>
  <c r="AF152" i="3" s="1"/>
  <c r="AF169" i="3" s="1"/>
  <c r="AE142" i="3"/>
  <c r="AD142" i="3"/>
  <c r="AD151" i="3" s="1"/>
  <c r="AD152" i="3" s="1"/>
  <c r="AD169" i="3" s="1"/>
  <c r="AC142" i="3"/>
  <c r="AC151" i="3" s="1"/>
  <c r="AC152" i="3" s="1"/>
  <c r="AC169" i="3" s="1"/>
  <c r="AB142" i="3"/>
  <c r="AB143" i="3" s="1"/>
  <c r="AA142" i="3"/>
  <c r="AA143" i="3" s="1"/>
  <c r="Z142" i="3"/>
  <c r="Z143" i="3" s="1"/>
  <c r="Y142" i="3"/>
  <c r="Y143" i="3" s="1"/>
  <c r="X142" i="3"/>
  <c r="X143" i="3" s="1"/>
  <c r="W142" i="3"/>
  <c r="V142" i="3"/>
  <c r="V143" i="3" s="1"/>
  <c r="U142" i="3"/>
  <c r="T142" i="3"/>
  <c r="T143" i="3" s="1"/>
  <c r="S142" i="3"/>
  <c r="S143" i="3" s="1"/>
  <c r="R142" i="3"/>
  <c r="R143" i="3" s="1"/>
  <c r="Q142" i="3"/>
  <c r="Q143" i="3" s="1"/>
  <c r="P142" i="3"/>
  <c r="P151" i="3" s="1"/>
  <c r="O142" i="3"/>
  <c r="N142" i="3"/>
  <c r="N151" i="3" s="1"/>
  <c r="M142" i="3"/>
  <c r="M151" i="3" s="1"/>
  <c r="L142" i="3"/>
  <c r="L143" i="3" s="1"/>
  <c r="K142" i="3"/>
  <c r="K143" i="3" s="1"/>
  <c r="J142" i="3"/>
  <c r="AI105" i="4"/>
  <c r="AT135" i="3"/>
  <c r="AS135" i="3"/>
  <c r="AR135" i="3"/>
  <c r="AQ135" i="3"/>
  <c r="AP135" i="3"/>
  <c r="AO135" i="3"/>
  <c r="AN135" i="3"/>
  <c r="AM135" i="3"/>
  <c r="AL135" i="3"/>
  <c r="AK135" i="3"/>
  <c r="AJ135" i="3"/>
  <c r="AI135" i="3"/>
  <c r="Z152" i="3"/>
  <c r="Z169" i="3" s="1"/>
  <c r="AR136" i="3"/>
  <c r="AI106" i="4" l="1"/>
  <c r="I60" i="1"/>
  <c r="K219" i="3"/>
  <c r="O381" i="3"/>
  <c r="W381" i="3"/>
  <c r="AE381" i="3"/>
  <c r="Y381" i="3"/>
  <c r="AG381" i="3"/>
  <c r="M381" i="3"/>
  <c r="U381" i="3"/>
  <c r="AC381" i="3"/>
  <c r="AJ381" i="3"/>
  <c r="AJ326" i="3" s="1"/>
  <c r="N381" i="3"/>
  <c r="V381" i="3"/>
  <c r="AD381" i="3"/>
  <c r="R381" i="3"/>
  <c r="L381" i="3"/>
  <c r="T381" i="3"/>
  <c r="AA381" i="3"/>
  <c r="Q381" i="3"/>
  <c r="Z381" i="3"/>
  <c r="AB381" i="3"/>
  <c r="K381" i="3"/>
  <c r="P381" i="3"/>
  <c r="X381" i="3"/>
  <c r="AF381" i="3"/>
  <c r="S381" i="3"/>
  <c r="F60" i="1"/>
  <c r="G60" i="1" s="1"/>
  <c r="AT147" i="3"/>
  <c r="AT220" i="3" s="1"/>
  <c r="AL147" i="3"/>
  <c r="AL220" i="3" s="1"/>
  <c r="AM147" i="3"/>
  <c r="AM220" i="3" s="1"/>
  <c r="AN147" i="3"/>
  <c r="AN220" i="3" s="1"/>
  <c r="AO147" i="3"/>
  <c r="AO220" i="3" s="1"/>
  <c r="AP147" i="3"/>
  <c r="AP220" i="3" s="1"/>
  <c r="AQ147" i="3"/>
  <c r="AQ220" i="3" s="1"/>
  <c r="AR147" i="3"/>
  <c r="AR220" i="3" s="1"/>
  <c r="AK147" i="3"/>
  <c r="AK220" i="3" s="1"/>
  <c r="AS147" i="3"/>
  <c r="AS220" i="3" s="1"/>
  <c r="AT169" i="3"/>
  <c r="AI108" i="4"/>
  <c r="AS136" i="3"/>
  <c r="AK136" i="3"/>
  <c r="AT136" i="3"/>
  <c r="AM136" i="3"/>
  <c r="AN136" i="3"/>
  <c r="AO136" i="3"/>
  <c r="AL136" i="3"/>
  <c r="AP136" i="3"/>
  <c r="AQ136" i="3"/>
  <c r="AJ136" i="3"/>
  <c r="AI136" i="3"/>
  <c r="U151" i="3"/>
  <c r="U152" i="3" s="1"/>
  <c r="U169" i="3" s="1"/>
  <c r="AG143" i="3"/>
  <c r="Q151" i="3"/>
  <c r="L151" i="3"/>
  <c r="K151" i="3"/>
  <c r="T151" i="3"/>
  <c r="Y151" i="3"/>
  <c r="Y152" i="3" s="1"/>
  <c r="Y169" i="3" s="1"/>
  <c r="AB151" i="3"/>
  <c r="AB152" i="3" s="1"/>
  <c r="AB169" i="3" s="1"/>
  <c r="U143" i="3"/>
  <c r="V151" i="3"/>
  <c r="V152" i="3" s="1"/>
  <c r="V169" i="3" s="1"/>
  <c r="N143" i="3"/>
  <c r="AD143" i="3"/>
  <c r="P143" i="3"/>
  <c r="AF143" i="3"/>
  <c r="S151" i="3"/>
  <c r="M143" i="3"/>
  <c r="AC143" i="3"/>
  <c r="O151" i="3"/>
  <c r="O143" i="3"/>
  <c r="W151" i="3"/>
  <c r="W152" i="3" s="1"/>
  <c r="W169" i="3" s="1"/>
  <c r="W143" i="3"/>
  <c r="AE151" i="3"/>
  <c r="AE152" i="3" s="1"/>
  <c r="AE169" i="3" s="1"/>
  <c r="AE143" i="3"/>
  <c r="R151" i="3"/>
  <c r="AO376" i="3" l="1"/>
  <c r="AN376" i="3"/>
  <c r="AM376" i="3"/>
  <c r="AS376" i="3"/>
  <c r="AL376" i="3"/>
  <c r="AK376" i="3"/>
  <c r="AK381" i="3" s="1"/>
  <c r="AK326" i="3" s="1"/>
  <c r="AT376" i="3"/>
  <c r="AR376" i="3"/>
  <c r="AQ376" i="3"/>
  <c r="AP376" i="3"/>
  <c r="L219" i="3"/>
  <c r="AJ108" i="4"/>
  <c r="AK108" i="4" s="1"/>
  <c r="AL108" i="4" s="1"/>
  <c r="AM108" i="4" s="1"/>
  <c r="AN108" i="4" s="1"/>
  <c r="AO108" i="4" s="1"/>
  <c r="AP108" i="4" s="1"/>
  <c r="AQ108" i="4" s="1"/>
  <c r="AR108" i="4" s="1"/>
  <c r="AS108" i="4" s="1"/>
  <c r="AT108" i="4" s="1"/>
  <c r="F152" i="3"/>
  <c r="AS381" i="3" l="1"/>
  <c r="AS326" i="3" s="1"/>
  <c r="AO381" i="3"/>
  <c r="AO326" i="3" s="1"/>
  <c r="AR381" i="3"/>
  <c r="AR326" i="3" s="1"/>
  <c r="AN381" i="3"/>
  <c r="AN326" i="3" s="1"/>
  <c r="AP381" i="3"/>
  <c r="AP326" i="3" s="1"/>
  <c r="AT381" i="3"/>
  <c r="AT326" i="3" s="1"/>
  <c r="AQ381" i="3"/>
  <c r="AQ326" i="3" s="1"/>
  <c r="AM381" i="3"/>
  <c r="AM326" i="3" s="1"/>
  <c r="AL381" i="3"/>
  <c r="AL326" i="3" s="1"/>
  <c r="M219" i="3"/>
  <c r="E178" i="3"/>
  <c r="AK157" i="3"/>
  <c r="N219" i="3" l="1"/>
  <c r="AT478" i="3"/>
  <c r="AT194" i="3" s="1"/>
  <c r="AT341" i="3"/>
  <c r="AT335" i="3"/>
  <c r="AT61" i="3"/>
  <c r="AT51" i="3"/>
  <c r="E293" i="3"/>
  <c r="E283" i="3"/>
  <c r="D54" i="5"/>
  <c r="D55" i="5" s="1"/>
  <c r="D56" i="5" s="1"/>
  <c r="D57" i="5" s="1"/>
  <c r="D58" i="5" s="1"/>
  <c r="D59" i="5" s="1"/>
  <c r="D60" i="5" s="1"/>
  <c r="D61" i="5" s="1"/>
  <c r="D62" i="5" s="1"/>
  <c r="D63" i="5" s="1"/>
  <c r="F23" i="9"/>
  <c r="AI428" i="3" l="1"/>
  <c r="AJ428" i="3" s="1"/>
  <c r="AK428" i="3" s="1"/>
  <c r="AL428" i="3" s="1"/>
  <c r="AM428" i="3" s="1"/>
  <c r="AN428" i="3" s="1"/>
  <c r="AO428" i="3" s="1"/>
  <c r="AP428" i="3" s="1"/>
  <c r="AQ428" i="3" s="1"/>
  <c r="AR428" i="3" s="1"/>
  <c r="AS428" i="3" s="1"/>
  <c r="AT428" i="3" s="1"/>
  <c r="E14" i="11" l="1"/>
  <c r="E17" i="11" s="1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1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J64" i="7"/>
  <c r="K64" i="7" s="1"/>
  <c r="C64" i="7"/>
  <c r="C74" i="7" s="1"/>
  <c r="C92" i="7" s="1"/>
  <c r="C110" i="7" s="1"/>
  <c r="C120" i="7" s="1"/>
  <c r="C130" i="7" s="1"/>
  <c r="C142" i="7" s="1"/>
  <c r="C154" i="7" s="1"/>
  <c r="C166" i="7" s="1"/>
  <c r="J63" i="7"/>
  <c r="AI63" i="7" s="1"/>
  <c r="C63" i="7"/>
  <c r="C73" i="7" s="1"/>
  <c r="C91" i="7" s="1"/>
  <c r="C109" i="7" s="1"/>
  <c r="C119" i="7" s="1"/>
  <c r="C129" i="7" s="1"/>
  <c r="C141" i="7" s="1"/>
  <c r="C153" i="7" s="1"/>
  <c r="C165" i="7" s="1"/>
  <c r="J62" i="7"/>
  <c r="K62" i="7" s="1"/>
  <c r="C62" i="7"/>
  <c r="C72" i="7" s="1"/>
  <c r="C90" i="7" s="1"/>
  <c r="C108" i="7" s="1"/>
  <c r="C118" i="7" s="1"/>
  <c r="C128" i="7" s="1"/>
  <c r="C140" i="7" s="1"/>
  <c r="C152" i="7" s="1"/>
  <c r="C164" i="7" s="1"/>
  <c r="J61" i="7"/>
  <c r="C61" i="7"/>
  <c r="C71" i="7" s="1"/>
  <c r="C89" i="7" s="1"/>
  <c r="C107" i="7" s="1"/>
  <c r="C117" i="7" s="1"/>
  <c r="C127" i="7" s="1"/>
  <c r="C139" i="7" s="1"/>
  <c r="C151" i="7" s="1"/>
  <c r="C163" i="7" s="1"/>
  <c r="J60" i="7"/>
  <c r="K60" i="7" s="1"/>
  <c r="C60" i="7"/>
  <c r="C70" i="7" s="1"/>
  <c r="C88" i="7" s="1"/>
  <c r="C106" i="7" s="1"/>
  <c r="C116" i="7" s="1"/>
  <c r="C126" i="7" s="1"/>
  <c r="C138" i="7" s="1"/>
  <c r="C150" i="7" s="1"/>
  <c r="C162" i="7" s="1"/>
  <c r="J53" i="7"/>
  <c r="AI50" i="7"/>
  <c r="AJ50" i="7" s="1"/>
  <c r="AK50" i="7" s="1"/>
  <c r="K50" i="7"/>
  <c r="AI49" i="7"/>
  <c r="AJ49" i="7" s="1"/>
  <c r="AK49" i="7" s="1"/>
  <c r="K49" i="7"/>
  <c r="L49" i="7" s="1"/>
  <c r="AI48" i="7"/>
  <c r="AJ48" i="7" s="1"/>
  <c r="AK48" i="7" s="1"/>
  <c r="AL48" i="7" s="1"/>
  <c r="K48" i="7"/>
  <c r="L48" i="7" s="1"/>
  <c r="M48" i="7" s="1"/>
  <c r="AI47" i="7"/>
  <c r="AJ47" i="7" s="1"/>
  <c r="AK47" i="7" s="1"/>
  <c r="K47" i="7"/>
  <c r="AI46" i="7"/>
  <c r="K46" i="7"/>
  <c r="L46" i="7" s="1"/>
  <c r="AS25" i="7"/>
  <c r="AR25" i="7"/>
  <c r="AQ25" i="7"/>
  <c r="AP25" i="7"/>
  <c r="AO25" i="7"/>
  <c r="AN25" i="7"/>
  <c r="AM25" i="7"/>
  <c r="AL25" i="7"/>
  <c r="AK25" i="7"/>
  <c r="AJ25" i="7"/>
  <c r="AI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AS24" i="7"/>
  <c r="AR24" i="7"/>
  <c r="AQ24" i="7"/>
  <c r="AP24" i="7"/>
  <c r="AO24" i="7"/>
  <c r="AN24" i="7"/>
  <c r="AM24" i="7"/>
  <c r="AL24" i="7"/>
  <c r="AK24" i="7"/>
  <c r="AJ24" i="7"/>
  <c r="AI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AS23" i="7"/>
  <c r="AR23" i="7"/>
  <c r="AQ23" i="7"/>
  <c r="AP23" i="7"/>
  <c r="AO23" i="7"/>
  <c r="AN23" i="7"/>
  <c r="AM23" i="7"/>
  <c r="AL23" i="7"/>
  <c r="AK23" i="7"/>
  <c r="AJ23" i="7"/>
  <c r="AI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AS22" i="7"/>
  <c r="AR22" i="7"/>
  <c r="AQ22" i="7"/>
  <c r="AP22" i="7"/>
  <c r="AO22" i="7"/>
  <c r="AN22" i="7"/>
  <c r="AM22" i="7"/>
  <c r="AL22" i="7"/>
  <c r="AK22" i="7"/>
  <c r="AJ22" i="7"/>
  <c r="AI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AI19" i="7"/>
  <c r="J19" i="7"/>
  <c r="AI18" i="7"/>
  <c r="J18" i="7"/>
  <c r="K17" i="7"/>
  <c r="K19" i="7" s="1"/>
  <c r="AJ14" i="7"/>
  <c r="AJ12" i="7" s="1"/>
  <c r="K14" i="7"/>
  <c r="L14" i="7" s="1"/>
  <c r="M14" i="7" s="1"/>
  <c r="K13" i="7"/>
  <c r="L13" i="7" s="1"/>
  <c r="M13" i="7" s="1"/>
  <c r="N13" i="7" s="1"/>
  <c r="O13" i="7" s="1"/>
  <c r="P13" i="7" s="1"/>
  <c r="Q13" i="7" s="1"/>
  <c r="R13" i="7" s="1"/>
  <c r="S13" i="7" s="1"/>
  <c r="T13" i="7" s="1"/>
  <c r="U13" i="7" s="1"/>
  <c r="V13" i="7" s="1"/>
  <c r="W13" i="7" s="1"/>
  <c r="X13" i="7" s="1"/>
  <c r="Y13" i="7" s="1"/>
  <c r="Z13" i="7" s="1"/>
  <c r="AA13" i="7" s="1"/>
  <c r="AB13" i="7" s="1"/>
  <c r="AC13" i="7" s="1"/>
  <c r="AD13" i="7" s="1"/>
  <c r="AE13" i="7" s="1"/>
  <c r="AF13" i="7" s="1"/>
  <c r="AG13" i="7" s="1"/>
  <c r="AI12" i="7"/>
  <c r="J12" i="7"/>
  <c r="K10" i="7"/>
  <c r="L10" i="7" s="1"/>
  <c r="M10" i="7" s="1"/>
  <c r="N10" i="7" s="1"/>
  <c r="O10" i="7" s="1"/>
  <c r="P10" i="7" s="1"/>
  <c r="Q10" i="7" s="1"/>
  <c r="R10" i="7" s="1"/>
  <c r="S10" i="7" s="1"/>
  <c r="T10" i="7" s="1"/>
  <c r="U10" i="7" s="1"/>
  <c r="V10" i="7" s="1"/>
  <c r="W10" i="7" s="1"/>
  <c r="X10" i="7" s="1"/>
  <c r="Y10" i="7" s="1"/>
  <c r="Z10" i="7" s="1"/>
  <c r="AA10" i="7" s="1"/>
  <c r="AB10" i="7" s="1"/>
  <c r="AC10" i="7" s="1"/>
  <c r="AD10" i="7" s="1"/>
  <c r="AE10" i="7" s="1"/>
  <c r="AF10" i="7" s="1"/>
  <c r="AG10" i="7" s="1"/>
  <c r="G7" i="7"/>
  <c r="AS6" i="7"/>
  <c r="AR6" i="7"/>
  <c r="AQ6" i="7"/>
  <c r="AP6" i="7"/>
  <c r="AO6" i="7"/>
  <c r="AN6" i="7"/>
  <c r="AM6" i="7"/>
  <c r="AL6" i="7"/>
  <c r="AK6" i="7"/>
  <c r="AA6" i="7" s="1"/>
  <c r="AJ6" i="7"/>
  <c r="O6" i="7" s="1"/>
  <c r="O16" i="7" s="1"/>
  <c r="P16" i="7" s="1"/>
  <c r="Q16" i="7" s="1"/>
  <c r="R16" i="7" s="1"/>
  <c r="S16" i="7" s="1"/>
  <c r="T16" i="7" s="1"/>
  <c r="U16" i="7" s="1"/>
  <c r="V16" i="7" s="1"/>
  <c r="W16" i="7" s="1"/>
  <c r="X16" i="7" s="1"/>
  <c r="Y16" i="7" s="1"/>
  <c r="Z16" i="7" s="1"/>
  <c r="AI6" i="7"/>
  <c r="J6" i="7" s="1"/>
  <c r="AC6" i="7"/>
  <c r="AD6" i="7" s="1"/>
  <c r="AE6" i="7" s="1"/>
  <c r="AF6" i="7" s="1"/>
  <c r="AG6" i="7" s="1"/>
  <c r="Q6" i="7"/>
  <c r="R6" i="7" s="1"/>
  <c r="S6" i="7" s="1"/>
  <c r="T6" i="7" s="1"/>
  <c r="U6" i="7" s="1"/>
  <c r="V6" i="7" s="1"/>
  <c r="W6" i="7" s="1"/>
  <c r="X6" i="7" s="1"/>
  <c r="Y6" i="7" s="1"/>
  <c r="Z6" i="7" s="1"/>
  <c r="L6" i="7"/>
  <c r="J5" i="7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AF5" i="7" s="1"/>
  <c r="AG5" i="7" s="1"/>
  <c r="AI1" i="7"/>
  <c r="AI13" i="7" s="1"/>
  <c r="AI5" i="7" s="1"/>
  <c r="T68" i="5"/>
  <c r="U68" i="5" s="1"/>
  <c r="V68" i="5" s="1"/>
  <c r="W68" i="5" s="1"/>
  <c r="X68" i="5" s="1"/>
  <c r="Y68" i="5" s="1"/>
  <c r="Z68" i="5" s="1"/>
  <c r="AA68" i="5" s="1"/>
  <c r="AB68" i="5" s="1"/>
  <c r="AC68" i="5" s="1"/>
  <c r="AD68" i="5" s="1"/>
  <c r="AE68" i="5" s="1"/>
  <c r="AF68" i="5" s="1"/>
  <c r="AG68" i="5" s="1"/>
  <c r="AH68" i="5" s="1"/>
  <c r="AI68" i="5" s="1"/>
  <c r="AJ68" i="5" s="1"/>
  <c r="AK68" i="5" s="1"/>
  <c r="AL68" i="5" s="1"/>
  <c r="AM68" i="5" s="1"/>
  <c r="AN68" i="5" s="1"/>
  <c r="AO68" i="5" s="1"/>
  <c r="AP68" i="5" s="1"/>
  <c r="AQ68" i="5" s="1"/>
  <c r="AR68" i="5" s="1"/>
  <c r="AS68" i="5" s="1"/>
  <c r="AT68" i="5" s="1"/>
  <c r="AU68" i="5" s="1"/>
  <c r="AV68" i="5" s="1"/>
  <c r="AW68" i="5" s="1"/>
  <c r="AX68" i="5" s="1"/>
  <c r="AY68" i="5" s="1"/>
  <c r="AZ68" i="5" s="1"/>
  <c r="BA68" i="5" s="1"/>
  <c r="BB68" i="5" s="1"/>
  <c r="BC68" i="5" s="1"/>
  <c r="BD68" i="5" s="1"/>
  <c r="BE68" i="5" s="1"/>
  <c r="BF68" i="5" s="1"/>
  <c r="BG68" i="5" s="1"/>
  <c r="BH68" i="5" s="1"/>
  <c r="BI68" i="5" s="1"/>
  <c r="BJ68" i="5" s="1"/>
  <c r="BK68" i="5" s="1"/>
  <c r="BL68" i="5" s="1"/>
  <c r="BM68" i="5" s="1"/>
  <c r="BN68" i="5" s="1"/>
  <c r="BO68" i="5" s="1"/>
  <c r="BP68" i="5" s="1"/>
  <c r="BQ68" i="5" s="1"/>
  <c r="BR68" i="5" s="1"/>
  <c r="BS68" i="5" s="1"/>
  <c r="BT68" i="5" s="1"/>
  <c r="BU68" i="5" s="1"/>
  <c r="BV68" i="5" s="1"/>
  <c r="BW68" i="5" s="1"/>
  <c r="BX68" i="5" s="1"/>
  <c r="BY68" i="5" s="1"/>
  <c r="BZ68" i="5" s="1"/>
  <c r="CA68" i="5" s="1"/>
  <c r="CB68" i="5" s="1"/>
  <c r="CC68" i="5" s="1"/>
  <c r="CD68" i="5" s="1"/>
  <c r="CE68" i="5" s="1"/>
  <c r="CF68" i="5" s="1"/>
  <c r="CG68" i="5" s="1"/>
  <c r="CH68" i="5" s="1"/>
  <c r="CI68" i="5" s="1"/>
  <c r="CJ68" i="5" s="1"/>
  <c r="CK68" i="5" s="1"/>
  <c r="CL68" i="5" s="1"/>
  <c r="CM68" i="5" s="1"/>
  <c r="CN68" i="5" s="1"/>
  <c r="CO68" i="5" s="1"/>
  <c r="CP68" i="5" s="1"/>
  <c r="CQ68" i="5" s="1"/>
  <c r="CR68" i="5" s="1"/>
  <c r="CS68" i="5" s="1"/>
  <c r="CT68" i="5" s="1"/>
  <c r="CU68" i="5" s="1"/>
  <c r="CV68" i="5" s="1"/>
  <c r="CW68" i="5" s="1"/>
  <c r="CX68" i="5" s="1"/>
  <c r="CY68" i="5" s="1"/>
  <c r="CZ68" i="5" s="1"/>
  <c r="DA68" i="5" s="1"/>
  <c r="DB68" i="5" s="1"/>
  <c r="DC68" i="5" s="1"/>
  <c r="DD68" i="5" s="1"/>
  <c r="DE68" i="5" s="1"/>
  <c r="DF68" i="5" s="1"/>
  <c r="DG68" i="5" s="1"/>
  <c r="DH68" i="5" s="1"/>
  <c r="DI68" i="5" s="1"/>
  <c r="DJ68" i="5" s="1"/>
  <c r="DK68" i="5" s="1"/>
  <c r="DL68" i="5" s="1"/>
  <c r="DM68" i="5" s="1"/>
  <c r="DN68" i="5" s="1"/>
  <c r="DO68" i="5" s="1"/>
  <c r="DP68" i="5" s="1"/>
  <c r="DQ68" i="5" s="1"/>
  <c r="DR68" i="5" s="1"/>
  <c r="DS68" i="5" s="1"/>
  <c r="DT68" i="5" s="1"/>
  <c r="DU68" i="5" s="1"/>
  <c r="DV68" i="5" s="1"/>
  <c r="DW68" i="5" s="1"/>
  <c r="DX68" i="5" s="1"/>
  <c r="DY68" i="5" s="1"/>
  <c r="K24" i="5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AG24" i="5" s="1"/>
  <c r="AH24" i="5" s="1"/>
  <c r="AI24" i="5" s="1"/>
  <c r="AJ24" i="5" s="1"/>
  <c r="AK24" i="5" s="1"/>
  <c r="AL24" i="5" s="1"/>
  <c r="AM24" i="5" s="1"/>
  <c r="AN24" i="5" s="1"/>
  <c r="AO24" i="5" s="1"/>
  <c r="AP24" i="5" s="1"/>
  <c r="AQ24" i="5" s="1"/>
  <c r="AR24" i="5" s="1"/>
  <c r="AS24" i="5" s="1"/>
  <c r="AT24" i="5" s="1"/>
  <c r="AU24" i="5" s="1"/>
  <c r="AV24" i="5" s="1"/>
  <c r="AW24" i="5" s="1"/>
  <c r="AX24" i="5" s="1"/>
  <c r="AY24" i="5" s="1"/>
  <c r="AZ24" i="5" s="1"/>
  <c r="BA24" i="5" s="1"/>
  <c r="BB24" i="5" s="1"/>
  <c r="BC24" i="5" s="1"/>
  <c r="BD24" i="5" s="1"/>
  <c r="BE24" i="5" s="1"/>
  <c r="BF24" i="5" s="1"/>
  <c r="BG24" i="5" s="1"/>
  <c r="BH24" i="5" s="1"/>
  <c r="BI24" i="5" s="1"/>
  <c r="BJ24" i="5" s="1"/>
  <c r="BK24" i="5" s="1"/>
  <c r="BL24" i="5" s="1"/>
  <c r="BM24" i="5" s="1"/>
  <c r="BN24" i="5" s="1"/>
  <c r="BO24" i="5" s="1"/>
  <c r="BP24" i="5" s="1"/>
  <c r="BQ24" i="5" s="1"/>
  <c r="BR24" i="5" s="1"/>
  <c r="BS24" i="5" s="1"/>
  <c r="BT24" i="5" s="1"/>
  <c r="BU24" i="5" s="1"/>
  <c r="BV24" i="5" s="1"/>
  <c r="BW24" i="5" s="1"/>
  <c r="BX24" i="5" s="1"/>
  <c r="BY24" i="5" s="1"/>
  <c r="BZ24" i="5" s="1"/>
  <c r="CA24" i="5" s="1"/>
  <c r="CB24" i="5" s="1"/>
  <c r="CC24" i="5" s="1"/>
  <c r="CD24" i="5" s="1"/>
  <c r="CE24" i="5" s="1"/>
  <c r="CF24" i="5" s="1"/>
  <c r="CG24" i="5" s="1"/>
  <c r="CH24" i="5" s="1"/>
  <c r="CI24" i="5" s="1"/>
  <c r="CJ24" i="5" s="1"/>
  <c r="CK24" i="5" s="1"/>
  <c r="CL24" i="5" s="1"/>
  <c r="CM24" i="5" s="1"/>
  <c r="CN24" i="5" s="1"/>
  <c r="CO24" i="5" s="1"/>
  <c r="CP24" i="5" s="1"/>
  <c r="CQ24" i="5" s="1"/>
  <c r="CR24" i="5" s="1"/>
  <c r="CS24" i="5" s="1"/>
  <c r="CT24" i="5" s="1"/>
  <c r="CU24" i="5" s="1"/>
  <c r="CV24" i="5" s="1"/>
  <c r="CW24" i="5" s="1"/>
  <c r="CX24" i="5" s="1"/>
  <c r="CY24" i="5" s="1"/>
  <c r="CZ24" i="5" s="1"/>
  <c r="DA24" i="5" s="1"/>
  <c r="DB24" i="5" s="1"/>
  <c r="DC24" i="5" s="1"/>
  <c r="DD24" i="5" s="1"/>
  <c r="DE24" i="5" s="1"/>
  <c r="DF24" i="5" s="1"/>
  <c r="DG24" i="5" s="1"/>
  <c r="DH24" i="5" s="1"/>
  <c r="DI24" i="5" s="1"/>
  <c r="DJ24" i="5" s="1"/>
  <c r="DK24" i="5" s="1"/>
  <c r="DL24" i="5" s="1"/>
  <c r="DM24" i="5" s="1"/>
  <c r="DN24" i="5" s="1"/>
  <c r="DO24" i="5" s="1"/>
  <c r="DP24" i="5" s="1"/>
  <c r="DQ24" i="5" s="1"/>
  <c r="DR24" i="5" s="1"/>
  <c r="DS24" i="5" s="1"/>
  <c r="DT24" i="5" s="1"/>
  <c r="DU24" i="5" s="1"/>
  <c r="DV24" i="5" s="1"/>
  <c r="DW24" i="5" s="1"/>
  <c r="DX24" i="5" s="1"/>
  <c r="DY24" i="5" s="1"/>
  <c r="E22" i="5"/>
  <c r="D12" i="5"/>
  <c r="D13" i="5" s="1"/>
  <c r="D14" i="5" s="1"/>
  <c r="D15" i="5" s="1"/>
  <c r="D16" i="5" s="1"/>
  <c r="D17" i="5" s="1"/>
  <c r="D18" i="5" s="1"/>
  <c r="D19" i="5" s="1"/>
  <c r="D20" i="5" s="1"/>
  <c r="D21" i="5" s="1"/>
  <c r="AU237" i="4"/>
  <c r="AG227" i="4"/>
  <c r="AF227" i="4"/>
  <c r="AE227" i="4"/>
  <c r="AD227" i="4"/>
  <c r="AC227" i="4"/>
  <c r="AB227" i="4"/>
  <c r="AA227" i="4"/>
  <c r="Z227" i="4"/>
  <c r="Y227" i="4"/>
  <c r="X227" i="4"/>
  <c r="W227" i="4"/>
  <c r="V227" i="4"/>
  <c r="U227" i="4"/>
  <c r="T227" i="4"/>
  <c r="S227" i="4"/>
  <c r="R227" i="4"/>
  <c r="Q227" i="4"/>
  <c r="P227" i="4"/>
  <c r="O227" i="4"/>
  <c r="N227" i="4"/>
  <c r="M227" i="4"/>
  <c r="L227" i="4"/>
  <c r="K227" i="4"/>
  <c r="J227" i="4"/>
  <c r="AU226" i="4"/>
  <c r="Q216" i="4"/>
  <c r="P216" i="4"/>
  <c r="O216" i="4"/>
  <c r="N216" i="4"/>
  <c r="M216" i="4"/>
  <c r="L216" i="4"/>
  <c r="K216" i="4"/>
  <c r="AU215" i="4"/>
  <c r="AG205" i="4"/>
  <c r="AF205" i="4"/>
  <c r="AE205" i="4"/>
  <c r="AD205" i="4"/>
  <c r="AC205" i="4"/>
  <c r="AB205" i="4"/>
  <c r="AA205" i="4"/>
  <c r="Z205" i="4"/>
  <c r="Y205" i="4"/>
  <c r="X205" i="4"/>
  <c r="W205" i="4"/>
  <c r="V205" i="4"/>
  <c r="U205" i="4"/>
  <c r="T205" i="4"/>
  <c r="S205" i="4"/>
  <c r="R205" i="4"/>
  <c r="Q205" i="4"/>
  <c r="P205" i="4"/>
  <c r="O205" i="4"/>
  <c r="N205" i="4"/>
  <c r="M205" i="4"/>
  <c r="L205" i="4"/>
  <c r="K205" i="4"/>
  <c r="J205" i="4"/>
  <c r="AU204" i="4"/>
  <c r="AK194" i="4"/>
  <c r="AG194" i="4"/>
  <c r="AF194" i="4"/>
  <c r="AE194" i="4"/>
  <c r="AD194" i="4"/>
  <c r="AC194" i="4"/>
  <c r="AB194" i="4"/>
  <c r="AA194" i="4"/>
  <c r="Z194" i="4"/>
  <c r="Y194" i="4"/>
  <c r="X194" i="4"/>
  <c r="W194" i="4"/>
  <c r="V194" i="4"/>
  <c r="U194" i="4"/>
  <c r="T194" i="4"/>
  <c r="S194" i="4"/>
  <c r="R194" i="4"/>
  <c r="AU193" i="4"/>
  <c r="J168" i="4"/>
  <c r="Z165" i="4"/>
  <c r="Y165" i="4"/>
  <c r="Y166" i="4" s="1"/>
  <c r="X165" i="4"/>
  <c r="X166" i="4" s="1"/>
  <c r="W165" i="4"/>
  <c r="W166" i="4" s="1"/>
  <c r="V165" i="4"/>
  <c r="V166" i="4" s="1"/>
  <c r="U165" i="4"/>
  <c r="U166" i="4" s="1"/>
  <c r="T165" i="4"/>
  <c r="T166" i="4" s="1"/>
  <c r="S165" i="4"/>
  <c r="S166" i="4" s="1"/>
  <c r="R165" i="4"/>
  <c r="R166" i="4" s="1"/>
  <c r="Q165" i="4"/>
  <c r="Q166" i="4" s="1"/>
  <c r="P165" i="4"/>
  <c r="P166" i="4" s="1"/>
  <c r="O165" i="4"/>
  <c r="O166" i="4" s="1"/>
  <c r="N165" i="4"/>
  <c r="N166" i="4" s="1"/>
  <c r="M165" i="4"/>
  <c r="M166" i="4" s="1"/>
  <c r="L165" i="4"/>
  <c r="L166" i="4" s="1"/>
  <c r="K165" i="4"/>
  <c r="K166" i="4" s="1"/>
  <c r="J165" i="4"/>
  <c r="J166" i="4" s="1"/>
  <c r="AI161" i="4"/>
  <c r="AK159" i="4"/>
  <c r="AK227" i="4" s="1"/>
  <c r="AJ159" i="4"/>
  <c r="AJ227" i="4" s="1"/>
  <c r="J159" i="4"/>
  <c r="J216" i="4" s="1"/>
  <c r="R158" i="4"/>
  <c r="Q158" i="4"/>
  <c r="P158" i="4"/>
  <c r="O158" i="4"/>
  <c r="N158" i="4"/>
  <c r="M158" i="4"/>
  <c r="L158" i="4"/>
  <c r="AG153" i="4"/>
  <c r="AF153" i="4"/>
  <c r="AG151" i="4" s="1"/>
  <c r="AE153" i="4"/>
  <c r="AF151" i="4" s="1"/>
  <c r="AD153" i="4"/>
  <c r="AE151" i="4" s="1"/>
  <c r="AC153" i="4"/>
  <c r="AD151" i="4" s="1"/>
  <c r="AB153" i="4"/>
  <c r="AC151" i="4" s="1"/>
  <c r="AA153" i="4"/>
  <c r="AB151" i="4" s="1"/>
  <c r="Z153" i="4"/>
  <c r="AA151" i="4" s="1"/>
  <c r="Y153" i="4"/>
  <c r="Z151" i="4" s="1"/>
  <c r="X153" i="4"/>
  <c r="Y151" i="4" s="1"/>
  <c r="W153" i="4"/>
  <c r="X151" i="4" s="1"/>
  <c r="V153" i="4"/>
  <c r="W151" i="4" s="1"/>
  <c r="U153" i="4"/>
  <c r="V151" i="4" s="1"/>
  <c r="T153" i="4"/>
  <c r="U151" i="4" s="1"/>
  <c r="S153" i="4"/>
  <c r="T151" i="4" s="1"/>
  <c r="R153" i="4"/>
  <c r="S151" i="4" s="1"/>
  <c r="AJ147" i="4"/>
  <c r="AJ145" i="4" s="1"/>
  <c r="K147" i="4"/>
  <c r="AI145" i="4"/>
  <c r="J145" i="4"/>
  <c r="K143" i="4"/>
  <c r="L143" i="4" s="1"/>
  <c r="M143" i="4" s="1"/>
  <c r="N143" i="4" s="1"/>
  <c r="O143" i="4" s="1"/>
  <c r="P143" i="4" s="1"/>
  <c r="Q143" i="4" s="1"/>
  <c r="R143" i="4" s="1"/>
  <c r="S143" i="4" s="1"/>
  <c r="T143" i="4" s="1"/>
  <c r="U143" i="4" s="1"/>
  <c r="V143" i="4" s="1"/>
  <c r="W143" i="4" s="1"/>
  <c r="X143" i="4" s="1"/>
  <c r="Y143" i="4" s="1"/>
  <c r="Z143" i="4" s="1"/>
  <c r="AA143" i="4" s="1"/>
  <c r="AB143" i="4" s="1"/>
  <c r="AC143" i="4" s="1"/>
  <c r="AD143" i="4" s="1"/>
  <c r="AE143" i="4" s="1"/>
  <c r="AF143" i="4" s="1"/>
  <c r="AG143" i="4" s="1"/>
  <c r="BQ139" i="4"/>
  <c r="BP139" i="4"/>
  <c r="BO139" i="4"/>
  <c r="BN139" i="4"/>
  <c r="BG139" i="4"/>
  <c r="BF139" i="4"/>
  <c r="BE139" i="4"/>
  <c r="BE140" i="4" s="1"/>
  <c r="BF124" i="4" s="1"/>
  <c r="BA139" i="4"/>
  <c r="AZ139" i="4"/>
  <c r="AY139" i="4"/>
  <c r="U139" i="4"/>
  <c r="BM139" i="4" s="1"/>
  <c r="T139" i="4"/>
  <c r="BL139" i="4" s="1"/>
  <c r="F139" i="4"/>
  <c r="AX139" i="4" s="1"/>
  <c r="E139" i="4"/>
  <c r="AW139" i="4" s="1"/>
  <c r="D139" i="4"/>
  <c r="AV139" i="4" s="1"/>
  <c r="BQ138" i="4"/>
  <c r="BP138" i="4"/>
  <c r="BA138" i="4"/>
  <c r="AZ138" i="4"/>
  <c r="AY138" i="4"/>
  <c r="AX138" i="4"/>
  <c r="AW138" i="4"/>
  <c r="AV138" i="4"/>
  <c r="BQ137" i="4"/>
  <c r="BI137" i="4"/>
  <c r="BP137" i="4" s="1"/>
  <c r="BH137" i="4"/>
  <c r="BO137" i="4" s="1"/>
  <c r="BG137" i="4"/>
  <c r="BF137" i="4"/>
  <c r="BE137" i="4"/>
  <c r="BA137" i="4"/>
  <c r="AZ137" i="4"/>
  <c r="AY137" i="4"/>
  <c r="AX137" i="4"/>
  <c r="AW137" i="4"/>
  <c r="AV137" i="4"/>
  <c r="W137" i="4"/>
  <c r="V137" i="4"/>
  <c r="U137" i="4"/>
  <c r="T137" i="4"/>
  <c r="S137" i="4"/>
  <c r="BQ136" i="4"/>
  <c r="BI136" i="4"/>
  <c r="BP136" i="4" s="1"/>
  <c r="BH136" i="4"/>
  <c r="BO136" i="4" s="1"/>
  <c r="BG136" i="4"/>
  <c r="BF136" i="4"/>
  <c r="BE136" i="4"/>
  <c r="BA136" i="4"/>
  <c r="AZ136" i="4"/>
  <c r="AY136" i="4"/>
  <c r="AX136" i="4"/>
  <c r="AW136" i="4"/>
  <c r="AV136" i="4"/>
  <c r="W136" i="4"/>
  <c r="V136" i="4"/>
  <c r="U136" i="4"/>
  <c r="T136" i="4"/>
  <c r="S136" i="4"/>
  <c r="BQ135" i="4"/>
  <c r="BI135" i="4"/>
  <c r="BP135" i="4" s="1"/>
  <c r="BH135" i="4"/>
  <c r="BO135" i="4" s="1"/>
  <c r="BG135" i="4"/>
  <c r="BF135" i="4"/>
  <c r="BE135" i="4"/>
  <c r="BA135" i="4"/>
  <c r="AZ135" i="4"/>
  <c r="AY135" i="4"/>
  <c r="AX135" i="4"/>
  <c r="AW135" i="4"/>
  <c r="AV135" i="4"/>
  <c r="W135" i="4"/>
  <c r="V135" i="4"/>
  <c r="U135" i="4"/>
  <c r="T135" i="4"/>
  <c r="S135" i="4"/>
  <c r="BQ134" i="4"/>
  <c r="BI134" i="4"/>
  <c r="BP134" i="4" s="1"/>
  <c r="BH134" i="4"/>
  <c r="BO134" i="4" s="1"/>
  <c r="BG134" i="4"/>
  <c r="BF134" i="4"/>
  <c r="BE134" i="4"/>
  <c r="BA134" i="4"/>
  <c r="AZ134" i="4"/>
  <c r="AY134" i="4"/>
  <c r="AX134" i="4"/>
  <c r="AW134" i="4"/>
  <c r="AV134" i="4"/>
  <c r="W134" i="4"/>
  <c r="V134" i="4"/>
  <c r="U134" i="4"/>
  <c r="T134" i="4"/>
  <c r="S134" i="4"/>
  <c r="BQ133" i="4"/>
  <c r="BI133" i="4"/>
  <c r="BP133" i="4" s="1"/>
  <c r="BH133" i="4"/>
  <c r="BO133" i="4" s="1"/>
  <c r="BG133" i="4"/>
  <c r="BF133" i="4"/>
  <c r="BE133" i="4"/>
  <c r="BA133" i="4"/>
  <c r="AZ133" i="4"/>
  <c r="AY133" i="4"/>
  <c r="AX133" i="4"/>
  <c r="AW133" i="4"/>
  <c r="AV133" i="4"/>
  <c r="W133" i="4"/>
  <c r="V133" i="4"/>
  <c r="U133" i="4"/>
  <c r="T133" i="4"/>
  <c r="S133" i="4"/>
  <c r="BQ132" i="4"/>
  <c r="BH132" i="4"/>
  <c r="BO132" i="4" s="1"/>
  <c r="BG132" i="4"/>
  <c r="BF132" i="4"/>
  <c r="BE132" i="4"/>
  <c r="BA132" i="4"/>
  <c r="AY132" i="4"/>
  <c r="AX132" i="4"/>
  <c r="AW132" i="4"/>
  <c r="AV132" i="4"/>
  <c r="V132" i="4"/>
  <c r="U132" i="4"/>
  <c r="T132" i="4"/>
  <c r="S132" i="4"/>
  <c r="H132" i="4"/>
  <c r="BI132" i="4" s="1"/>
  <c r="BP132" i="4" s="1"/>
  <c r="BQ131" i="4"/>
  <c r="BI131" i="4"/>
  <c r="BP131" i="4" s="1"/>
  <c r="BH131" i="4"/>
  <c r="BO131" i="4" s="1"/>
  <c r="BG131" i="4"/>
  <c r="BF131" i="4"/>
  <c r="BE131" i="4"/>
  <c r="BA131" i="4"/>
  <c r="AZ131" i="4"/>
  <c r="AY131" i="4"/>
  <c r="AX131" i="4"/>
  <c r="AW131" i="4"/>
  <c r="AV131" i="4"/>
  <c r="W131" i="4"/>
  <c r="V131" i="4"/>
  <c r="U131" i="4"/>
  <c r="T131" i="4"/>
  <c r="S131" i="4"/>
  <c r="BQ130" i="4"/>
  <c r="BI130" i="4"/>
  <c r="BP130" i="4" s="1"/>
  <c r="BH130" i="4"/>
  <c r="BO130" i="4" s="1"/>
  <c r="BG130" i="4"/>
  <c r="BF130" i="4"/>
  <c r="BE130" i="4"/>
  <c r="BA130" i="4"/>
  <c r="AZ130" i="4"/>
  <c r="AY130" i="4"/>
  <c r="AX130" i="4"/>
  <c r="AW130" i="4"/>
  <c r="AV130" i="4"/>
  <c r="W130" i="4"/>
  <c r="V130" i="4"/>
  <c r="U130" i="4"/>
  <c r="T130" i="4"/>
  <c r="S130" i="4"/>
  <c r="BQ129" i="4"/>
  <c r="BI129" i="4"/>
  <c r="BP129" i="4" s="1"/>
  <c r="BH129" i="4"/>
  <c r="BO129" i="4" s="1"/>
  <c r="BG129" i="4"/>
  <c r="BF129" i="4"/>
  <c r="BE129" i="4"/>
  <c r="BA129" i="4"/>
  <c r="AZ129" i="4"/>
  <c r="AY129" i="4"/>
  <c r="AX129" i="4"/>
  <c r="AW129" i="4"/>
  <c r="AV129" i="4"/>
  <c r="W129" i="4"/>
  <c r="V129" i="4"/>
  <c r="U129" i="4"/>
  <c r="T129" i="4"/>
  <c r="S129" i="4"/>
  <c r="BQ128" i="4"/>
  <c r="BI128" i="4"/>
  <c r="BP128" i="4" s="1"/>
  <c r="BH128" i="4"/>
  <c r="BO128" i="4" s="1"/>
  <c r="BG128" i="4"/>
  <c r="BF128" i="4"/>
  <c r="BE128" i="4"/>
  <c r="BA128" i="4"/>
  <c r="AZ128" i="4"/>
  <c r="AY128" i="4"/>
  <c r="AX128" i="4"/>
  <c r="AW128" i="4"/>
  <c r="AV128" i="4"/>
  <c r="W128" i="4"/>
  <c r="V128" i="4"/>
  <c r="U128" i="4"/>
  <c r="T128" i="4"/>
  <c r="S128" i="4"/>
  <c r="BQ127" i="4"/>
  <c r="BI127" i="4"/>
  <c r="BP127" i="4" s="1"/>
  <c r="BH127" i="4"/>
  <c r="BO127" i="4" s="1"/>
  <c r="BG127" i="4"/>
  <c r="BF127" i="4"/>
  <c r="BE127" i="4"/>
  <c r="BA127" i="4"/>
  <c r="AZ127" i="4"/>
  <c r="AY127" i="4"/>
  <c r="AX127" i="4"/>
  <c r="AW127" i="4"/>
  <c r="AV127" i="4"/>
  <c r="W127" i="4"/>
  <c r="V127" i="4"/>
  <c r="U127" i="4"/>
  <c r="T127" i="4"/>
  <c r="S127" i="4"/>
  <c r="BQ126" i="4"/>
  <c r="BA126" i="4"/>
  <c r="BN125" i="4"/>
  <c r="BM125" i="4"/>
  <c r="BL125" i="4"/>
  <c r="AS123" i="4"/>
  <c r="AR123" i="4"/>
  <c r="AQ123" i="4"/>
  <c r="AP123" i="4"/>
  <c r="AO123" i="4"/>
  <c r="AN123" i="4"/>
  <c r="AM123" i="4"/>
  <c r="AL123" i="4"/>
  <c r="AK123" i="4"/>
  <c r="AJ123" i="4"/>
  <c r="AJ127" i="4" s="1"/>
  <c r="AI123" i="4"/>
  <c r="E151" i="3"/>
  <c r="E152" i="3" s="1"/>
  <c r="AJ104" i="4"/>
  <c r="AK104" i="4" s="1"/>
  <c r="AL104" i="4" s="1"/>
  <c r="AM104" i="4" s="1"/>
  <c r="AN104" i="4" s="1"/>
  <c r="AO104" i="4" s="1"/>
  <c r="AP104" i="4" s="1"/>
  <c r="AQ104" i="4" s="1"/>
  <c r="AR104" i="4" s="1"/>
  <c r="AS104" i="4" s="1"/>
  <c r="AT104" i="4" s="1"/>
  <c r="AJ103" i="4"/>
  <c r="AK103" i="4" s="1"/>
  <c r="AL103" i="4" s="1"/>
  <c r="AM103" i="4" s="1"/>
  <c r="AN103" i="4" s="1"/>
  <c r="AO103" i="4" s="1"/>
  <c r="AP103" i="4" s="1"/>
  <c r="AQ103" i="4" s="1"/>
  <c r="AR103" i="4" s="1"/>
  <c r="AS103" i="4" s="1"/>
  <c r="AT103" i="4" s="1"/>
  <c r="AI99" i="4"/>
  <c r="AI98" i="4"/>
  <c r="AI97" i="4"/>
  <c r="AI96" i="4"/>
  <c r="AI95" i="4"/>
  <c r="AI94" i="4"/>
  <c r="AI93" i="4"/>
  <c r="AI92" i="4"/>
  <c r="AI91" i="4"/>
  <c r="AI90" i="4"/>
  <c r="AI89" i="4"/>
  <c r="AI88" i="4"/>
  <c r="AS85" i="4"/>
  <c r="AR85" i="4"/>
  <c r="AQ85" i="4"/>
  <c r="AP85" i="4"/>
  <c r="AO85" i="4"/>
  <c r="AN85" i="4"/>
  <c r="AM85" i="4"/>
  <c r="AL85" i="4"/>
  <c r="AK85" i="4"/>
  <c r="AJ85" i="4"/>
  <c r="AI85" i="4"/>
  <c r="AA85" i="4"/>
  <c r="O85" i="4"/>
  <c r="J85" i="4"/>
  <c r="AD31" i="4"/>
  <c r="AC31" i="4"/>
  <c r="AB31" i="4"/>
  <c r="AA31" i="4"/>
  <c r="Z31" i="4"/>
  <c r="Y31" i="4"/>
  <c r="R31" i="4"/>
  <c r="Q31" i="4"/>
  <c r="P31" i="4"/>
  <c r="O31" i="4"/>
  <c r="N31" i="4"/>
  <c r="M31" i="4"/>
  <c r="K5" i="4"/>
  <c r="L5" i="4" s="1"/>
  <c r="J4" i="4"/>
  <c r="AF534" i="3"/>
  <c r="AE534" i="3"/>
  <c r="AD534" i="3"/>
  <c r="AC534" i="3"/>
  <c r="AB534" i="3"/>
  <c r="AA534" i="3"/>
  <c r="Z534" i="3"/>
  <c r="Y534" i="3"/>
  <c r="X534" i="3"/>
  <c r="W534" i="3"/>
  <c r="V534" i="3"/>
  <c r="U534" i="3"/>
  <c r="T534" i="3"/>
  <c r="S534" i="3"/>
  <c r="R534" i="3"/>
  <c r="Q534" i="3"/>
  <c r="P534" i="3"/>
  <c r="O534" i="3"/>
  <c r="N534" i="3"/>
  <c r="M534" i="3"/>
  <c r="L534" i="3"/>
  <c r="K534" i="3"/>
  <c r="J534" i="3"/>
  <c r="Z479" i="3"/>
  <c r="Z195" i="3" s="1"/>
  <c r="AS478" i="3"/>
  <c r="AS194" i="3" s="1"/>
  <c r="AR478" i="3"/>
  <c r="AR194" i="3" s="1"/>
  <c r="AQ478" i="3"/>
  <c r="AQ194" i="3" s="1"/>
  <c r="AP478" i="3"/>
  <c r="AP194" i="3" s="1"/>
  <c r="AO478" i="3"/>
  <c r="AO194" i="3" s="1"/>
  <c r="AN478" i="3"/>
  <c r="AN194" i="3" s="1"/>
  <c r="AM478" i="3"/>
  <c r="AM194" i="3" s="1"/>
  <c r="AK478" i="3"/>
  <c r="AK194" i="3" s="1"/>
  <c r="AG478" i="3"/>
  <c r="AG194" i="3" s="1"/>
  <c r="AF478" i="3"/>
  <c r="AF194" i="3" s="1"/>
  <c r="AE478" i="3"/>
  <c r="AE194" i="3" s="1"/>
  <c r="AD478" i="3"/>
  <c r="AD194" i="3" s="1"/>
  <c r="AC478" i="3"/>
  <c r="AC194" i="3" s="1"/>
  <c r="AB478" i="3"/>
  <c r="AB194" i="3" s="1"/>
  <c r="AA478" i="3"/>
  <c r="AA194" i="3" s="1"/>
  <c r="Z478" i="3"/>
  <c r="Z194" i="3" s="1"/>
  <c r="Y478" i="3"/>
  <c r="Y194" i="3" s="1"/>
  <c r="X478" i="3"/>
  <c r="X194" i="3" s="1"/>
  <c r="W478" i="3"/>
  <c r="W194" i="3" s="1"/>
  <c r="V478" i="3"/>
  <c r="V194" i="3" s="1"/>
  <c r="U478" i="3"/>
  <c r="U194" i="3" s="1"/>
  <c r="T478" i="3"/>
  <c r="T194" i="3" s="1"/>
  <c r="R478" i="3"/>
  <c r="R194" i="3" s="1"/>
  <c r="Q478" i="3"/>
  <c r="Q194" i="3" s="1"/>
  <c r="P478" i="3"/>
  <c r="P194" i="3" s="1"/>
  <c r="O478" i="3"/>
  <c r="O194" i="3" s="1"/>
  <c r="N478" i="3"/>
  <c r="N194" i="3" s="1"/>
  <c r="M478" i="3"/>
  <c r="M194" i="3" s="1"/>
  <c r="L478" i="3"/>
  <c r="L194" i="3" s="1"/>
  <c r="K478" i="3"/>
  <c r="K194" i="3" s="1"/>
  <c r="AI476" i="3"/>
  <c r="BF405" i="3"/>
  <c r="BF406" i="3" s="1"/>
  <c r="BF407" i="3" s="1"/>
  <c r="BF408" i="3" s="1"/>
  <c r="BF409" i="3" s="1"/>
  <c r="BF410" i="3" s="1"/>
  <c r="BF411" i="3" s="1"/>
  <c r="BF412" i="3" s="1"/>
  <c r="BA405" i="3"/>
  <c r="BA406" i="3" s="1"/>
  <c r="BA407" i="3" s="1"/>
  <c r="BA408" i="3" s="1"/>
  <c r="BA409" i="3" s="1"/>
  <c r="BA410" i="3" s="1"/>
  <c r="BA411" i="3" s="1"/>
  <c r="BA412" i="3" s="1"/>
  <c r="C405" i="3"/>
  <c r="C406" i="3" s="1"/>
  <c r="C407" i="3" s="1"/>
  <c r="C408" i="3" s="1"/>
  <c r="C409" i="3" s="1"/>
  <c r="C410" i="3" s="1"/>
  <c r="C411" i="3" s="1"/>
  <c r="C412" i="3" s="1"/>
  <c r="AL402" i="3"/>
  <c r="AM402" i="3" s="1"/>
  <c r="AN402" i="3" s="1"/>
  <c r="AO402" i="3" s="1"/>
  <c r="AP402" i="3" s="1"/>
  <c r="AQ402" i="3" s="1"/>
  <c r="AR402" i="3" s="1"/>
  <c r="AS402" i="3" s="1"/>
  <c r="AT402" i="3" s="1"/>
  <c r="J354" i="3"/>
  <c r="AS341" i="3"/>
  <c r="AR341" i="3"/>
  <c r="AQ341" i="3"/>
  <c r="AP341" i="3"/>
  <c r="AO341" i="3"/>
  <c r="AN341" i="3"/>
  <c r="AM341" i="3"/>
  <c r="AL341" i="3"/>
  <c r="AK341" i="3"/>
  <c r="AS335" i="3"/>
  <c r="AR335" i="3"/>
  <c r="AQ335" i="3"/>
  <c r="AP335" i="3"/>
  <c r="AO335" i="3"/>
  <c r="AN335" i="3"/>
  <c r="AM335" i="3"/>
  <c r="AL335" i="3"/>
  <c r="AK335" i="3"/>
  <c r="AG335" i="3"/>
  <c r="AF335" i="3"/>
  <c r="AE335" i="3"/>
  <c r="AD335" i="3"/>
  <c r="AC335" i="3"/>
  <c r="AB335" i="3"/>
  <c r="AA335" i="3"/>
  <c r="Z335" i="3"/>
  <c r="Y335" i="3"/>
  <c r="X335" i="3"/>
  <c r="W335" i="3"/>
  <c r="V335" i="3"/>
  <c r="U335" i="3"/>
  <c r="T335" i="3"/>
  <c r="S335" i="3"/>
  <c r="R335" i="3"/>
  <c r="Q335" i="3"/>
  <c r="P335" i="3"/>
  <c r="O335" i="3"/>
  <c r="N335" i="3"/>
  <c r="M335" i="3"/>
  <c r="L335" i="3"/>
  <c r="K335" i="3"/>
  <c r="C334" i="3"/>
  <c r="C333" i="3"/>
  <c r="C332" i="3"/>
  <c r="C331" i="3"/>
  <c r="C330" i="3"/>
  <c r="B320" i="3"/>
  <c r="E305" i="3"/>
  <c r="E30" i="1" s="1"/>
  <c r="AF289" i="3"/>
  <c r="AF340" i="3" s="1"/>
  <c r="AE289" i="3"/>
  <c r="AE340" i="3" s="1"/>
  <c r="AD289" i="3"/>
  <c r="AD340" i="3" s="1"/>
  <c r="AC289" i="3"/>
  <c r="AC340" i="3" s="1"/>
  <c r="AB289" i="3"/>
  <c r="AB340" i="3" s="1"/>
  <c r="AA289" i="3"/>
  <c r="AA340" i="3" s="1"/>
  <c r="Z289" i="3"/>
  <c r="Z340" i="3" s="1"/>
  <c r="Y289" i="3"/>
  <c r="Y340" i="3" s="1"/>
  <c r="X289" i="3"/>
  <c r="X340" i="3" s="1"/>
  <c r="W289" i="3"/>
  <c r="W340" i="3" s="1"/>
  <c r="V289" i="3"/>
  <c r="V340" i="3" s="1"/>
  <c r="U289" i="3"/>
  <c r="U340" i="3" s="1"/>
  <c r="T289" i="3"/>
  <c r="T340" i="3" s="1"/>
  <c r="S289" i="3"/>
  <c r="S340" i="3" s="1"/>
  <c r="R289" i="3"/>
  <c r="R340" i="3" s="1"/>
  <c r="Q289" i="3"/>
  <c r="Q340" i="3" s="1"/>
  <c r="P289" i="3"/>
  <c r="P340" i="3" s="1"/>
  <c r="O289" i="3"/>
  <c r="O340" i="3" s="1"/>
  <c r="N289" i="3"/>
  <c r="N340" i="3" s="1"/>
  <c r="M289" i="3"/>
  <c r="M340" i="3" s="1"/>
  <c r="L289" i="3"/>
  <c r="L340" i="3" s="1"/>
  <c r="K289" i="3"/>
  <c r="K340" i="3" s="1"/>
  <c r="J289" i="3"/>
  <c r="AF287" i="3"/>
  <c r="AE287" i="3"/>
  <c r="AD287" i="3"/>
  <c r="AC287" i="3"/>
  <c r="AB287" i="3"/>
  <c r="AA287" i="3"/>
  <c r="Z287" i="3"/>
  <c r="Y287" i="3"/>
  <c r="X287" i="3"/>
  <c r="W287" i="3"/>
  <c r="V287" i="3"/>
  <c r="T287" i="3"/>
  <c r="S287" i="3"/>
  <c r="R287" i="3"/>
  <c r="Q287" i="3"/>
  <c r="P287" i="3"/>
  <c r="O287" i="3"/>
  <c r="N287" i="3"/>
  <c r="M287" i="3"/>
  <c r="L287" i="3"/>
  <c r="K287" i="3"/>
  <c r="J287" i="3"/>
  <c r="J271" i="3"/>
  <c r="J258" i="3"/>
  <c r="J225" i="3"/>
  <c r="E200" i="3"/>
  <c r="AI184" i="3"/>
  <c r="AJ184" i="3" s="1"/>
  <c r="AK184" i="3" s="1"/>
  <c r="J184" i="3"/>
  <c r="AI183" i="3"/>
  <c r="AJ183" i="3" s="1"/>
  <c r="J183" i="3"/>
  <c r="AI182" i="3"/>
  <c r="AJ182" i="3" s="1"/>
  <c r="J182" i="3"/>
  <c r="AI181" i="3"/>
  <c r="AJ181" i="3" s="1"/>
  <c r="AK181" i="3" s="1"/>
  <c r="J181" i="3"/>
  <c r="E175" i="3"/>
  <c r="AG168" i="3"/>
  <c r="AF168" i="3"/>
  <c r="AE168" i="3"/>
  <c r="AD168" i="3"/>
  <c r="AC168" i="3"/>
  <c r="AB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AG167" i="3"/>
  <c r="AG176" i="3" s="1"/>
  <c r="AF167" i="3"/>
  <c r="AF176" i="3" s="1"/>
  <c r="AE167" i="3"/>
  <c r="AE176" i="3" s="1"/>
  <c r="AD167" i="3"/>
  <c r="AD176" i="3" s="1"/>
  <c r="AC167" i="3"/>
  <c r="AC176" i="3" s="1"/>
  <c r="AB167" i="3"/>
  <c r="AB176" i="3" s="1"/>
  <c r="AA167" i="3"/>
  <c r="AA176" i="3" s="1"/>
  <c r="AG166" i="3"/>
  <c r="AF166" i="3"/>
  <c r="AE166" i="3"/>
  <c r="AD166" i="3"/>
  <c r="AC166" i="3"/>
  <c r="AB166" i="3"/>
  <c r="AA166" i="3"/>
  <c r="Z166" i="3"/>
  <c r="Y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J163" i="3"/>
  <c r="J173" i="3" s="1"/>
  <c r="J280" i="3" s="1"/>
  <c r="AI130" i="3"/>
  <c r="AI129" i="3"/>
  <c r="J104" i="3"/>
  <c r="G93" i="3"/>
  <c r="E92" i="3"/>
  <c r="G82" i="3"/>
  <c r="J70" i="3"/>
  <c r="J64" i="3"/>
  <c r="G64" i="3"/>
  <c r="J63" i="3"/>
  <c r="G63" i="3"/>
  <c r="AS61" i="3"/>
  <c r="AR61" i="3"/>
  <c r="AQ61" i="3"/>
  <c r="AP61" i="3"/>
  <c r="AO61" i="3"/>
  <c r="AN61" i="3"/>
  <c r="AM61" i="3"/>
  <c r="AK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R61" i="3"/>
  <c r="Q61" i="3"/>
  <c r="P61" i="3"/>
  <c r="O61" i="3"/>
  <c r="N61" i="3"/>
  <c r="M61" i="3"/>
  <c r="L61" i="3"/>
  <c r="K61" i="3"/>
  <c r="G54" i="3"/>
  <c r="G53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AS51" i="3"/>
  <c r="AR51" i="3"/>
  <c r="AQ51" i="3"/>
  <c r="AP51" i="3"/>
  <c r="AO51" i="3"/>
  <c r="AN51" i="3"/>
  <c r="AM51" i="3"/>
  <c r="AK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R51" i="3"/>
  <c r="Q51" i="3"/>
  <c r="P51" i="3"/>
  <c r="O51" i="3"/>
  <c r="N51" i="3"/>
  <c r="M51" i="3"/>
  <c r="L51" i="3"/>
  <c r="K51" i="3"/>
  <c r="AJ39" i="3"/>
  <c r="AJ37" i="3" s="1"/>
  <c r="K39" i="3"/>
  <c r="AI38" i="3"/>
  <c r="K38" i="3"/>
  <c r="AI37" i="3"/>
  <c r="J37" i="3"/>
  <c r="K35" i="3"/>
  <c r="K354" i="3" s="1"/>
  <c r="AJ32" i="3"/>
  <c r="AK32" i="3" s="1"/>
  <c r="AL32" i="3" s="1"/>
  <c r="AM32" i="3" s="1"/>
  <c r="AN32" i="3" s="1"/>
  <c r="AO32" i="3" s="1"/>
  <c r="AP32" i="3" s="1"/>
  <c r="AQ32" i="3" s="1"/>
  <c r="AR32" i="3" s="1"/>
  <c r="AS32" i="3" s="1"/>
  <c r="AT32" i="3" s="1"/>
  <c r="AA31" i="3"/>
  <c r="K31" i="3"/>
  <c r="K186" i="3" s="1"/>
  <c r="J29" i="3"/>
  <c r="AI23" i="3"/>
  <c r="AI22" i="3"/>
  <c r="AI19" i="3"/>
  <c r="AL18" i="3"/>
  <c r="AK12" i="3"/>
  <c r="AJ2" i="3"/>
  <c r="AJ1" i="7" s="1"/>
  <c r="AJ13" i="7" s="1"/>
  <c r="AJ5" i="7" s="1"/>
  <c r="D178" i="1"/>
  <c r="D177" i="1"/>
  <c r="D176" i="1"/>
  <c r="D175" i="1"/>
  <c r="D172" i="1"/>
  <c r="D171" i="1"/>
  <c r="G134" i="1"/>
  <c r="S31" i="1"/>
  <c r="E31" i="1"/>
  <c r="E26" i="1"/>
  <c r="C15" i="1"/>
  <c r="C14" i="1"/>
  <c r="C12" i="1"/>
  <c r="C11" i="1"/>
  <c r="C10" i="1"/>
  <c r="C55" i="1" s="1"/>
  <c r="O99" i="4" l="1"/>
  <c r="P99" i="4" s="1"/>
  <c r="O92" i="4"/>
  <c r="P92" i="4" s="1"/>
  <c r="AG533" i="3"/>
  <c r="J146" i="4"/>
  <c r="J181" i="4" s="1"/>
  <c r="J167" i="3"/>
  <c r="J176" i="3" s="1"/>
  <c r="J191" i="3" s="1"/>
  <c r="J73" i="3"/>
  <c r="G200" i="3"/>
  <c r="AG200" i="3" s="1"/>
  <c r="O219" i="3"/>
  <c r="AJ94" i="4"/>
  <c r="AK94" i="4" s="1"/>
  <c r="L31" i="3"/>
  <c r="M31" i="3" s="1"/>
  <c r="N31" i="3" s="1"/>
  <c r="O31" i="3" s="1"/>
  <c r="K185" i="3"/>
  <c r="K184" i="3"/>
  <c r="J261" i="4"/>
  <c r="J156" i="3"/>
  <c r="AF156" i="3"/>
  <c r="X156" i="3"/>
  <c r="P156" i="3"/>
  <c r="AE156" i="3"/>
  <c r="W156" i="3"/>
  <c r="O156" i="3"/>
  <c r="AD156" i="3"/>
  <c r="V156" i="3"/>
  <c r="N156" i="3"/>
  <c r="Y156" i="3"/>
  <c r="AC156" i="3"/>
  <c r="U156" i="3"/>
  <c r="M156" i="3"/>
  <c r="AG156" i="3"/>
  <c r="AB156" i="3"/>
  <c r="T156" i="3"/>
  <c r="L156" i="3"/>
  <c r="Z156" i="3"/>
  <c r="AA156" i="3"/>
  <c r="S156" i="3"/>
  <c r="K156" i="3"/>
  <c r="R156" i="3"/>
  <c r="Q156" i="3"/>
  <c r="K163" i="3"/>
  <c r="K173" i="3" s="1"/>
  <c r="K280" i="3" s="1"/>
  <c r="K319" i="3" s="1"/>
  <c r="K355" i="3" s="1"/>
  <c r="K134" i="3"/>
  <c r="AI163" i="3"/>
  <c r="AI173" i="3" s="1"/>
  <c r="AI134" i="3"/>
  <c r="Y533" i="3"/>
  <c r="AB533" i="3"/>
  <c r="T533" i="3"/>
  <c r="P175" i="3"/>
  <c r="BL136" i="4"/>
  <c r="O530" i="3"/>
  <c r="BM136" i="4"/>
  <c r="R533" i="3"/>
  <c r="BF140" i="4"/>
  <c r="K158" i="4"/>
  <c r="Z533" i="3"/>
  <c r="W132" i="4"/>
  <c r="W138" i="4" s="1"/>
  <c r="P530" i="3"/>
  <c r="AK147" i="4"/>
  <c r="AK145" i="4" s="1"/>
  <c r="BQ140" i="4"/>
  <c r="BQ141" i="4" s="1"/>
  <c r="BM131" i="4"/>
  <c r="N530" i="3"/>
  <c r="BN133" i="4"/>
  <c r="BL135" i="4"/>
  <c r="K74" i="7"/>
  <c r="K92" i="7" s="1"/>
  <c r="M530" i="3"/>
  <c r="AE533" i="3"/>
  <c r="L530" i="3"/>
  <c r="V533" i="3"/>
  <c r="AF533" i="3"/>
  <c r="W533" i="3"/>
  <c r="X533" i="3"/>
  <c r="AD533" i="3"/>
  <c r="BM129" i="4"/>
  <c r="BN134" i="4"/>
  <c r="BN135" i="4"/>
  <c r="BL137" i="4"/>
  <c r="L12" i="7"/>
  <c r="BN136" i="4"/>
  <c r="V138" i="4"/>
  <c r="BN138" i="4" s="1"/>
  <c r="BL127" i="4"/>
  <c r="BN137" i="4"/>
  <c r="BM130" i="4"/>
  <c r="BL132" i="4"/>
  <c r="BL133" i="4"/>
  <c r="BM128" i="4"/>
  <c r="BN132" i="4"/>
  <c r="S533" i="3"/>
  <c r="AA533" i="3"/>
  <c r="K4" i="4"/>
  <c r="AJ88" i="4"/>
  <c r="AK88" i="4" s="1"/>
  <c r="U138" i="4"/>
  <c r="K12" i="7"/>
  <c r="AK14" i="7"/>
  <c r="U533" i="3"/>
  <c r="AC533" i="3"/>
  <c r="BM127" i="4"/>
  <c r="BL130" i="4"/>
  <c r="Q530" i="3"/>
  <c r="BN131" i="4"/>
  <c r="AV140" i="4"/>
  <c r="AV141" i="4" s="1"/>
  <c r="AV143" i="4" s="1"/>
  <c r="BN127" i="4"/>
  <c r="BL128" i="4"/>
  <c r="BN130" i="4"/>
  <c r="F20" i="9"/>
  <c r="J530" i="3"/>
  <c r="AW140" i="4"/>
  <c r="AW141" i="4" s="1"/>
  <c r="AW143" i="4" s="1"/>
  <c r="BL131" i="4"/>
  <c r="BL134" i="4"/>
  <c r="K530" i="3"/>
  <c r="AX140" i="4"/>
  <c r="AX141" i="4" s="1"/>
  <c r="AX143" i="4" s="1"/>
  <c r="K72" i="7"/>
  <c r="K90" i="7" s="1"/>
  <c r="S138" i="4"/>
  <c r="S139" i="4" s="1"/>
  <c r="AY140" i="4"/>
  <c r="AY141" i="4" s="1"/>
  <c r="AY143" i="4" s="1"/>
  <c r="BL129" i="4"/>
  <c r="BM137" i="4"/>
  <c r="T138" i="4"/>
  <c r="T140" i="4" s="1"/>
  <c r="AI384" i="3"/>
  <c r="AI406" i="3" s="1"/>
  <c r="J42" i="3"/>
  <c r="S45" i="3"/>
  <c r="S46" i="3" s="1"/>
  <c r="J47" i="3"/>
  <c r="M175" i="3"/>
  <c r="AJ89" i="4"/>
  <c r="AK89" i="4" s="1"/>
  <c r="Z175" i="3"/>
  <c r="AJ96" i="4"/>
  <c r="AK96" i="4" s="1"/>
  <c r="AL96" i="4" s="1"/>
  <c r="L175" i="3"/>
  <c r="T175" i="3"/>
  <c r="AJ200" i="3"/>
  <c r="AK200" i="3" s="1"/>
  <c r="AJ476" i="3"/>
  <c r="AE175" i="3"/>
  <c r="AK124" i="4"/>
  <c r="AL124" i="4" s="1"/>
  <c r="AM124" i="4" s="1"/>
  <c r="AN124" i="4" s="1"/>
  <c r="AO124" i="4" s="1"/>
  <c r="AP124" i="4" s="1"/>
  <c r="AQ124" i="4" s="1"/>
  <c r="AR124" i="4" s="1"/>
  <c r="AS124" i="4" s="1"/>
  <c r="AT124" i="4" s="1"/>
  <c r="AK182" i="3"/>
  <c r="AL182" i="3" s="1"/>
  <c r="AJ115" i="3"/>
  <c r="N175" i="3"/>
  <c r="E71" i="1"/>
  <c r="J175" i="3"/>
  <c r="J190" i="3" s="1"/>
  <c r="R175" i="3"/>
  <c r="AA175" i="3"/>
  <c r="AD175" i="3"/>
  <c r="AJ92" i="4"/>
  <c r="AK92" i="4" s="1"/>
  <c r="AL92" i="4" s="1"/>
  <c r="AJ98" i="4"/>
  <c r="AK98" i="4" s="1"/>
  <c r="AL98" i="4" s="1"/>
  <c r="AJ128" i="4"/>
  <c r="AK128" i="4" s="1"/>
  <c r="AL128" i="4" s="1"/>
  <c r="AM128" i="4" s="1"/>
  <c r="AN128" i="4" s="1"/>
  <c r="AO128" i="4" s="1"/>
  <c r="AP128" i="4" s="1"/>
  <c r="AQ128" i="4" s="1"/>
  <c r="AR128" i="4" s="1"/>
  <c r="AS128" i="4" s="1"/>
  <c r="AT128" i="4" s="1"/>
  <c r="AJ93" i="4"/>
  <c r="AK93" i="4" s="1"/>
  <c r="AL93" i="4" s="1"/>
  <c r="AA16" i="7"/>
  <c r="AB16" i="7" s="1"/>
  <c r="AC16" i="7" s="1"/>
  <c r="AD16" i="7" s="1"/>
  <c r="AE16" i="7" s="1"/>
  <c r="AF16" i="7" s="1"/>
  <c r="AG16" i="7" s="1"/>
  <c r="AJ116" i="3"/>
  <c r="AJ394" i="3" s="1"/>
  <c r="AK183" i="3"/>
  <c r="AL183" i="3" s="1"/>
  <c r="AJ16" i="7"/>
  <c r="AK16" i="7" s="1"/>
  <c r="AL16" i="7" s="1"/>
  <c r="AM16" i="7" s="1"/>
  <c r="AN16" i="7" s="1"/>
  <c r="AO16" i="7" s="1"/>
  <c r="AP16" i="7" s="1"/>
  <c r="AQ16" i="7" s="1"/>
  <c r="AR16" i="7" s="1"/>
  <c r="AS16" i="7" s="1"/>
  <c r="AT16" i="7" s="1"/>
  <c r="AK2" i="3"/>
  <c r="AK1" i="7" s="1"/>
  <c r="AK13" i="7" s="1"/>
  <c r="AK5" i="7" s="1"/>
  <c r="AK39" i="3"/>
  <c r="AK37" i="3" s="1"/>
  <c r="AI116" i="3"/>
  <c r="AI394" i="3" s="1"/>
  <c r="U175" i="3"/>
  <c r="O90" i="4"/>
  <c r="O94" i="4"/>
  <c r="AJ97" i="4"/>
  <c r="AK97" i="4" s="1"/>
  <c r="AL97" i="4" s="1"/>
  <c r="AM97" i="4" s="1"/>
  <c r="V175" i="3"/>
  <c r="AJ129" i="4"/>
  <c r="AK129" i="4" s="1"/>
  <c r="AL129" i="4" s="1"/>
  <c r="AM129" i="4" s="1"/>
  <c r="AN129" i="4" s="1"/>
  <c r="AO129" i="4" s="1"/>
  <c r="AP129" i="4" s="1"/>
  <c r="AQ129" i="4" s="1"/>
  <c r="AR129" i="4" s="1"/>
  <c r="AS129" i="4" s="1"/>
  <c r="AT129" i="4" s="1"/>
  <c r="AJ131" i="4"/>
  <c r="AK131" i="4" s="1"/>
  <c r="AL131" i="4" s="1"/>
  <c r="AM131" i="4" s="1"/>
  <c r="AN131" i="4" s="1"/>
  <c r="AO131" i="4" s="1"/>
  <c r="AP131" i="4" s="1"/>
  <c r="AQ131" i="4" s="1"/>
  <c r="AR131" i="4" s="1"/>
  <c r="AS131" i="4" s="1"/>
  <c r="AT131" i="4" s="1"/>
  <c r="AI29" i="3"/>
  <c r="O175" i="3"/>
  <c r="W175" i="3"/>
  <c r="AF175" i="3"/>
  <c r="AB175" i="3"/>
  <c r="AJ90" i="4"/>
  <c r="AK90" i="4" s="1"/>
  <c r="O98" i="4"/>
  <c r="P98" i="4" s="1"/>
  <c r="AC175" i="3"/>
  <c r="AJ91" i="4"/>
  <c r="AK91" i="4" s="1"/>
  <c r="AL91" i="4" s="1"/>
  <c r="AJ95" i="4"/>
  <c r="AK95" i="4" s="1"/>
  <c r="AL95" i="4" s="1"/>
  <c r="O88" i="4"/>
  <c r="O96" i="4"/>
  <c r="P96" i="4" s="1"/>
  <c r="Q96" i="4" s="1"/>
  <c r="R96" i="4" s="1"/>
  <c r="S96" i="4" s="1"/>
  <c r="T96" i="4" s="1"/>
  <c r="U96" i="4" s="1"/>
  <c r="V96" i="4" s="1"/>
  <c r="W96" i="4" s="1"/>
  <c r="X96" i="4" s="1"/>
  <c r="Y96" i="4" s="1"/>
  <c r="Z96" i="4" s="1"/>
  <c r="AA96" i="4" s="1"/>
  <c r="AB96" i="4" s="1"/>
  <c r="AC96" i="4" s="1"/>
  <c r="AD96" i="4" s="1"/>
  <c r="AE96" i="4" s="1"/>
  <c r="AF96" i="4" s="1"/>
  <c r="AG96" i="4" s="1"/>
  <c r="AJ99" i="4"/>
  <c r="AK99" i="4" s="1"/>
  <c r="AL99" i="4" s="1"/>
  <c r="AK127" i="4"/>
  <c r="AL127" i="4" s="1"/>
  <c r="AM127" i="4" s="1"/>
  <c r="AN127" i="4" s="1"/>
  <c r="AO127" i="4" s="1"/>
  <c r="AP127" i="4" s="1"/>
  <c r="AQ127" i="4" s="1"/>
  <c r="AR127" i="4" s="1"/>
  <c r="AS127" i="4" s="1"/>
  <c r="AT127" i="4" s="1"/>
  <c r="AJ130" i="4"/>
  <c r="AK130" i="4" s="1"/>
  <c r="AL130" i="4" s="1"/>
  <c r="AM130" i="4" s="1"/>
  <c r="AN130" i="4" s="1"/>
  <c r="AO130" i="4" s="1"/>
  <c r="AP130" i="4" s="1"/>
  <c r="AQ130" i="4" s="1"/>
  <c r="AR130" i="4" s="1"/>
  <c r="AS130" i="4" s="1"/>
  <c r="AT130" i="4" s="1"/>
  <c r="AI115" i="3"/>
  <c r="K175" i="3"/>
  <c r="S175" i="3"/>
  <c r="J26" i="5"/>
  <c r="J319" i="3"/>
  <c r="AJ42" i="3"/>
  <c r="D174" i="1"/>
  <c r="AL181" i="3"/>
  <c r="K37" i="3"/>
  <c r="L39" i="3"/>
  <c r="O225" i="3"/>
  <c r="K225" i="3"/>
  <c r="K181" i="3"/>
  <c r="AL184" i="3"/>
  <c r="L38" i="3"/>
  <c r="L134" i="3" s="1"/>
  <c r="K64" i="3"/>
  <c r="K183" i="3"/>
  <c r="M5" i="4"/>
  <c r="L4" i="4"/>
  <c r="K29" i="3"/>
  <c r="J54" i="3"/>
  <c r="K63" i="3"/>
  <c r="K70" i="3"/>
  <c r="K145" i="4"/>
  <c r="L147" i="4"/>
  <c r="J46" i="3"/>
  <c r="AJ384" i="3"/>
  <c r="K182" i="3"/>
  <c r="AJ105" i="4"/>
  <c r="L35" i="3"/>
  <c r="Q175" i="3"/>
  <c r="Y175" i="3"/>
  <c r="AG175" i="3"/>
  <c r="AJ38" i="3"/>
  <c r="AJ134" i="3" s="1"/>
  <c r="J92" i="3"/>
  <c r="E7" i="11"/>
  <c r="E9" i="11" s="1"/>
  <c r="E25" i="1"/>
  <c r="BA140" i="4"/>
  <c r="BA141" i="4" s="1"/>
  <c r="BA143" i="4" s="1"/>
  <c r="J253" i="4"/>
  <c r="J255" i="4"/>
  <c r="J234" i="4"/>
  <c r="J254" i="4"/>
  <c r="J224" i="4"/>
  <c r="J232" i="4"/>
  <c r="J221" i="4"/>
  <c r="J229" i="4"/>
  <c r="J218" i="4"/>
  <c r="J256" i="4"/>
  <c r="J223" i="4"/>
  <c r="J231" i="4"/>
  <c r="J220" i="4"/>
  <c r="J228" i="4"/>
  <c r="J217" i="4"/>
  <c r="J230" i="4"/>
  <c r="J219" i="4"/>
  <c r="J235" i="4"/>
  <c r="J222" i="4"/>
  <c r="O89" i="4"/>
  <c r="O93" i="4"/>
  <c r="O97" i="4"/>
  <c r="J233" i="4"/>
  <c r="BP140" i="4"/>
  <c r="BP141" i="4" s="1"/>
  <c r="O91" i="4"/>
  <c r="O95" i="4"/>
  <c r="BG124" i="4"/>
  <c r="BG140" i="4" s="1"/>
  <c r="BN128" i="4"/>
  <c r="BN129" i="4"/>
  <c r="AZ132" i="4"/>
  <c r="AZ140" i="4" s="1"/>
  <c r="AZ141" i="4" s="1"/>
  <c r="AZ143" i="4" s="1"/>
  <c r="BM132" i="4"/>
  <c r="BM133" i="4"/>
  <c r="BM134" i="4"/>
  <c r="BM135" i="4"/>
  <c r="AJ132" i="4"/>
  <c r="AK132" i="4" s="1"/>
  <c r="AL132" i="4" s="1"/>
  <c r="AM132" i="4" s="1"/>
  <c r="AN132" i="4" s="1"/>
  <c r="AO132" i="4" s="1"/>
  <c r="AP132" i="4" s="1"/>
  <c r="AQ132" i="4" s="1"/>
  <c r="AR132" i="4" s="1"/>
  <c r="AS132" i="4" s="1"/>
  <c r="AT132" i="4" s="1"/>
  <c r="AJ133" i="4"/>
  <c r="AK133" i="4" s="1"/>
  <c r="AL133" i="4" s="1"/>
  <c r="AM133" i="4" s="1"/>
  <c r="AN133" i="4" s="1"/>
  <c r="AO133" i="4" s="1"/>
  <c r="AP133" i="4" s="1"/>
  <c r="AQ133" i="4" s="1"/>
  <c r="AR133" i="4" s="1"/>
  <c r="AS133" i="4" s="1"/>
  <c r="AT133" i="4" s="1"/>
  <c r="AJ134" i="4"/>
  <c r="AK134" i="4" s="1"/>
  <c r="AL134" i="4" s="1"/>
  <c r="AM134" i="4" s="1"/>
  <c r="AN134" i="4" s="1"/>
  <c r="AO134" i="4" s="1"/>
  <c r="AP134" i="4" s="1"/>
  <c r="AQ134" i="4" s="1"/>
  <c r="AR134" i="4" s="1"/>
  <c r="AS134" i="4" s="1"/>
  <c r="AT134" i="4" s="1"/>
  <c r="AJ135" i="4"/>
  <c r="AK135" i="4" s="1"/>
  <c r="AL135" i="4" s="1"/>
  <c r="AM135" i="4" s="1"/>
  <c r="AN135" i="4" s="1"/>
  <c r="AO135" i="4" s="1"/>
  <c r="AP135" i="4" s="1"/>
  <c r="AQ135" i="4" s="1"/>
  <c r="AR135" i="4" s="1"/>
  <c r="AS135" i="4" s="1"/>
  <c r="AT135" i="4" s="1"/>
  <c r="AJ136" i="4"/>
  <c r="AK136" i="4" s="1"/>
  <c r="AL136" i="4" s="1"/>
  <c r="AM136" i="4" s="1"/>
  <c r="AN136" i="4" s="1"/>
  <c r="AO136" i="4" s="1"/>
  <c r="AP136" i="4" s="1"/>
  <c r="AQ136" i="4" s="1"/>
  <c r="AR136" i="4" s="1"/>
  <c r="AS136" i="4" s="1"/>
  <c r="AT136" i="4" s="1"/>
  <c r="AJ137" i="4"/>
  <c r="AK137" i="4" s="1"/>
  <c r="AL137" i="4" s="1"/>
  <c r="AM137" i="4" s="1"/>
  <c r="AN137" i="4" s="1"/>
  <c r="AO137" i="4" s="1"/>
  <c r="AP137" i="4" s="1"/>
  <c r="AQ137" i="4" s="1"/>
  <c r="AR137" i="4" s="1"/>
  <c r="AS137" i="4" s="1"/>
  <c r="AT137" i="4" s="1"/>
  <c r="D140" i="4"/>
  <c r="E140" i="4"/>
  <c r="F140" i="4"/>
  <c r="L62" i="7"/>
  <c r="L72" i="7" s="1"/>
  <c r="L90" i="7" s="1"/>
  <c r="L64" i="7"/>
  <c r="M6" i="7"/>
  <c r="N6" i="7" s="1"/>
  <c r="N14" i="7"/>
  <c r="M12" i="7"/>
  <c r="AJ17" i="7"/>
  <c r="AJ46" i="7"/>
  <c r="AI51" i="7"/>
  <c r="AI53" i="7" s="1"/>
  <c r="K126" i="7"/>
  <c r="K162" i="7" s="1"/>
  <c r="L60" i="7"/>
  <c r="AI129" i="7"/>
  <c r="AI165" i="7" s="1"/>
  <c r="AI109" i="7"/>
  <c r="AI141" i="7" s="1"/>
  <c r="AJ63" i="7"/>
  <c r="AM48" i="7"/>
  <c r="L17" i="7"/>
  <c r="K70" i="7"/>
  <c r="K51" i="7"/>
  <c r="K53" i="7" s="1"/>
  <c r="N48" i="7"/>
  <c r="M49" i="7"/>
  <c r="AL49" i="7"/>
  <c r="K18" i="7"/>
  <c r="K106" i="7" s="1"/>
  <c r="L47" i="7"/>
  <c r="AL50" i="7"/>
  <c r="M46" i="7"/>
  <c r="AL47" i="7"/>
  <c r="L50" i="7"/>
  <c r="K128" i="7"/>
  <c r="K164" i="7" s="1"/>
  <c r="J127" i="7"/>
  <c r="J163" i="7" s="1"/>
  <c r="J107" i="7"/>
  <c r="J139" i="7" s="1"/>
  <c r="J71" i="7"/>
  <c r="J89" i="7" s="1"/>
  <c r="AI61" i="7"/>
  <c r="J129" i="7"/>
  <c r="J165" i="7" s="1"/>
  <c r="J109" i="7"/>
  <c r="J141" i="7" s="1"/>
  <c r="J73" i="7"/>
  <c r="J91" i="7" s="1"/>
  <c r="K63" i="7"/>
  <c r="K73" i="7" s="1"/>
  <c r="K91" i="7" s="1"/>
  <c r="J126" i="7"/>
  <c r="J162" i="7" s="1"/>
  <c r="J106" i="7"/>
  <c r="J138" i="7" s="1"/>
  <c r="J70" i="7"/>
  <c r="AI60" i="7"/>
  <c r="K61" i="7"/>
  <c r="J128" i="7"/>
  <c r="J164" i="7" s="1"/>
  <c r="J108" i="7"/>
  <c r="J140" i="7" s="1"/>
  <c r="AI62" i="7"/>
  <c r="J130" i="7"/>
  <c r="J166" i="7" s="1"/>
  <c r="J110" i="7"/>
  <c r="J142" i="7" s="1"/>
  <c r="J74" i="7"/>
  <c r="J92" i="7" s="1"/>
  <c r="AI64" i="7"/>
  <c r="K130" i="7"/>
  <c r="K166" i="7" s="1"/>
  <c r="J72" i="7"/>
  <c r="J90" i="7" s="1"/>
  <c r="F41" i="9"/>
  <c r="J75" i="3" l="1"/>
  <c r="J91" i="3" s="1"/>
  <c r="J174" i="4"/>
  <c r="J74" i="3"/>
  <c r="J80" i="3" s="1"/>
  <c r="AI146" i="4"/>
  <c r="AI174" i="4" s="1"/>
  <c r="P219" i="3"/>
  <c r="J62" i="3"/>
  <c r="J121" i="3"/>
  <c r="J61" i="3"/>
  <c r="K167" i="3"/>
  <c r="K176" i="3" s="1"/>
  <c r="K191" i="3" s="1"/>
  <c r="Q200" i="3"/>
  <c r="K42" i="3"/>
  <c r="L42" i="3" s="1"/>
  <c r="J41" i="3"/>
  <c r="H55" i="1"/>
  <c r="R200" i="3"/>
  <c r="V200" i="3"/>
  <c r="S200" i="3"/>
  <c r="U200" i="3"/>
  <c r="AD200" i="3"/>
  <c r="O200" i="3"/>
  <c r="AA200" i="3"/>
  <c r="X200" i="3"/>
  <c r="AI393" i="3"/>
  <c r="AJ393" i="3"/>
  <c r="T200" i="3"/>
  <c r="W200" i="3"/>
  <c r="AB200" i="3"/>
  <c r="AE200" i="3"/>
  <c r="Y200" i="3"/>
  <c r="P200" i="3"/>
  <c r="Z200" i="3"/>
  <c r="AF200" i="3"/>
  <c r="AC200" i="3"/>
  <c r="L186" i="3"/>
  <c r="M186" i="3" s="1"/>
  <c r="N186" i="3" s="1"/>
  <c r="O186" i="3" s="1"/>
  <c r="P186" i="3" s="1"/>
  <c r="Q186" i="3" s="1"/>
  <c r="R186" i="3" s="1"/>
  <c r="S186" i="3" s="1"/>
  <c r="T186" i="3" s="1"/>
  <c r="U186" i="3" s="1"/>
  <c r="V186" i="3" s="1"/>
  <c r="W186" i="3" s="1"/>
  <c r="X186" i="3" s="1"/>
  <c r="Y186" i="3" s="1"/>
  <c r="Z186" i="3" s="1"/>
  <c r="AA186" i="3" s="1"/>
  <c r="AB186" i="3" s="1"/>
  <c r="AC186" i="3" s="1"/>
  <c r="AD186" i="3" s="1"/>
  <c r="AE186" i="3" s="1"/>
  <c r="AF186" i="3" s="1"/>
  <c r="AG186" i="3" s="1"/>
  <c r="L185" i="3"/>
  <c r="L261" i="4"/>
  <c r="P94" i="4"/>
  <c r="Q94" i="4" s="1"/>
  <c r="P90" i="4"/>
  <c r="Q90" i="4" s="1"/>
  <c r="P88" i="4"/>
  <c r="Q88" i="4" s="1"/>
  <c r="K261" i="4"/>
  <c r="AL94" i="4"/>
  <c r="AM94" i="4" s="1"/>
  <c r="AL89" i="4"/>
  <c r="AL88" i="4"/>
  <c r="AM88" i="4" s="1"/>
  <c r="AK105" i="4"/>
  <c r="AL105" i="4" s="1"/>
  <c r="AM105" i="4" s="1"/>
  <c r="AN105" i="4" s="1"/>
  <c r="AO105" i="4" s="1"/>
  <c r="AP105" i="4" s="1"/>
  <c r="AQ105" i="4" s="1"/>
  <c r="AR105" i="4" s="1"/>
  <c r="AS105" i="4" s="1"/>
  <c r="AT105" i="4" s="1"/>
  <c r="K234" i="4"/>
  <c r="AI157" i="3"/>
  <c r="J157" i="3"/>
  <c r="J178" i="3" s="1"/>
  <c r="J193" i="3" s="1"/>
  <c r="AF157" i="3"/>
  <c r="V157" i="3"/>
  <c r="AE157" i="3"/>
  <c r="W157" i="3"/>
  <c r="AD157" i="3"/>
  <c r="AC157" i="3"/>
  <c r="U157" i="3"/>
  <c r="AA157" i="3"/>
  <c r="S157" i="3"/>
  <c r="AG157" i="3"/>
  <c r="Y157" i="3"/>
  <c r="Q157" i="3"/>
  <c r="AB157" i="3"/>
  <c r="T157" i="3"/>
  <c r="Z157" i="3"/>
  <c r="R157" i="3"/>
  <c r="K444" i="3"/>
  <c r="AJ163" i="3"/>
  <c r="AK163" i="3" s="1"/>
  <c r="AL163" i="3" s="1"/>
  <c r="AM163" i="3" s="1"/>
  <c r="AN163" i="3" s="1"/>
  <c r="AO163" i="3" s="1"/>
  <c r="AP163" i="3" s="1"/>
  <c r="AQ163" i="3" s="1"/>
  <c r="AR163" i="3" s="1"/>
  <c r="AS163" i="3" s="1"/>
  <c r="AT163" i="3" s="1"/>
  <c r="AL90" i="4"/>
  <c r="AI333" i="3"/>
  <c r="V140" i="4"/>
  <c r="AI410" i="3"/>
  <c r="W140" i="4"/>
  <c r="BO138" i="4"/>
  <c r="BO140" i="4" s="1"/>
  <c r="BO141" i="4" s="1"/>
  <c r="AI409" i="3"/>
  <c r="K223" i="4"/>
  <c r="AL147" i="4"/>
  <c r="AL145" i="4" s="1"/>
  <c r="BL138" i="4"/>
  <c r="BL140" i="4" s="1"/>
  <c r="BL141" i="4" s="1"/>
  <c r="BN140" i="4"/>
  <c r="BN141" i="4" s="1"/>
  <c r="K222" i="4"/>
  <c r="K233" i="4"/>
  <c r="K256" i="4"/>
  <c r="K255" i="4"/>
  <c r="K235" i="4"/>
  <c r="K218" i="4"/>
  <c r="K253" i="4"/>
  <c r="K229" i="4"/>
  <c r="K217" i="4"/>
  <c r="K221" i="4"/>
  <c r="K219" i="4"/>
  <c r="K228" i="4"/>
  <c r="K232" i="4"/>
  <c r="J117" i="7"/>
  <c r="J151" i="7" s="1"/>
  <c r="K230" i="4"/>
  <c r="K220" i="4"/>
  <c r="K254" i="4"/>
  <c r="K224" i="4"/>
  <c r="K231" i="4"/>
  <c r="K108" i="7"/>
  <c r="K140" i="7" s="1"/>
  <c r="AI405" i="3"/>
  <c r="U140" i="4"/>
  <c r="BM138" i="4"/>
  <c r="BM140" i="4" s="1"/>
  <c r="BM141" i="4" s="1"/>
  <c r="AI119" i="7"/>
  <c r="AI153" i="7" s="1"/>
  <c r="AI444" i="3"/>
  <c r="AI426" i="3" s="1"/>
  <c r="S478" i="3"/>
  <c r="S194" i="3" s="1"/>
  <c r="AI404" i="3"/>
  <c r="AI408" i="3"/>
  <c r="S140" i="4"/>
  <c r="AI407" i="3"/>
  <c r="AI412" i="3"/>
  <c r="AL14" i="7"/>
  <c r="AK12" i="7"/>
  <c r="AI411" i="3"/>
  <c r="K110" i="7"/>
  <c r="S51" i="3"/>
  <c r="AK115" i="3"/>
  <c r="AK393" i="3" s="1"/>
  <c r="AK476" i="3"/>
  <c r="E79" i="1"/>
  <c r="E28" i="1"/>
  <c r="E45" i="1" s="1"/>
  <c r="E112" i="1"/>
  <c r="AK116" i="3"/>
  <c r="AK394" i="3" s="1"/>
  <c r="J122" i="3"/>
  <c r="AK38" i="3"/>
  <c r="AL39" i="3"/>
  <c r="AL37" i="3" s="1"/>
  <c r="AL2" i="3"/>
  <c r="AL1" i="7" s="1"/>
  <c r="AL13" i="7" s="1"/>
  <c r="AL5" i="7" s="1"/>
  <c r="K138" i="7"/>
  <c r="K116" i="7"/>
  <c r="K150" i="7" s="1"/>
  <c r="K146" i="4"/>
  <c r="L29" i="3"/>
  <c r="L181" i="3"/>
  <c r="L225" i="3"/>
  <c r="J167" i="7"/>
  <c r="J169" i="7" s="1"/>
  <c r="AI127" i="7"/>
  <c r="AI163" i="7" s="1"/>
  <c r="AI107" i="7"/>
  <c r="AI139" i="7" s="1"/>
  <c r="AJ61" i="7"/>
  <c r="AM47" i="7"/>
  <c r="AM50" i="7"/>
  <c r="N49" i="7"/>
  <c r="AN48" i="7"/>
  <c r="J257" i="4"/>
  <c r="AM98" i="4"/>
  <c r="AM99" i="4"/>
  <c r="L184" i="3"/>
  <c r="L255" i="4"/>
  <c r="L234" i="4"/>
  <c r="L254" i="4"/>
  <c r="L256" i="4"/>
  <c r="L235" i="4"/>
  <c r="L229" i="4"/>
  <c r="L218" i="4"/>
  <c r="L223" i="4"/>
  <c r="L231" i="4"/>
  <c r="L220" i="4"/>
  <c r="L228" i="4"/>
  <c r="L217" i="4"/>
  <c r="L253" i="4"/>
  <c r="L233" i="4"/>
  <c r="L222" i="4"/>
  <c r="L230" i="4"/>
  <c r="L219" i="4"/>
  <c r="L232" i="4"/>
  <c r="L221" i="4"/>
  <c r="L224" i="4"/>
  <c r="AM91" i="4"/>
  <c r="AM182" i="3"/>
  <c r="AL115" i="3"/>
  <c r="J80" i="5"/>
  <c r="K75" i="5" s="1"/>
  <c r="O48" i="7"/>
  <c r="P95" i="4"/>
  <c r="AN97" i="4"/>
  <c r="P225" i="3"/>
  <c r="AA225" i="3"/>
  <c r="AM181" i="3"/>
  <c r="K26" i="5"/>
  <c r="J23" i="5"/>
  <c r="J70" i="5"/>
  <c r="F42" i="9"/>
  <c r="AI128" i="7"/>
  <c r="AI164" i="7" s="1"/>
  <c r="AI108" i="7"/>
  <c r="AI140" i="7" s="1"/>
  <c r="AJ62" i="7"/>
  <c r="K127" i="7"/>
  <c r="K163" i="7" s="1"/>
  <c r="K107" i="7"/>
  <c r="K139" i="7" s="1"/>
  <c r="L61" i="7"/>
  <c r="L71" i="7" s="1"/>
  <c r="L89" i="7" s="1"/>
  <c r="N46" i="7"/>
  <c r="P91" i="4"/>
  <c r="AJ29" i="3"/>
  <c r="F71" i="1"/>
  <c r="AM95" i="4"/>
  <c r="L354" i="3"/>
  <c r="M35" i="3"/>
  <c r="L70" i="3"/>
  <c r="L63" i="3"/>
  <c r="L64" i="3"/>
  <c r="K190" i="3"/>
  <c r="L182" i="3"/>
  <c r="AM96" i="4"/>
  <c r="AM183" i="3"/>
  <c r="AL116" i="3"/>
  <c r="N5" i="4"/>
  <c r="M4" i="4"/>
  <c r="AI130" i="7"/>
  <c r="AI166" i="7" s="1"/>
  <c r="AI110" i="7"/>
  <c r="AI142" i="7" s="1"/>
  <c r="AJ64" i="7"/>
  <c r="AI126" i="7"/>
  <c r="AI162" i="7" s="1"/>
  <c r="AI106" i="7"/>
  <c r="AI138" i="7" s="1"/>
  <c r="AJ60" i="7"/>
  <c r="M47" i="7"/>
  <c r="AK63" i="7"/>
  <c r="M60" i="7"/>
  <c r="M64" i="7"/>
  <c r="Q92" i="4"/>
  <c r="P97" i="4"/>
  <c r="L145" i="4"/>
  <c r="M147" i="4"/>
  <c r="AL200" i="3"/>
  <c r="L183" i="3"/>
  <c r="J118" i="7"/>
  <c r="J152" i="7" s="1"/>
  <c r="J75" i="7"/>
  <c r="J88" i="7"/>
  <c r="K129" i="7"/>
  <c r="K165" i="7" s="1"/>
  <c r="K109" i="7"/>
  <c r="K141" i="7" s="1"/>
  <c r="L63" i="7"/>
  <c r="K71" i="7"/>
  <c r="K89" i="7" s="1"/>
  <c r="K88" i="7"/>
  <c r="P93" i="4"/>
  <c r="J225" i="4"/>
  <c r="AM92" i="4"/>
  <c r="AJ106" i="4"/>
  <c r="E174" i="3"/>
  <c r="AK384" i="3"/>
  <c r="L37" i="3"/>
  <c r="M39" i="3"/>
  <c r="Q99" i="4"/>
  <c r="J143" i="7"/>
  <c r="J145" i="7" s="1"/>
  <c r="L51" i="7"/>
  <c r="L53" i="7" s="1"/>
  <c r="AM49" i="7"/>
  <c r="L19" i="7"/>
  <c r="L18" i="7"/>
  <c r="M17" i="7"/>
  <c r="AJ51" i="7"/>
  <c r="AJ53" i="7" s="1"/>
  <c r="AK46" i="7"/>
  <c r="M62" i="7"/>
  <c r="P89" i="4"/>
  <c r="J236" i="4"/>
  <c r="AJ107" i="4"/>
  <c r="AK107" i="4" s="1"/>
  <c r="AL107" i="4" s="1"/>
  <c r="AM107" i="4" s="1"/>
  <c r="AN107" i="4" s="1"/>
  <c r="AO107" i="4" s="1"/>
  <c r="AP107" i="4" s="1"/>
  <c r="AQ107" i="4" s="1"/>
  <c r="AR107" i="4" s="1"/>
  <c r="AS107" i="4" s="1"/>
  <c r="AT107" i="4" s="1"/>
  <c r="J177" i="3"/>
  <c r="J192" i="3" s="1"/>
  <c r="J214" i="3" s="1"/>
  <c r="Q98" i="4"/>
  <c r="AM93" i="4"/>
  <c r="J478" i="3"/>
  <c r="J51" i="3"/>
  <c r="AM184" i="3"/>
  <c r="AI280" i="3"/>
  <c r="AJ173" i="3"/>
  <c r="AK173" i="3" s="1"/>
  <c r="AL173" i="3" s="1"/>
  <c r="AM173" i="3" s="1"/>
  <c r="AN173" i="3" s="1"/>
  <c r="AO173" i="3" s="1"/>
  <c r="AP173" i="3" s="1"/>
  <c r="AQ173" i="3" s="1"/>
  <c r="AR173" i="3" s="1"/>
  <c r="AS173" i="3" s="1"/>
  <c r="AT173" i="3" s="1"/>
  <c r="D169" i="1"/>
  <c r="E72" i="1"/>
  <c r="J355" i="3"/>
  <c r="J444" i="3"/>
  <c r="J120" i="7"/>
  <c r="J154" i="7" s="1"/>
  <c r="J116" i="7"/>
  <c r="J150" i="7" s="1"/>
  <c r="J119" i="7"/>
  <c r="J153" i="7" s="1"/>
  <c r="L74" i="7"/>
  <c r="L92" i="7" s="1"/>
  <c r="M50" i="7"/>
  <c r="L70" i="7"/>
  <c r="AJ19" i="7"/>
  <c r="AJ18" i="7"/>
  <c r="AK17" i="7"/>
  <c r="O14" i="7"/>
  <c r="N12" i="7"/>
  <c r="AJ412" i="3"/>
  <c r="AJ408" i="3"/>
  <c r="AJ444" i="3"/>
  <c r="AJ409" i="3"/>
  <c r="AJ405" i="3"/>
  <c r="AJ410" i="3"/>
  <c r="AJ406" i="3"/>
  <c r="AJ404" i="3"/>
  <c r="AJ411" i="3"/>
  <c r="AJ407" i="3"/>
  <c r="L163" i="3"/>
  <c r="L173" i="3" s="1"/>
  <c r="L280" i="3" s="1"/>
  <c r="L319" i="3" s="1"/>
  <c r="M38" i="3"/>
  <c r="M134" i="3" s="1"/>
  <c r="AJ41" i="3"/>
  <c r="AK42" i="3"/>
  <c r="J80" i="7" l="1"/>
  <c r="J77" i="7"/>
  <c r="J40" i="7"/>
  <c r="J76" i="5"/>
  <c r="K41" i="3"/>
  <c r="E126" i="1"/>
  <c r="I55" i="1"/>
  <c r="J194" i="3"/>
  <c r="J76" i="3"/>
  <c r="J118" i="4"/>
  <c r="AI5" i="4"/>
  <c r="J82" i="3"/>
  <c r="J84" i="3" s="1"/>
  <c r="F72" i="1"/>
  <c r="AJ146" i="4"/>
  <c r="AJ174" i="4" s="1"/>
  <c r="Q219" i="3"/>
  <c r="J66" i="3"/>
  <c r="J67" i="3" s="1"/>
  <c r="J93" i="3"/>
  <c r="L167" i="3"/>
  <c r="L176" i="3" s="1"/>
  <c r="L191" i="3" s="1"/>
  <c r="M185" i="3"/>
  <c r="Z158" i="3"/>
  <c r="Z178" i="3"/>
  <c r="S158" i="3"/>
  <c r="S178" i="3"/>
  <c r="W158" i="3"/>
  <c r="W178" i="3"/>
  <c r="AA158" i="3"/>
  <c r="AA178" i="3"/>
  <c r="AE158" i="3"/>
  <c r="AE178" i="3"/>
  <c r="T158" i="3"/>
  <c r="T178" i="3"/>
  <c r="V158" i="3"/>
  <c r="V178" i="3"/>
  <c r="AB158" i="3"/>
  <c r="AB178" i="3"/>
  <c r="U158" i="3"/>
  <c r="U178" i="3"/>
  <c r="AF158" i="3"/>
  <c r="AF178" i="3"/>
  <c r="Q158" i="3"/>
  <c r="Q178" i="3"/>
  <c r="AC158" i="3"/>
  <c r="AC178" i="3"/>
  <c r="Y158" i="3"/>
  <c r="Y178" i="3"/>
  <c r="AG158" i="3"/>
  <c r="AG178" i="3"/>
  <c r="AD158" i="3"/>
  <c r="AD178" i="3"/>
  <c r="R158" i="3"/>
  <c r="R178" i="3"/>
  <c r="M261" i="4"/>
  <c r="AM90" i="4"/>
  <c r="AN90" i="4" s="1"/>
  <c r="AM89" i="4"/>
  <c r="AK106" i="4"/>
  <c r="AK29" i="3"/>
  <c r="AK134" i="3"/>
  <c r="AI334" i="3"/>
  <c r="AJ333" i="3"/>
  <c r="AI128" i="3"/>
  <c r="AI436" i="3"/>
  <c r="D268" i="1" s="1"/>
  <c r="D280" i="1" s="1"/>
  <c r="S61" i="3"/>
  <c r="AM147" i="4"/>
  <c r="AN147" i="4" s="1"/>
  <c r="K257" i="4"/>
  <c r="K167" i="7"/>
  <c r="K169" i="7" s="1"/>
  <c r="K118" i="7"/>
  <c r="K152" i="7" s="1"/>
  <c r="K236" i="4"/>
  <c r="K225" i="4"/>
  <c r="L128" i="7"/>
  <c r="L164" i="7" s="1"/>
  <c r="M51" i="7"/>
  <c r="M53" i="7" s="1"/>
  <c r="J334" i="3"/>
  <c r="L106" i="7"/>
  <c r="L138" i="7" s="1"/>
  <c r="K142" i="7"/>
  <c r="K120" i="7"/>
  <c r="K154" i="7" s="1"/>
  <c r="AM14" i="7"/>
  <c r="AL12" i="7"/>
  <c r="J81" i="7"/>
  <c r="AM2" i="3"/>
  <c r="AM1" i="7" s="1"/>
  <c r="AM13" i="7" s="1"/>
  <c r="AM5" i="7" s="1"/>
  <c r="AL38" i="3"/>
  <c r="AJ426" i="3"/>
  <c r="AJ436" i="3"/>
  <c r="E268" i="1" s="1"/>
  <c r="E280" i="1" s="1"/>
  <c r="AL476" i="3"/>
  <c r="AM39" i="3"/>
  <c r="AN39" i="3" s="1"/>
  <c r="G71" i="1"/>
  <c r="G28" i="1" s="1"/>
  <c r="G45" i="1" s="1"/>
  <c r="L88" i="7"/>
  <c r="AK51" i="7"/>
  <c r="AK53" i="7" s="1"/>
  <c r="AL46" i="7"/>
  <c r="AK41" i="3"/>
  <c r="AL42" i="3"/>
  <c r="J155" i="7"/>
  <c r="AN184" i="3"/>
  <c r="M37" i="3"/>
  <c r="N39" i="3"/>
  <c r="AN92" i="4"/>
  <c r="R88" i="4"/>
  <c r="J93" i="7"/>
  <c r="Q97" i="4"/>
  <c r="L130" i="7"/>
  <c r="L166" i="7" s="1"/>
  <c r="N60" i="7"/>
  <c r="N70" i="7" s="1"/>
  <c r="AM115" i="3"/>
  <c r="AN182" i="3"/>
  <c r="M184" i="3"/>
  <c r="O49" i="7"/>
  <c r="L146" i="4"/>
  <c r="M29" i="3"/>
  <c r="J333" i="3"/>
  <c r="AI127" i="3"/>
  <c r="R98" i="4"/>
  <c r="M145" i="4"/>
  <c r="N147" i="4"/>
  <c r="AI164" i="4" s="1"/>
  <c r="AI205" i="4" s="1"/>
  <c r="R92" i="4"/>
  <c r="N47" i="7"/>
  <c r="K70" i="5"/>
  <c r="K76" i="5" s="1"/>
  <c r="K296" i="3" s="1"/>
  <c r="J67" i="5"/>
  <c r="AB225" i="3"/>
  <c r="Q95" i="4"/>
  <c r="R90" i="4"/>
  <c r="AN99" i="4"/>
  <c r="AN50" i="7"/>
  <c r="K174" i="4"/>
  <c r="K181" i="4"/>
  <c r="AN98" i="4"/>
  <c r="AI332" i="3"/>
  <c r="M163" i="3"/>
  <c r="M173" i="3" s="1"/>
  <c r="M280" i="3" s="1"/>
  <c r="M319" i="3" s="1"/>
  <c r="N38" i="3"/>
  <c r="N134" i="3" s="1"/>
  <c r="J55" i="3"/>
  <c r="Q89" i="4"/>
  <c r="AM117" i="3"/>
  <c r="AM392" i="3" s="1"/>
  <c r="AL117" i="3"/>
  <c r="AL392" i="3" s="1"/>
  <c r="AK117" i="3"/>
  <c r="AK392" i="3" s="1"/>
  <c r="AJ117" i="3"/>
  <c r="AJ392" i="3" s="1"/>
  <c r="AI117" i="3"/>
  <c r="AI392" i="3" s="1"/>
  <c r="J508" i="3"/>
  <c r="J112" i="4"/>
  <c r="J515" i="3"/>
  <c r="M183" i="3"/>
  <c r="L126" i="7"/>
  <c r="L162" i="7" s="1"/>
  <c r="AN96" i="4"/>
  <c r="O46" i="7"/>
  <c r="Q225" i="3"/>
  <c r="L257" i="4"/>
  <c r="R94" i="4"/>
  <c r="AA177" i="3"/>
  <c r="AA483" i="3" s="1"/>
  <c r="S177" i="3"/>
  <c r="K177" i="3"/>
  <c r="AJ118" i="3"/>
  <c r="AJ395" i="3" s="1"/>
  <c r="AD177" i="3"/>
  <c r="AD483" i="3" s="1"/>
  <c r="AM118" i="3"/>
  <c r="AM395" i="3" s="1"/>
  <c r="Z177" i="3"/>
  <c r="R177" i="3"/>
  <c r="AI118" i="3"/>
  <c r="AI395" i="3" s="1"/>
  <c r="AG177" i="3"/>
  <c r="AG483" i="3" s="1"/>
  <c r="Y177" i="3"/>
  <c r="Q177" i="3"/>
  <c r="N177" i="3"/>
  <c r="AF177" i="3"/>
  <c r="AF483" i="3" s="1"/>
  <c r="X177" i="3"/>
  <c r="P177" i="3"/>
  <c r="AE177" i="3"/>
  <c r="AE483" i="3" s="1"/>
  <c r="W177" i="3"/>
  <c r="O177" i="3"/>
  <c r="V177" i="3"/>
  <c r="AB177" i="3"/>
  <c r="AB483" i="3" s="1"/>
  <c r="T177" i="3"/>
  <c r="L177" i="3"/>
  <c r="AK118" i="3"/>
  <c r="AK395" i="3" s="1"/>
  <c r="AC177" i="3"/>
  <c r="AC483" i="3" s="1"/>
  <c r="U177" i="3"/>
  <c r="M177" i="3"/>
  <c r="AL118" i="3"/>
  <c r="AL395" i="3" s="1"/>
  <c r="N62" i="7"/>
  <c r="M72" i="7"/>
  <c r="M18" i="7"/>
  <c r="N17" i="7"/>
  <c r="M19" i="7"/>
  <c r="R99" i="4"/>
  <c r="Q93" i="4"/>
  <c r="L129" i="7"/>
  <c r="L165" i="7" s="1"/>
  <c r="L109" i="7"/>
  <c r="L141" i="7" s="1"/>
  <c r="M63" i="7"/>
  <c r="L73" i="7"/>
  <c r="AL63" i="7"/>
  <c r="AK73" i="7"/>
  <c r="AK91" i="7" s="1"/>
  <c r="AJ126" i="7"/>
  <c r="AJ162" i="7" s="1"/>
  <c r="AJ106" i="7"/>
  <c r="AJ138" i="7" s="1"/>
  <c r="AK60" i="7"/>
  <c r="AJ130" i="7"/>
  <c r="AJ166" i="7" s="1"/>
  <c r="AJ110" i="7"/>
  <c r="AJ142" i="7" s="1"/>
  <c r="AK64" i="7"/>
  <c r="AL394" i="3"/>
  <c r="M70" i="3"/>
  <c r="M63" i="3"/>
  <c r="M64" i="3"/>
  <c r="M354" i="3"/>
  <c r="N35" i="3"/>
  <c r="L127" i="7"/>
  <c r="L163" i="7" s="1"/>
  <c r="L107" i="7"/>
  <c r="L139" i="7" s="1"/>
  <c r="M61" i="7"/>
  <c r="M71" i="7" s="1"/>
  <c r="AJ128" i="7"/>
  <c r="AJ164" i="7" s="1"/>
  <c r="AJ108" i="7"/>
  <c r="AJ140" i="7" s="1"/>
  <c r="AK62" i="7"/>
  <c r="K23" i="5"/>
  <c r="L26" i="5"/>
  <c r="AN91" i="4"/>
  <c r="J512" i="3"/>
  <c r="J519" i="3"/>
  <c r="J217" i="3"/>
  <c r="AN47" i="7"/>
  <c r="L41" i="3"/>
  <c r="M42" i="3"/>
  <c r="L444" i="3"/>
  <c r="L355" i="3"/>
  <c r="AN93" i="4"/>
  <c r="J38" i="7"/>
  <c r="AK444" i="3"/>
  <c r="AK409" i="3"/>
  <c r="AK405" i="3"/>
  <c r="AK410" i="3"/>
  <c r="AK406" i="3"/>
  <c r="AK411" i="3"/>
  <c r="AK407" i="3"/>
  <c r="AK412" i="3"/>
  <c r="AK408" i="3"/>
  <c r="K75" i="7"/>
  <c r="AL384" i="3"/>
  <c r="N64" i="7"/>
  <c r="AJ109" i="7"/>
  <c r="AI143" i="7"/>
  <c r="AI145" i="7" s="1"/>
  <c r="M254" i="4"/>
  <c r="M256" i="4"/>
  <c r="M235" i="4"/>
  <c r="M253" i="4"/>
  <c r="M223" i="4"/>
  <c r="M231" i="4"/>
  <c r="M220" i="4"/>
  <c r="M228" i="4"/>
  <c r="M217" i="4"/>
  <c r="M255" i="4"/>
  <c r="M233" i="4"/>
  <c r="M222" i="4"/>
  <c r="M230" i="4"/>
  <c r="M219" i="4"/>
  <c r="M224" i="4"/>
  <c r="M234" i="4"/>
  <c r="M229" i="4"/>
  <c r="M218" i="4"/>
  <c r="M221" i="4"/>
  <c r="M27" i="4"/>
  <c r="M232" i="4"/>
  <c r="AN183" i="3"/>
  <c r="AM116" i="3"/>
  <c r="M70" i="7"/>
  <c r="AN181" i="3"/>
  <c r="AO97" i="4"/>
  <c r="AJ127" i="7"/>
  <c r="AJ163" i="7" s="1"/>
  <c r="AJ107" i="7"/>
  <c r="AJ139" i="7" s="1"/>
  <c r="AK61" i="7"/>
  <c r="M225" i="3"/>
  <c r="K80" i="5"/>
  <c r="L75" i="5" s="1"/>
  <c r="O12" i="7"/>
  <c r="P14" i="7"/>
  <c r="AI319" i="3"/>
  <c r="AJ280" i="3"/>
  <c r="AK280" i="3" s="1"/>
  <c r="AL280" i="3" s="1"/>
  <c r="AM280" i="3" s="1"/>
  <c r="AN280" i="3" s="1"/>
  <c r="AO280" i="3" s="1"/>
  <c r="AP280" i="3" s="1"/>
  <c r="AQ280" i="3" s="1"/>
  <c r="AR280" i="3" s="1"/>
  <c r="AS280" i="3" s="1"/>
  <c r="AT280" i="3" s="1"/>
  <c r="L108" i="7"/>
  <c r="K93" i="7"/>
  <c r="K95" i="7" s="1"/>
  <c r="K119" i="7"/>
  <c r="K153" i="7" s="1"/>
  <c r="AN94" i="4"/>
  <c r="AM200" i="3"/>
  <c r="L110" i="7"/>
  <c r="AI116" i="7"/>
  <c r="AI150" i="7" s="1"/>
  <c r="AI120" i="7"/>
  <c r="AI154" i="7" s="1"/>
  <c r="O5" i="4"/>
  <c r="N4" i="4"/>
  <c r="AI11" i="4" s="1"/>
  <c r="AN95" i="4"/>
  <c r="Q91" i="4"/>
  <c r="K117" i="7"/>
  <c r="K151" i="7" s="1"/>
  <c r="AI118" i="7"/>
  <c r="AI152" i="7" s="1"/>
  <c r="L225" i="4"/>
  <c r="AO48" i="7"/>
  <c r="AN88" i="4"/>
  <c r="F28" i="1"/>
  <c r="F45" i="1" s="1"/>
  <c r="F112" i="1"/>
  <c r="F79" i="1"/>
  <c r="AK19" i="7"/>
  <c r="AK18" i="7"/>
  <c r="AL17" i="7"/>
  <c r="M74" i="7"/>
  <c r="M92" i="7" s="1"/>
  <c r="N50" i="7"/>
  <c r="AN49" i="7"/>
  <c r="AJ129" i="7"/>
  <c r="AJ165" i="7" s="1"/>
  <c r="AI167" i="7"/>
  <c r="AI169" i="7" s="1"/>
  <c r="L190" i="3"/>
  <c r="M182" i="3"/>
  <c r="P48" i="7"/>
  <c r="AL393" i="3"/>
  <c r="L236" i="4"/>
  <c r="AI117" i="7"/>
  <c r="AI151" i="7" s="1"/>
  <c r="M181" i="3"/>
  <c r="K80" i="7" l="1"/>
  <c r="K81" i="7" s="1"/>
  <c r="K77" i="7"/>
  <c r="J39" i="7"/>
  <c r="J157" i="7"/>
  <c r="J37" i="7"/>
  <c r="J95" i="7"/>
  <c r="AI40" i="7"/>
  <c r="J171" i="7"/>
  <c r="K40" i="7"/>
  <c r="J296" i="3"/>
  <c r="J78" i="5"/>
  <c r="J298" i="3" s="1"/>
  <c r="AJ5" i="4"/>
  <c r="AJ4" i="4" s="1"/>
  <c r="F126" i="1"/>
  <c r="K69" i="3"/>
  <c r="K73" i="3" s="1"/>
  <c r="J77" i="3"/>
  <c r="L483" i="3"/>
  <c r="K60" i="3"/>
  <c r="J169" i="4"/>
  <c r="J238" i="4" s="1"/>
  <c r="J243" i="4" s="1"/>
  <c r="J96" i="3"/>
  <c r="J149" i="4" s="1"/>
  <c r="J184" i="4" s="1"/>
  <c r="R219" i="3"/>
  <c r="J479" i="3"/>
  <c r="G72" i="1"/>
  <c r="AK146" i="4"/>
  <c r="AK174" i="4" s="1"/>
  <c r="J56" i="3"/>
  <c r="M167" i="3"/>
  <c r="M176" i="3" s="1"/>
  <c r="M483" i="3" s="1"/>
  <c r="J332" i="3"/>
  <c r="AI459" i="3"/>
  <c r="D461" i="3" s="1" a="1"/>
  <c r="F55" i="1"/>
  <c r="G55" i="1" s="1"/>
  <c r="I59" i="1"/>
  <c r="E13" i="1"/>
  <c r="N185" i="3"/>
  <c r="AI59" i="4"/>
  <c r="N261" i="4"/>
  <c r="AN89" i="4"/>
  <c r="AL106" i="4"/>
  <c r="AI75" i="4"/>
  <c r="AI76" i="4"/>
  <c r="AI77" i="4"/>
  <c r="AI78" i="4"/>
  <c r="AI79" i="4"/>
  <c r="AI80" i="4"/>
  <c r="AI74" i="4"/>
  <c r="AL29" i="3"/>
  <c r="AL134" i="3"/>
  <c r="J143" i="3"/>
  <c r="J151" i="3"/>
  <c r="AJ335" i="3"/>
  <c r="J331" i="3"/>
  <c r="K112" i="4"/>
  <c r="K515" i="3"/>
  <c r="AM145" i="4"/>
  <c r="K519" i="3"/>
  <c r="K217" i="3"/>
  <c r="K118" i="4"/>
  <c r="K512" i="3"/>
  <c r="K508" i="3"/>
  <c r="AI19" i="4"/>
  <c r="H71" i="1"/>
  <c r="H28" i="1" s="1"/>
  <c r="H45" i="1" s="1"/>
  <c r="AI52" i="4"/>
  <c r="AM38" i="3"/>
  <c r="K143" i="7"/>
  <c r="AI60" i="4"/>
  <c r="AI12" i="4"/>
  <c r="AI158" i="4"/>
  <c r="AI47" i="4"/>
  <c r="AI15" i="4"/>
  <c r="AI165" i="4"/>
  <c r="AI176" i="4" s="1"/>
  <c r="AI252" i="4" s="1"/>
  <c r="AI13" i="4"/>
  <c r="J172" i="7"/>
  <c r="AI37" i="4"/>
  <c r="AI30" i="4"/>
  <c r="AI70" i="4"/>
  <c r="AN2" i="3"/>
  <c r="AN1" i="7" s="1"/>
  <c r="AN13" i="7" s="1"/>
  <c r="AN5" i="7" s="1"/>
  <c r="L116" i="7"/>
  <c r="L150" i="7" s="1"/>
  <c r="AN14" i="7"/>
  <c r="AM12" i="7"/>
  <c r="AI33" i="4"/>
  <c r="AI29" i="4"/>
  <c r="N51" i="7"/>
  <c r="N53" i="7" s="1"/>
  <c r="L117" i="7"/>
  <c r="L151" i="7" s="1"/>
  <c r="K155" i="7"/>
  <c r="K157" i="7" s="1"/>
  <c r="AI18" i="4"/>
  <c r="AI36" i="4"/>
  <c r="M130" i="7"/>
  <c r="M166" i="7" s="1"/>
  <c r="AI25" i="4"/>
  <c r="AI23" i="4"/>
  <c r="AK426" i="3"/>
  <c r="AK436" i="3"/>
  <c r="F268" i="1" s="1"/>
  <c r="F280" i="1" s="1"/>
  <c r="AM37" i="3"/>
  <c r="G79" i="1"/>
  <c r="G112" i="1"/>
  <c r="AM476" i="3"/>
  <c r="J526" i="3"/>
  <c r="J542" i="3" s="1"/>
  <c r="J522" i="3"/>
  <c r="J538" i="3" s="1"/>
  <c r="AJ116" i="7"/>
  <c r="AJ150" i="7" s="1"/>
  <c r="AJ120" i="7"/>
  <c r="AJ154" i="7" s="1"/>
  <c r="M89" i="7"/>
  <c r="AI22" i="4"/>
  <c r="AI69" i="4"/>
  <c r="M257" i="4"/>
  <c r="AI38" i="7"/>
  <c r="M41" i="3"/>
  <c r="N42" i="3"/>
  <c r="L23" i="5"/>
  <c r="M26" i="5"/>
  <c r="AK129" i="7"/>
  <c r="AK165" i="7" s="1"/>
  <c r="S99" i="4"/>
  <c r="J483" i="3"/>
  <c r="K192" i="3"/>
  <c r="K214" i="3" s="1"/>
  <c r="K483" i="3"/>
  <c r="S94" i="4"/>
  <c r="L118" i="4"/>
  <c r="L519" i="3"/>
  <c r="L512" i="3"/>
  <c r="L217" i="3"/>
  <c r="L167" i="7"/>
  <c r="L169" i="7" s="1"/>
  <c r="AO50" i="7"/>
  <c r="AC225" i="3"/>
  <c r="J120" i="3"/>
  <c r="AL51" i="7"/>
  <c r="AL53" i="7" s="1"/>
  <c r="AM46" i="7"/>
  <c r="AL18" i="7"/>
  <c r="AM17" i="7"/>
  <c r="AL19" i="7"/>
  <c r="AO184" i="3"/>
  <c r="AK126" i="7"/>
  <c r="AK162" i="7" s="1"/>
  <c r="AK106" i="7"/>
  <c r="AK138" i="7" s="1"/>
  <c r="AL60" i="7"/>
  <c r="L91" i="7"/>
  <c r="N183" i="3"/>
  <c r="S90" i="4"/>
  <c r="L192" i="3"/>
  <c r="L214" i="3" s="1"/>
  <c r="AL41" i="3"/>
  <c r="AM42" i="3"/>
  <c r="AK70" i="7"/>
  <c r="K98" i="7"/>
  <c r="K37" i="7"/>
  <c r="O47" i="7"/>
  <c r="N181" i="3"/>
  <c r="AO49" i="7"/>
  <c r="N254" i="4"/>
  <c r="N256" i="4"/>
  <c r="N235" i="4"/>
  <c r="N253" i="4"/>
  <c r="N231" i="4"/>
  <c r="N220" i="4"/>
  <c r="N228" i="4"/>
  <c r="N217" i="4"/>
  <c r="N255" i="4"/>
  <c r="N233" i="4"/>
  <c r="N222" i="4"/>
  <c r="N230" i="4"/>
  <c r="N219" i="4"/>
  <c r="N224" i="4"/>
  <c r="N232" i="4"/>
  <c r="N221" i="4"/>
  <c r="N223" i="4"/>
  <c r="N234" i="4"/>
  <c r="N27" i="4"/>
  <c r="N229" i="4"/>
  <c r="N218" i="4"/>
  <c r="AI8" i="4"/>
  <c r="L142" i="7"/>
  <c r="L120" i="7"/>
  <c r="L154" i="7" s="1"/>
  <c r="P12" i="7"/>
  <c r="Q14" i="7"/>
  <c r="AM394" i="3"/>
  <c r="AI24" i="4"/>
  <c r="AI71" i="4"/>
  <c r="AI50" i="4"/>
  <c r="AI62" i="4"/>
  <c r="AI46" i="4"/>
  <c r="AI55" i="4"/>
  <c r="AI68" i="4"/>
  <c r="M225" i="4"/>
  <c r="AJ141" i="7"/>
  <c r="AJ119" i="7"/>
  <c r="AJ153" i="7" s="1"/>
  <c r="AJ118" i="7"/>
  <c r="AJ152" i="7" s="1"/>
  <c r="M129" i="7"/>
  <c r="M165" i="7" s="1"/>
  <c r="M109" i="7"/>
  <c r="M141" i="7" s="1"/>
  <c r="N63" i="7"/>
  <c r="M73" i="7"/>
  <c r="M91" i="7" s="1"/>
  <c r="M90" i="7"/>
  <c r="N88" i="7"/>
  <c r="O38" i="3"/>
  <c r="O134" i="3" s="1"/>
  <c r="N163" i="3"/>
  <c r="N173" i="3" s="1"/>
  <c r="N280" i="3" s="1"/>
  <c r="N319" i="3" s="1"/>
  <c r="AO90" i="4"/>
  <c r="L70" i="5"/>
  <c r="L76" i="5" s="1"/>
  <c r="L296" i="3" s="1"/>
  <c r="K67" i="5"/>
  <c r="N145" i="4"/>
  <c r="O147" i="4"/>
  <c r="AI159" i="4"/>
  <c r="AI227" i="4" s="1"/>
  <c r="AI166" i="4"/>
  <c r="AO182" i="3"/>
  <c r="AN115" i="3"/>
  <c r="AO92" i="4"/>
  <c r="L75" i="7"/>
  <c r="AO88" i="4"/>
  <c r="Q48" i="7"/>
  <c r="N74" i="7"/>
  <c r="N92" i="7" s="1"/>
  <c r="O50" i="7"/>
  <c r="O4" i="4"/>
  <c r="P5" i="4"/>
  <c r="AN200" i="3"/>
  <c r="AO181" i="3"/>
  <c r="AO183" i="3"/>
  <c r="AN116" i="3"/>
  <c r="AI48" i="4"/>
  <c r="AI14" i="4"/>
  <c r="AI56" i="4"/>
  <c r="AI31" i="4"/>
  <c r="AI67" i="4"/>
  <c r="AI45" i="4"/>
  <c r="M236" i="4"/>
  <c r="O64" i="7"/>
  <c r="J216" i="3"/>
  <c r="AO91" i="4"/>
  <c r="AO39" i="3"/>
  <c r="AN37" i="3"/>
  <c r="O62" i="7"/>
  <c r="N72" i="7"/>
  <c r="N90" i="7" s="1"/>
  <c r="R225" i="3"/>
  <c r="AO96" i="4"/>
  <c r="AN117" i="3"/>
  <c r="AN392" i="3" s="1"/>
  <c r="M444" i="3"/>
  <c r="M355" i="3"/>
  <c r="AO99" i="4"/>
  <c r="S92" i="4"/>
  <c r="O60" i="7"/>
  <c r="O70" i="7" s="1"/>
  <c r="AO94" i="4"/>
  <c r="AJ117" i="7"/>
  <c r="AJ151" i="7" s="1"/>
  <c r="AK128" i="7"/>
  <c r="AK164" i="7" s="1"/>
  <c r="AK108" i="7"/>
  <c r="AK140" i="7" s="1"/>
  <c r="AL62" i="7"/>
  <c r="AK72" i="7"/>
  <c r="AK90" i="7" s="1"/>
  <c r="N18" i="7"/>
  <c r="N110" i="7" s="1"/>
  <c r="O17" i="7"/>
  <c r="N19" i="7"/>
  <c r="L112" i="4"/>
  <c r="L515" i="3"/>
  <c r="L508" i="3"/>
  <c r="N225" i="3"/>
  <c r="AI28" i="4"/>
  <c r="AI21" i="4"/>
  <c r="AI66" i="4"/>
  <c r="AI41" i="4"/>
  <c r="AI65" i="4"/>
  <c r="AI40" i="4"/>
  <c r="AI57" i="4"/>
  <c r="M110" i="7"/>
  <c r="AL444" i="3"/>
  <c r="AL409" i="3"/>
  <c r="AL410" i="3"/>
  <c r="AL406" i="3"/>
  <c r="AL404" i="3"/>
  <c r="AU404" i="3" s="1"/>
  <c r="AL411" i="3"/>
  <c r="AL407" i="3"/>
  <c r="AL408" i="3"/>
  <c r="AL412" i="3"/>
  <c r="M127" i="7"/>
  <c r="M163" i="7" s="1"/>
  <c r="M107" i="7"/>
  <c r="M139" i="7" s="1"/>
  <c r="N61" i="7"/>
  <c r="N71" i="7" s="1"/>
  <c r="AJ167" i="7"/>
  <c r="AJ169" i="7" s="1"/>
  <c r="AM63" i="7"/>
  <c r="AL73" i="7"/>
  <c r="AL91" i="7" s="1"/>
  <c r="L119" i="7"/>
  <c r="L153" i="7" s="1"/>
  <c r="R93" i="4"/>
  <c r="M108" i="7"/>
  <c r="AN118" i="3"/>
  <c r="AN395" i="3" s="1"/>
  <c r="R95" i="4"/>
  <c r="M146" i="4"/>
  <c r="N29" i="3"/>
  <c r="AO147" i="4"/>
  <c r="AN145" i="4"/>
  <c r="AM393" i="3"/>
  <c r="M106" i="7"/>
  <c r="S88" i="4"/>
  <c r="L140" i="7"/>
  <c r="L118" i="7"/>
  <c r="L152" i="7" s="1"/>
  <c r="M190" i="3"/>
  <c r="N182" i="3"/>
  <c r="AP48" i="7"/>
  <c r="AI155" i="7"/>
  <c r="L80" i="5"/>
  <c r="AI49" i="4"/>
  <c r="AI61" i="4"/>
  <c r="AI51" i="4"/>
  <c r="AI10" i="4"/>
  <c r="AI4" i="4"/>
  <c r="AI39" i="4"/>
  <c r="AO93" i="4"/>
  <c r="AO47" i="7"/>
  <c r="AK130" i="7"/>
  <c r="AK166" i="7" s="1"/>
  <c r="AK110" i="7"/>
  <c r="AK142" i="7" s="1"/>
  <c r="AL64" i="7"/>
  <c r="AK74" i="7"/>
  <c r="AK92" i="7" s="1"/>
  <c r="AK109" i="7"/>
  <c r="K83" i="3"/>
  <c r="J83" i="3"/>
  <c r="AO98" i="4"/>
  <c r="S98" i="4"/>
  <c r="L181" i="4"/>
  <c r="L174" i="4"/>
  <c r="L128" i="4"/>
  <c r="J98" i="7"/>
  <c r="P46" i="7"/>
  <c r="M192" i="3"/>
  <c r="M214" i="3" s="1"/>
  <c r="N184" i="3"/>
  <c r="R97" i="4"/>
  <c r="R91" i="4"/>
  <c r="AP97" i="4"/>
  <c r="AO95" i="4"/>
  <c r="AI355" i="3"/>
  <c r="AJ319" i="3"/>
  <c r="AK127" i="7"/>
  <c r="AK163" i="7" s="1"/>
  <c r="AK107" i="7"/>
  <c r="AK139" i="7" s="1"/>
  <c r="AL61" i="7"/>
  <c r="AK71" i="7"/>
  <c r="AK89" i="7" s="1"/>
  <c r="M88" i="7"/>
  <c r="AI58" i="4"/>
  <c r="AI38" i="4"/>
  <c r="AI20" i="4"/>
  <c r="AI9" i="4"/>
  <c r="AI42" i="4"/>
  <c r="AI32" i="4"/>
  <c r="N354" i="3"/>
  <c r="N70" i="3"/>
  <c r="N63" i="3"/>
  <c r="N64" i="3"/>
  <c r="O35" i="3"/>
  <c r="M128" i="7"/>
  <c r="M164" i="7" s="1"/>
  <c r="R89" i="4"/>
  <c r="H57" i="1"/>
  <c r="P49" i="7"/>
  <c r="M126" i="7"/>
  <c r="M162" i="7" s="1"/>
  <c r="O39" i="3"/>
  <c r="N37" i="3"/>
  <c r="J36" i="7" l="1"/>
  <c r="L80" i="7"/>
  <c r="L81" i="7" s="1"/>
  <c r="L77" i="7"/>
  <c r="K38" i="7"/>
  <c r="K145" i="7"/>
  <c r="AI39" i="7"/>
  <c r="AI157" i="7"/>
  <c r="K171" i="7"/>
  <c r="L40" i="7"/>
  <c r="AI171" i="7"/>
  <c r="AJ40" i="7"/>
  <c r="K78" i="5"/>
  <c r="K298" i="3" s="1"/>
  <c r="J244" i="4"/>
  <c r="J239" i="4"/>
  <c r="J242" i="4"/>
  <c r="J240" i="4"/>
  <c r="J531" i="3"/>
  <c r="J241" i="4"/>
  <c r="G126" i="1"/>
  <c r="I57" i="1"/>
  <c r="K168" i="4"/>
  <c r="J195" i="3"/>
  <c r="J185" i="4"/>
  <c r="J190" i="4"/>
  <c r="J186" i="4"/>
  <c r="J188" i="4"/>
  <c r="J97" i="3"/>
  <c r="K90" i="3"/>
  <c r="J187" i="4"/>
  <c r="J532" i="3"/>
  <c r="J189" i="4"/>
  <c r="J191" i="4"/>
  <c r="J335" i="3"/>
  <c r="AK5" i="4"/>
  <c r="AK4" i="4" s="1"/>
  <c r="H72" i="1"/>
  <c r="AL146" i="4"/>
  <c r="AL174" i="4" s="1"/>
  <c r="J57" i="3"/>
  <c r="K216" i="3"/>
  <c r="L216" i="3"/>
  <c r="S219" i="3"/>
  <c r="K74" i="3"/>
  <c r="K75" i="3"/>
  <c r="M191" i="3"/>
  <c r="N167" i="3"/>
  <c r="N176" i="3" s="1"/>
  <c r="N483" i="3" s="1"/>
  <c r="M75" i="5"/>
  <c r="AI335" i="3"/>
  <c r="D447" i="3" a="1"/>
  <c r="D450" i="3" s="1"/>
  <c r="AL12" i="3"/>
  <c r="AL9" i="3" s="1"/>
  <c r="E24" i="1" s="1"/>
  <c r="E36" i="1" s="1"/>
  <c r="AM12" i="3"/>
  <c r="F59" i="1"/>
  <c r="G59" i="1" s="1"/>
  <c r="AI258" i="3"/>
  <c r="O185" i="3"/>
  <c r="O261" i="4"/>
  <c r="AO89" i="4"/>
  <c r="AM106" i="4"/>
  <c r="J153" i="3"/>
  <c r="J158" i="3"/>
  <c r="I71" i="1"/>
  <c r="I112" i="1" s="1"/>
  <c r="AM134" i="3"/>
  <c r="AM29" i="3"/>
  <c r="K522" i="3"/>
  <c r="K538" i="3" s="1"/>
  <c r="K526" i="3"/>
  <c r="K542" i="3" s="1"/>
  <c r="H112" i="1"/>
  <c r="AI534" i="3"/>
  <c r="H79" i="1"/>
  <c r="AO2" i="3"/>
  <c r="AO1" i="7" s="1"/>
  <c r="AO13" i="7" s="1"/>
  <c r="AO5" i="7" s="1"/>
  <c r="AN38" i="3"/>
  <c r="K172" i="7"/>
  <c r="K39" i="7"/>
  <c r="M119" i="7"/>
  <c r="M153" i="7" s="1"/>
  <c r="O51" i="7"/>
  <c r="O53" i="7" s="1"/>
  <c r="J99" i="7"/>
  <c r="AO14" i="7"/>
  <c r="AN12" i="7"/>
  <c r="L155" i="7"/>
  <c r="AM384" i="3"/>
  <c r="AM410" i="3" s="1"/>
  <c r="AL426" i="3"/>
  <c r="AL436" i="3"/>
  <c r="G268" i="1" s="1"/>
  <c r="G280" i="1" s="1"/>
  <c r="AL109" i="7"/>
  <c r="AL141" i="7" s="1"/>
  <c r="AN476" i="3"/>
  <c r="AJ143" i="7"/>
  <c r="AL129" i="7"/>
  <c r="AL165" i="7" s="1"/>
  <c r="L526" i="3"/>
  <c r="L542" i="3" s="1"/>
  <c r="AJ155" i="7"/>
  <c r="N89" i="7"/>
  <c r="N142" i="7"/>
  <c r="N120" i="7"/>
  <c r="N154" i="7" s="1"/>
  <c r="AL127" i="7"/>
  <c r="AL163" i="7" s="1"/>
  <c r="AL107" i="7"/>
  <c r="AL139" i="7" s="1"/>
  <c r="AM61" i="7"/>
  <c r="AL71" i="7"/>
  <c r="AL89" i="7" s="1"/>
  <c r="M93" i="7"/>
  <c r="M95" i="7" s="1"/>
  <c r="J165" i="3"/>
  <c r="S95" i="4"/>
  <c r="S93" i="4"/>
  <c r="AN63" i="7"/>
  <c r="AM73" i="7"/>
  <c r="AM91" i="7" s="1"/>
  <c r="AL128" i="7"/>
  <c r="AL164" i="7" s="1"/>
  <c r="AL108" i="7"/>
  <c r="AL140" i="7" s="1"/>
  <c r="AM62" i="7"/>
  <c r="AL72" i="7"/>
  <c r="AL90" i="7" s="1"/>
  <c r="L143" i="7"/>
  <c r="L145" i="7" s="1"/>
  <c r="N106" i="7"/>
  <c r="AP39" i="3"/>
  <c r="AO37" i="3"/>
  <c r="N130" i="7"/>
  <c r="N166" i="7" s="1"/>
  <c r="R48" i="7"/>
  <c r="AP49" i="7"/>
  <c r="AL126" i="7"/>
  <c r="AL162" i="7" s="1"/>
  <c r="AL106" i="7"/>
  <c r="AL138" i="7" s="1"/>
  <c r="AM60" i="7"/>
  <c r="AM70" i="7" s="1"/>
  <c r="AM51" i="7"/>
  <c r="AM53" i="7" s="1"/>
  <c r="AN46" i="7"/>
  <c r="T94" i="4"/>
  <c r="AI172" i="7"/>
  <c r="AK141" i="7"/>
  <c r="AK119" i="7"/>
  <c r="AK153" i="7" s="1"/>
  <c r="AN394" i="3"/>
  <c r="AN393" i="3"/>
  <c r="D470" i="3"/>
  <c r="D462" i="3"/>
  <c r="D469" i="3"/>
  <c r="D468" i="3"/>
  <c r="D461" i="3"/>
  <c r="D467" i="3"/>
  <c r="D466" i="3"/>
  <c r="D465" i="3"/>
  <c r="D463" i="3"/>
  <c r="D464" i="3"/>
  <c r="T99" i="4"/>
  <c r="AK117" i="7"/>
  <c r="AK151" i="7" s="1"/>
  <c r="AP95" i="4"/>
  <c r="AQ48" i="7"/>
  <c r="N146" i="4"/>
  <c r="O29" i="3"/>
  <c r="L522" i="3"/>
  <c r="AK118" i="7"/>
  <c r="AK152" i="7" s="1"/>
  <c r="N126" i="7"/>
  <c r="N162" i="7" s="1"/>
  <c r="T92" i="4"/>
  <c r="N108" i="7"/>
  <c r="AP183" i="3"/>
  <c r="AO116" i="3"/>
  <c r="AP182" i="3"/>
  <c r="AO115" i="3"/>
  <c r="M70" i="5"/>
  <c r="L67" i="5"/>
  <c r="Q12" i="7"/>
  <c r="R14" i="7"/>
  <c r="K99" i="7"/>
  <c r="AK116" i="7"/>
  <c r="AK150" i="7" s="1"/>
  <c r="AL70" i="7"/>
  <c r="AD225" i="3"/>
  <c r="AO200" i="3"/>
  <c r="M118" i="4"/>
  <c r="M519" i="3"/>
  <c r="M512" i="3"/>
  <c r="M217" i="3"/>
  <c r="F57" i="1"/>
  <c r="M181" i="4"/>
  <c r="M128" i="4"/>
  <c r="M174" i="4"/>
  <c r="M142" i="7"/>
  <c r="M120" i="7"/>
  <c r="M154" i="7" s="1"/>
  <c r="O18" i="7"/>
  <c r="P17" i="7"/>
  <c r="O19" i="7"/>
  <c r="P4" i="4"/>
  <c r="Q5" i="4"/>
  <c r="AP88" i="4"/>
  <c r="AK167" i="7"/>
  <c r="AK169" i="7" s="1"/>
  <c r="P39" i="3"/>
  <c r="O37" i="3"/>
  <c r="O354" i="3"/>
  <c r="O70" i="3"/>
  <c r="O63" i="3"/>
  <c r="P35" i="3"/>
  <c r="O64" i="3"/>
  <c r="M75" i="7"/>
  <c r="AJ355" i="3"/>
  <c r="AK319" i="3"/>
  <c r="Q46" i="7"/>
  <c r="O182" i="3"/>
  <c r="N190" i="3"/>
  <c r="S225" i="3"/>
  <c r="N128" i="7"/>
  <c r="N164" i="7" s="1"/>
  <c r="O235" i="4"/>
  <c r="O233" i="4"/>
  <c r="O230" i="4"/>
  <c r="O232" i="4"/>
  <c r="O234" i="4"/>
  <c r="O229" i="4"/>
  <c r="O231" i="4"/>
  <c r="O255" i="4"/>
  <c r="O217" i="4"/>
  <c r="O221" i="4"/>
  <c r="O219" i="4"/>
  <c r="O256" i="4"/>
  <c r="O253" i="4"/>
  <c r="O228" i="4"/>
  <c r="O220" i="4"/>
  <c r="O254" i="4"/>
  <c r="O222" i="4"/>
  <c r="O218" i="4"/>
  <c r="O224" i="4"/>
  <c r="O223" i="4"/>
  <c r="O74" i="7"/>
  <c r="P50" i="7"/>
  <c r="N225" i="4"/>
  <c r="O181" i="3"/>
  <c r="T90" i="4"/>
  <c r="O183" i="3"/>
  <c r="T98" i="4"/>
  <c r="AP147" i="4"/>
  <c r="AO145" i="4"/>
  <c r="AP94" i="4"/>
  <c r="AQ97" i="4"/>
  <c r="O88" i="7"/>
  <c r="AL130" i="7"/>
  <c r="AL166" i="7" s="1"/>
  <c r="AL110" i="7"/>
  <c r="AL142" i="7" s="1"/>
  <c r="AM64" i="7"/>
  <c r="AL74" i="7"/>
  <c r="AL92" i="7" s="1"/>
  <c r="N127" i="7"/>
  <c r="N163" i="7" s="1"/>
  <c r="N107" i="7"/>
  <c r="N139" i="7" s="1"/>
  <c r="O61" i="7"/>
  <c r="O71" i="7" s="1"/>
  <c r="AP99" i="4"/>
  <c r="P64" i="7"/>
  <c r="AP181" i="3"/>
  <c r="AO117" i="3"/>
  <c r="AO392" i="3" s="1"/>
  <c r="AP90" i="4"/>
  <c r="N355" i="3"/>
  <c r="N444" i="3"/>
  <c r="N236" i="4"/>
  <c r="N257" i="4"/>
  <c r="AM18" i="7"/>
  <c r="AN17" i="7"/>
  <c r="AM19" i="7"/>
  <c r="P62" i="7"/>
  <c r="O72" i="7"/>
  <c r="S89" i="4"/>
  <c r="AP98" i="4"/>
  <c r="AP93" i="4"/>
  <c r="M138" i="7"/>
  <c r="M116" i="7"/>
  <c r="M150" i="7" s="1"/>
  <c r="M140" i="7"/>
  <c r="M118" i="7"/>
  <c r="M152" i="7" s="1"/>
  <c r="AP91" i="4"/>
  <c r="P147" i="4"/>
  <c r="O145" i="4"/>
  <c r="P38" i="3"/>
  <c r="P134" i="3" s="1"/>
  <c r="O163" i="3"/>
  <c r="O173" i="3" s="1"/>
  <c r="O280" i="3" s="1"/>
  <c r="O319" i="3" s="1"/>
  <c r="N129" i="7"/>
  <c r="N165" i="7" s="1"/>
  <c r="N109" i="7"/>
  <c r="N141" i="7" s="1"/>
  <c r="O63" i="7"/>
  <c r="N73" i="7"/>
  <c r="N91" i="7" s="1"/>
  <c r="M112" i="4"/>
  <c r="M515" i="3"/>
  <c r="M508" i="3"/>
  <c r="AK88" i="7"/>
  <c r="AK93" i="7" s="1"/>
  <c r="AK95" i="7" s="1"/>
  <c r="AK75" i="7"/>
  <c r="N26" i="5"/>
  <c r="M23" i="5"/>
  <c r="N41" i="3"/>
  <c r="O42" i="3"/>
  <c r="M167" i="7"/>
  <c r="M169" i="7" s="1"/>
  <c r="S97" i="4"/>
  <c r="AP47" i="7"/>
  <c r="Q49" i="7"/>
  <c r="S91" i="4"/>
  <c r="N192" i="3"/>
  <c r="N214" i="3" s="1"/>
  <c r="O184" i="3"/>
  <c r="AK120" i="7"/>
  <c r="AK154" i="7" s="1"/>
  <c r="T88" i="4"/>
  <c r="M117" i="7"/>
  <c r="M151" i="7" s="1"/>
  <c r="L93" i="7"/>
  <c r="L95" i="7" s="1"/>
  <c r="P60" i="7"/>
  <c r="P70" i="7" s="1"/>
  <c r="AP96" i="4"/>
  <c r="AN384" i="3"/>
  <c r="AP92" i="4"/>
  <c r="P47" i="7"/>
  <c r="AM41" i="3"/>
  <c r="AN42" i="3"/>
  <c r="AP184" i="3"/>
  <c r="AO118" i="3"/>
  <c r="AO395" i="3" s="1"/>
  <c r="AP50" i="7"/>
  <c r="K36" i="7" l="1"/>
  <c r="AJ39" i="7"/>
  <c r="AJ157" i="7"/>
  <c r="AK80" i="7"/>
  <c r="AK81" i="7" s="1"/>
  <c r="AK77" i="7"/>
  <c r="L39" i="7"/>
  <c r="L157" i="7"/>
  <c r="AJ38" i="7"/>
  <c r="AJ145" i="7"/>
  <c r="M80" i="7"/>
  <c r="M77" i="7"/>
  <c r="AK40" i="7"/>
  <c r="M40" i="7"/>
  <c r="AJ171" i="7"/>
  <c r="L171" i="7"/>
  <c r="L78" i="5"/>
  <c r="L298" i="3" s="1"/>
  <c r="J245" i="4"/>
  <c r="J516" i="3" s="1"/>
  <c r="H126" i="1"/>
  <c r="I126" i="1"/>
  <c r="M80" i="5"/>
  <c r="N75" i="5" s="1"/>
  <c r="M76" i="5"/>
  <c r="AL5" i="4"/>
  <c r="AL4" i="4" s="1"/>
  <c r="K80" i="3"/>
  <c r="K76" i="3"/>
  <c r="K91" i="3"/>
  <c r="J58" i="3"/>
  <c r="K50" i="3"/>
  <c r="K54" i="3" s="1"/>
  <c r="J192" i="4"/>
  <c r="I72" i="1"/>
  <c r="AM146" i="4"/>
  <c r="AM174" i="4" s="1"/>
  <c r="T219" i="3"/>
  <c r="M216" i="3"/>
  <c r="O167" i="3"/>
  <c r="O176" i="3" s="1"/>
  <c r="O483" i="3" s="1"/>
  <c r="N191" i="3"/>
  <c r="AN12" i="3"/>
  <c r="AL10" i="3"/>
  <c r="AL11" i="3" s="1"/>
  <c r="AM10" i="3"/>
  <c r="AM9" i="3"/>
  <c r="AJ341" i="3" s="1"/>
  <c r="D454" i="3"/>
  <c r="D447" i="3"/>
  <c r="D453" i="3"/>
  <c r="D455" i="3"/>
  <c r="D448" i="3"/>
  <c r="D456" i="3"/>
  <c r="D452" i="3"/>
  <c r="D449" i="3"/>
  <c r="D451" i="3"/>
  <c r="J282" i="3"/>
  <c r="J340" i="3" s="1"/>
  <c r="E9" i="1"/>
  <c r="E17" i="1" s="1"/>
  <c r="E40" i="1"/>
  <c r="P185" i="3"/>
  <c r="P261" i="4"/>
  <c r="AP89" i="4"/>
  <c r="I28" i="1"/>
  <c r="I45" i="1" s="1"/>
  <c r="I79" i="1"/>
  <c r="AN106" i="4"/>
  <c r="J177" i="4"/>
  <c r="J259" i="4" s="1"/>
  <c r="J263" i="4" s="1"/>
  <c r="K150" i="3"/>
  <c r="AN29" i="3"/>
  <c r="AN134" i="3"/>
  <c r="AI285" i="3"/>
  <c r="J71" i="1"/>
  <c r="J28" i="1" s="1"/>
  <c r="J45" i="1" s="1"/>
  <c r="AP2" i="3"/>
  <c r="AP1" i="7" s="1"/>
  <c r="AP13" i="7" s="1"/>
  <c r="AP5" i="7" s="1"/>
  <c r="AO38" i="3"/>
  <c r="AM409" i="3"/>
  <c r="AM411" i="3"/>
  <c r="AM404" i="3"/>
  <c r="AM444" i="3"/>
  <c r="AM426" i="3" s="1"/>
  <c r="AM408" i="3"/>
  <c r="AM412" i="3"/>
  <c r="AM407" i="3"/>
  <c r="AP14" i="7"/>
  <c r="AO12" i="7"/>
  <c r="P51" i="7"/>
  <c r="P53" i="7" s="1"/>
  <c r="N167" i="7"/>
  <c r="N169" i="7" s="1"/>
  <c r="AM405" i="3"/>
  <c r="AU405" i="3" s="1"/>
  <c r="AL119" i="7"/>
  <c r="AL153" i="7" s="1"/>
  <c r="O108" i="7"/>
  <c r="O140" i="7" s="1"/>
  <c r="O128" i="7"/>
  <c r="O164" i="7" s="1"/>
  <c r="AO476" i="3"/>
  <c r="O106" i="7"/>
  <c r="O138" i="7" s="1"/>
  <c r="O110" i="7"/>
  <c r="O142" i="7" s="1"/>
  <c r="O126" i="7"/>
  <c r="O162" i="7" s="1"/>
  <c r="AJ172" i="7"/>
  <c r="O130" i="7"/>
  <c r="O166" i="7" s="1"/>
  <c r="AK143" i="7"/>
  <c r="AQ47" i="7"/>
  <c r="M143" i="7"/>
  <c r="M145" i="7" s="1"/>
  <c r="AQ94" i="4"/>
  <c r="O129" i="7"/>
  <c r="O165" i="7" s="1"/>
  <c r="O109" i="7"/>
  <c r="O141" i="7" s="1"/>
  <c r="P63" i="7"/>
  <c r="O73" i="7"/>
  <c r="Q62" i="7"/>
  <c r="P72" i="7"/>
  <c r="P90" i="7" s="1"/>
  <c r="P74" i="7"/>
  <c r="P92" i="7" s="1"/>
  <c r="Q50" i="7"/>
  <c r="AQ183" i="3"/>
  <c r="AP116" i="3"/>
  <c r="L538" i="3"/>
  <c r="AM126" i="7"/>
  <c r="AM162" i="7" s="1"/>
  <c r="AM106" i="7"/>
  <c r="AM138" i="7" s="1"/>
  <c r="AN60" i="7"/>
  <c r="AN70" i="7" s="1"/>
  <c r="AM128" i="7"/>
  <c r="AM164" i="7" s="1"/>
  <c r="AM108" i="7"/>
  <c r="AM140" i="7" s="1"/>
  <c r="AN62" i="7"/>
  <c r="AM72" i="7"/>
  <c r="AM90" i="7" s="1"/>
  <c r="AO42" i="3"/>
  <c r="AN41" i="3"/>
  <c r="AO63" i="7"/>
  <c r="AN73" i="7"/>
  <c r="AN91" i="7" s="1"/>
  <c r="N119" i="7"/>
  <c r="N153" i="7" s="1"/>
  <c r="AQ91" i="4"/>
  <c r="AQ98" i="4"/>
  <c r="AQ147" i="4"/>
  <c r="AP145" i="4"/>
  <c r="N112" i="4"/>
  <c r="N515" i="3"/>
  <c r="N508" i="3"/>
  <c r="O225" i="4"/>
  <c r="AQ88" i="4"/>
  <c r="Q4" i="4"/>
  <c r="Q228" i="4" s="1"/>
  <c r="R5" i="4"/>
  <c r="M526" i="3"/>
  <c r="M542" i="3" s="1"/>
  <c r="O146" i="4"/>
  <c r="P29" i="3"/>
  <c r="AR48" i="7"/>
  <c r="AQ95" i="4"/>
  <c r="AL116" i="7"/>
  <c r="AL150" i="7" s="1"/>
  <c r="AL118" i="7"/>
  <c r="AL152" i="7" s="1"/>
  <c r="AM109" i="7"/>
  <c r="AM127" i="7"/>
  <c r="AM163" i="7" s="1"/>
  <c r="AM107" i="7"/>
  <c r="AM139" i="7" s="1"/>
  <c r="AN61" i="7"/>
  <c r="AM71" i="7"/>
  <c r="AM89" i="7" s="1"/>
  <c r="L98" i="7"/>
  <c r="L37" i="7"/>
  <c r="N70" i="5"/>
  <c r="M67" i="5"/>
  <c r="AQ49" i="7"/>
  <c r="Q47" i="7"/>
  <c r="AQ92" i="4"/>
  <c r="U88" i="4"/>
  <c r="T91" i="4"/>
  <c r="T97" i="4"/>
  <c r="M522" i="3"/>
  <c r="T89" i="4"/>
  <c r="M98" i="7"/>
  <c r="M37" i="7"/>
  <c r="N93" i="7"/>
  <c r="N95" i="7" s="1"/>
  <c r="AQ181" i="3"/>
  <c r="AP117" i="3"/>
  <c r="AP392" i="3" s="1"/>
  <c r="O127" i="7"/>
  <c r="O163" i="7" s="1"/>
  <c r="O107" i="7"/>
  <c r="O139" i="7" s="1"/>
  <c r="P61" i="7"/>
  <c r="AL120" i="7"/>
  <c r="AL154" i="7" s="1"/>
  <c r="O236" i="4"/>
  <c r="AL319" i="3"/>
  <c r="AK355" i="3"/>
  <c r="P354" i="3"/>
  <c r="P64" i="3"/>
  <c r="Q35" i="3"/>
  <c r="P70" i="3"/>
  <c r="P63" i="3"/>
  <c r="P235" i="4"/>
  <c r="P234" i="4"/>
  <c r="P233" i="4"/>
  <c r="P230" i="4"/>
  <c r="P232" i="4"/>
  <c r="P229" i="4"/>
  <c r="P231" i="4"/>
  <c r="P255" i="4"/>
  <c r="P256" i="4"/>
  <c r="P228" i="4"/>
  <c r="P219" i="4"/>
  <c r="P253" i="4"/>
  <c r="P221" i="4"/>
  <c r="P217" i="4"/>
  <c r="P224" i="4"/>
  <c r="P223" i="4"/>
  <c r="P222" i="4"/>
  <c r="P218" i="4"/>
  <c r="P254" i="4"/>
  <c r="P220" i="4"/>
  <c r="G57" i="1"/>
  <c r="AP200" i="3"/>
  <c r="AL88" i="7"/>
  <c r="AL93" i="7" s="1"/>
  <c r="AL95" i="7" s="1"/>
  <c r="AL75" i="7"/>
  <c r="S14" i="7"/>
  <c r="R12" i="7"/>
  <c r="AO393" i="3"/>
  <c r="N181" i="4"/>
  <c r="N174" i="4"/>
  <c r="N128" i="4"/>
  <c r="U94" i="4"/>
  <c r="AO46" i="7"/>
  <c r="AN51" i="7"/>
  <c r="AN53" i="7" s="1"/>
  <c r="AL167" i="7"/>
  <c r="AL169" i="7" s="1"/>
  <c r="S48" i="7"/>
  <c r="N138" i="7"/>
  <c r="N116" i="7"/>
  <c r="N150" i="7" s="1"/>
  <c r="T95" i="4"/>
  <c r="O89" i="7"/>
  <c r="Q60" i="7"/>
  <c r="Q70" i="7" s="1"/>
  <c r="P42" i="3"/>
  <c r="O41" i="3"/>
  <c r="N118" i="4"/>
  <c r="N512" i="3"/>
  <c r="N519" i="3"/>
  <c r="N217" i="3"/>
  <c r="AQ90" i="4"/>
  <c r="N117" i="7"/>
  <c r="N151" i="7" s="1"/>
  <c r="AR97" i="4"/>
  <c r="U90" i="4"/>
  <c r="O257" i="4"/>
  <c r="T225" i="3"/>
  <c r="O190" i="3"/>
  <c r="P182" i="3"/>
  <c r="R46" i="7"/>
  <c r="AQ182" i="3"/>
  <c r="AP115" i="3"/>
  <c r="AM129" i="7"/>
  <c r="AM165" i="7" s="1"/>
  <c r="AL117" i="7"/>
  <c r="AL151" i="7" s="1"/>
  <c r="N75" i="7"/>
  <c r="AK98" i="7"/>
  <c r="AK37" i="7"/>
  <c r="AM130" i="7"/>
  <c r="AM166" i="7" s="1"/>
  <c r="AM110" i="7"/>
  <c r="AM142" i="7" s="1"/>
  <c r="AN64" i="7"/>
  <c r="AM74" i="7"/>
  <c r="AM92" i="7" s="1"/>
  <c r="P183" i="3"/>
  <c r="O92" i="7"/>
  <c r="AN410" i="3"/>
  <c r="AN406" i="3"/>
  <c r="AN404" i="3"/>
  <c r="AN411" i="3"/>
  <c r="AN412" i="3"/>
  <c r="AN408" i="3"/>
  <c r="AN444" i="3"/>
  <c r="AN405" i="3"/>
  <c r="AN409" i="3"/>
  <c r="O355" i="3"/>
  <c r="O444" i="3"/>
  <c r="M155" i="7"/>
  <c r="AQ93" i="4"/>
  <c r="Q64" i="7"/>
  <c r="AQ99" i="4"/>
  <c r="U98" i="4"/>
  <c r="M81" i="7"/>
  <c r="Q17" i="7"/>
  <c r="P19" i="7"/>
  <c r="P18" i="7"/>
  <c r="AE225" i="3"/>
  <c r="N140" i="7"/>
  <c r="N118" i="7"/>
  <c r="N152" i="7" s="1"/>
  <c r="U99" i="4"/>
  <c r="AM88" i="7"/>
  <c r="J509" i="3"/>
  <c r="AQ184" i="3"/>
  <c r="AP118" i="3"/>
  <c r="AP395" i="3" s="1"/>
  <c r="AN18" i="7"/>
  <c r="AO17" i="7"/>
  <c r="AN19" i="7"/>
  <c r="AQ96" i="4"/>
  <c r="Q38" i="3"/>
  <c r="Q134" i="3" s="1"/>
  <c r="P163" i="3"/>
  <c r="P173" i="3" s="1"/>
  <c r="P280" i="3" s="1"/>
  <c r="P319" i="3" s="1"/>
  <c r="Q147" i="4"/>
  <c r="P145" i="4"/>
  <c r="P181" i="3"/>
  <c r="Q39" i="3"/>
  <c r="P37" i="3"/>
  <c r="AK155" i="7"/>
  <c r="U92" i="4"/>
  <c r="AO384" i="3"/>
  <c r="L172" i="7"/>
  <c r="L38" i="7"/>
  <c r="T93" i="4"/>
  <c r="J170" i="3"/>
  <c r="J174" i="3"/>
  <c r="O192" i="3"/>
  <c r="O214" i="3" s="1"/>
  <c r="P184" i="3"/>
  <c r="R49" i="7"/>
  <c r="P88" i="7"/>
  <c r="AQ50" i="7"/>
  <c r="O26" i="5"/>
  <c r="N23" i="5"/>
  <c r="O90" i="7"/>
  <c r="AO394" i="3"/>
  <c r="AQ39" i="3"/>
  <c r="AP37" i="3"/>
  <c r="J114" i="4" l="1"/>
  <c r="M39" i="7"/>
  <c r="M157" i="7"/>
  <c r="AK39" i="7"/>
  <c r="AK157" i="7"/>
  <c r="AL80" i="7"/>
  <c r="AL81" i="7" s="1"/>
  <c r="AL77" i="7"/>
  <c r="N80" i="7"/>
  <c r="N81" i="7" s="1"/>
  <c r="N77" i="7"/>
  <c r="AK38" i="7"/>
  <c r="AK145" i="7"/>
  <c r="AL40" i="7"/>
  <c r="M171" i="7"/>
  <c r="N40" i="7"/>
  <c r="AK171" i="7"/>
  <c r="M296" i="3"/>
  <c r="N80" i="5"/>
  <c r="O75" i="5" s="1"/>
  <c r="N76" i="5"/>
  <c r="N296" i="3" s="1"/>
  <c r="K82" i="3"/>
  <c r="L69" i="3"/>
  <c r="L73" i="3" s="1"/>
  <c r="K77" i="3"/>
  <c r="K93" i="3"/>
  <c r="J510" i="3"/>
  <c r="J115" i="4"/>
  <c r="M78" i="5"/>
  <c r="M298" i="3" s="1"/>
  <c r="J517" i="3"/>
  <c r="K92" i="3"/>
  <c r="K62" i="3" s="1"/>
  <c r="J152" i="4"/>
  <c r="J194" i="4" s="1"/>
  <c r="K55" i="3"/>
  <c r="AM5" i="4"/>
  <c r="AM4" i="4" s="1"/>
  <c r="AN146" i="4"/>
  <c r="AN5" i="4" s="1"/>
  <c r="U219" i="3"/>
  <c r="J72" i="1"/>
  <c r="O191" i="3"/>
  <c r="P167" i="3"/>
  <c r="P176" i="3" s="1"/>
  <c r="P483" i="3" s="1"/>
  <c r="AN10" i="3"/>
  <c r="S292" i="3"/>
  <c r="AN9" i="3"/>
  <c r="F60" i="5"/>
  <c r="AT438" i="3"/>
  <c r="E61" i="1"/>
  <c r="H61" i="1" s="1"/>
  <c r="Q185" i="3"/>
  <c r="F18" i="5"/>
  <c r="CO36" i="5" s="1"/>
  <c r="J260" i="4"/>
  <c r="J262" i="4"/>
  <c r="Q261" i="4"/>
  <c r="AQ89" i="4"/>
  <c r="AO106" i="4"/>
  <c r="F15" i="5"/>
  <c r="BE36" i="5" s="1"/>
  <c r="F17" i="5"/>
  <c r="CC36" i="5" s="1"/>
  <c r="F21" i="5"/>
  <c r="DY36" i="5" s="1"/>
  <c r="F14" i="5"/>
  <c r="AS36" i="5" s="1"/>
  <c r="F19" i="5"/>
  <c r="DA36" i="5" s="1"/>
  <c r="F11" i="5"/>
  <c r="F20" i="5"/>
  <c r="DM36" i="5" s="1"/>
  <c r="F13" i="5"/>
  <c r="AG36" i="5" s="1"/>
  <c r="J28" i="5"/>
  <c r="F61" i="5"/>
  <c r="F62" i="5"/>
  <c r="F16" i="5"/>
  <c r="BQ36" i="5" s="1"/>
  <c r="F54" i="5"/>
  <c r="F57" i="5"/>
  <c r="F58" i="5"/>
  <c r="F55" i="5"/>
  <c r="F53" i="5"/>
  <c r="F63" i="5"/>
  <c r="F59" i="5"/>
  <c r="F56" i="5"/>
  <c r="F12" i="5"/>
  <c r="J31" i="5"/>
  <c r="J32" i="5" s="1"/>
  <c r="AI341" i="3"/>
  <c r="AO29" i="3"/>
  <c r="AO134" i="3"/>
  <c r="J79" i="1"/>
  <c r="J112" i="1"/>
  <c r="AQ2" i="3"/>
  <c r="AQ1" i="7" s="1"/>
  <c r="AQ13" i="7" s="1"/>
  <c r="AQ5" i="7" s="1"/>
  <c r="AP38" i="3"/>
  <c r="K71" i="1"/>
  <c r="K28" i="1" s="1"/>
  <c r="K45" i="1" s="1"/>
  <c r="AM436" i="3"/>
  <c r="H268" i="1" s="1"/>
  <c r="H280" i="1" s="1"/>
  <c r="M99" i="7"/>
  <c r="L99" i="7"/>
  <c r="AP12" i="7"/>
  <c r="AQ14" i="7"/>
  <c r="Q51" i="7"/>
  <c r="Q53" i="7" s="1"/>
  <c r="AL143" i="7"/>
  <c r="AN426" i="3"/>
  <c r="AN436" i="3"/>
  <c r="I268" i="1" s="1"/>
  <c r="I280" i="1" s="1"/>
  <c r="O118" i="7"/>
  <c r="O152" i="7" s="1"/>
  <c r="O120" i="7"/>
  <c r="O154" i="7" s="1"/>
  <c r="N526" i="3"/>
  <c r="N542" i="3" s="1"/>
  <c r="O116" i="7"/>
  <c r="O150" i="7" s="1"/>
  <c r="AP476" i="3"/>
  <c r="AM118" i="7"/>
  <c r="AM152" i="7" s="1"/>
  <c r="N522" i="3"/>
  <c r="N538" i="3" s="1"/>
  <c r="P225" i="4"/>
  <c r="AM120" i="7"/>
  <c r="AM154" i="7" s="1"/>
  <c r="O167" i="7"/>
  <c r="O169" i="7" s="1"/>
  <c r="P130" i="7"/>
  <c r="P166" i="7" s="1"/>
  <c r="AK99" i="7"/>
  <c r="N98" i="7"/>
  <c r="N37" i="7"/>
  <c r="AR94" i="4"/>
  <c r="J189" i="3"/>
  <c r="Q37" i="3"/>
  <c r="R39" i="3"/>
  <c r="Q145" i="4"/>
  <c r="R147" i="4"/>
  <c r="N216" i="3"/>
  <c r="U95" i="4"/>
  <c r="P127" i="7"/>
  <c r="P163" i="7" s="1"/>
  <c r="P107" i="7"/>
  <c r="P139" i="7" s="1"/>
  <c r="Q61" i="7"/>
  <c r="Q71" i="7" s="1"/>
  <c r="Q89" i="7" s="1"/>
  <c r="AR181" i="3"/>
  <c r="AQ117" i="3"/>
  <c r="AQ392" i="3" s="1"/>
  <c r="U89" i="4"/>
  <c r="U97" i="4"/>
  <c r="P71" i="7"/>
  <c r="AM141" i="7"/>
  <c r="AM119" i="7"/>
  <c r="AM153" i="7" s="1"/>
  <c r="S5" i="4"/>
  <c r="R4" i="4"/>
  <c r="AR91" i="4"/>
  <c r="AM167" i="7"/>
  <c r="AM169" i="7" s="1"/>
  <c r="AP394" i="3"/>
  <c r="M172" i="7"/>
  <c r="M38" i="7"/>
  <c r="M36" i="7" s="1"/>
  <c r="Q74" i="7"/>
  <c r="R50" i="7"/>
  <c r="O91" i="7"/>
  <c r="O93" i="7" s="1"/>
  <c r="O95" i="7" s="1"/>
  <c r="R38" i="3"/>
  <c r="R134" i="3" s="1"/>
  <c r="Q163" i="3"/>
  <c r="Q173" i="3" s="1"/>
  <c r="Q280" i="3" s="1"/>
  <c r="Q319" i="3" s="1"/>
  <c r="AP393" i="3"/>
  <c r="AN88" i="7"/>
  <c r="T14" i="7"/>
  <c r="S12" i="7"/>
  <c r="O117" i="7"/>
  <c r="O151" i="7" s="1"/>
  <c r="AR92" i="4"/>
  <c r="AN127" i="7"/>
  <c r="AN163" i="7" s="1"/>
  <c r="AN107" i="7"/>
  <c r="AN139" i="7" s="1"/>
  <c r="AO61" i="7"/>
  <c r="AN71" i="7"/>
  <c r="AN89" i="7" s="1"/>
  <c r="AL155" i="7"/>
  <c r="AL157" i="7" s="1"/>
  <c r="AR88" i="4"/>
  <c r="AR98" i="4"/>
  <c r="AP42" i="3"/>
  <c r="AO41" i="3"/>
  <c r="P129" i="7"/>
  <c r="P165" i="7" s="1"/>
  <c r="P109" i="7"/>
  <c r="P141" i="7" s="1"/>
  <c r="Q63" i="7"/>
  <c r="P73" i="7"/>
  <c r="P91" i="7" s="1"/>
  <c r="AS97" i="4"/>
  <c r="AT97" i="4" s="1"/>
  <c r="Q354" i="3"/>
  <c r="Q64" i="3"/>
  <c r="R35" i="3"/>
  <c r="Q70" i="3"/>
  <c r="Q63" i="3"/>
  <c r="Q235" i="4"/>
  <c r="Q234" i="4"/>
  <c r="Q230" i="4"/>
  <c r="Q232" i="4"/>
  <c r="Q229" i="4"/>
  <c r="Q231" i="4"/>
  <c r="Q233" i="4"/>
  <c r="Q217" i="4"/>
  <c r="Q255" i="4"/>
  <c r="Q221" i="4"/>
  <c r="Q219" i="4"/>
  <c r="Q256" i="4"/>
  <c r="Q253" i="4"/>
  <c r="Q222" i="4"/>
  <c r="Q223" i="4"/>
  <c r="Q224" i="4"/>
  <c r="Q254" i="4"/>
  <c r="Q220" i="4"/>
  <c r="Q218" i="4"/>
  <c r="AQ145" i="4"/>
  <c r="AR147" i="4"/>
  <c r="S46" i="7"/>
  <c r="AR50" i="7"/>
  <c r="AR96" i="4"/>
  <c r="Q19" i="7"/>
  <c r="Q18" i="7"/>
  <c r="Q108" i="7" s="1"/>
  <c r="R17" i="7"/>
  <c r="AR99" i="4"/>
  <c r="AR182" i="3"/>
  <c r="AQ115" i="3"/>
  <c r="O118" i="4"/>
  <c r="O512" i="3"/>
  <c r="O217" i="3"/>
  <c r="O519" i="3"/>
  <c r="V90" i="4"/>
  <c r="N155" i="7"/>
  <c r="V94" i="4"/>
  <c r="P257" i="4"/>
  <c r="M538" i="3"/>
  <c r="V88" i="4"/>
  <c r="AM117" i="7"/>
  <c r="AM151" i="7" s="1"/>
  <c r="AS48" i="7"/>
  <c r="AT48" i="7" s="1"/>
  <c r="O75" i="7"/>
  <c r="AP63" i="7"/>
  <c r="AO73" i="7"/>
  <c r="AO91" i="7" s="1"/>
  <c r="R62" i="7"/>
  <c r="Q72" i="7"/>
  <c r="AO51" i="7"/>
  <c r="AO53" i="7" s="1"/>
  <c r="AP46" i="7"/>
  <c r="AR183" i="3"/>
  <c r="AQ116" i="3"/>
  <c r="AF225" i="3"/>
  <c r="AR184" i="3"/>
  <c r="AQ118" i="3"/>
  <c r="AQ395" i="3" s="1"/>
  <c r="AN130" i="7"/>
  <c r="AN166" i="7" s="1"/>
  <c r="AN110" i="7"/>
  <c r="AN142" i="7" s="1"/>
  <c r="AO64" i="7"/>
  <c r="AN74" i="7"/>
  <c r="AN92" i="7" s="1"/>
  <c r="Q88" i="7"/>
  <c r="R60" i="7"/>
  <c r="R70" i="7" s="1"/>
  <c r="N143" i="7"/>
  <c r="N145" i="7" s="1"/>
  <c r="AL98" i="7"/>
  <c r="AL37" i="7"/>
  <c r="U91" i="4"/>
  <c r="AN109" i="7"/>
  <c r="P108" i="7"/>
  <c r="O119" i="7"/>
  <c r="O153" i="7" s="1"/>
  <c r="AR90" i="4"/>
  <c r="AN128" i="7"/>
  <c r="AN164" i="7" s="1"/>
  <c r="AN108" i="7"/>
  <c r="AN140" i="7" s="1"/>
  <c r="AO62" i="7"/>
  <c r="AN72" i="7"/>
  <c r="AN90" i="7" s="1"/>
  <c r="S49" i="7"/>
  <c r="U93" i="4"/>
  <c r="AP384" i="3"/>
  <c r="AO404" i="3"/>
  <c r="AO411" i="3"/>
  <c r="AO407" i="3"/>
  <c r="AU407" i="3" s="1"/>
  <c r="AO412" i="3"/>
  <c r="AO444" i="3"/>
  <c r="AO409" i="3"/>
  <c r="AO405" i="3"/>
  <c r="AO410" i="3"/>
  <c r="AO406" i="3"/>
  <c r="V92" i="4"/>
  <c r="Q181" i="3"/>
  <c r="J523" i="3"/>
  <c r="V99" i="4"/>
  <c r="Q42" i="3"/>
  <c r="P41" i="3"/>
  <c r="P106" i="7"/>
  <c r="T48" i="7"/>
  <c r="AQ200" i="3"/>
  <c r="AM319" i="3"/>
  <c r="AL355" i="3"/>
  <c r="AR49" i="7"/>
  <c r="AK172" i="7"/>
  <c r="P146" i="4"/>
  <c r="Q29" i="3"/>
  <c r="AN126" i="7"/>
  <c r="AN162" i="7" s="1"/>
  <c r="AN106" i="7"/>
  <c r="AN138" i="7" s="1"/>
  <c r="AO60" i="7"/>
  <c r="AR93" i="4"/>
  <c r="AQ37" i="3"/>
  <c r="AR39" i="3"/>
  <c r="P26" i="5"/>
  <c r="O23" i="5"/>
  <c r="AM75" i="7"/>
  <c r="V98" i="4"/>
  <c r="R64" i="7"/>
  <c r="Q183" i="3"/>
  <c r="P190" i="3"/>
  <c r="Q182" i="3"/>
  <c r="P236" i="4"/>
  <c r="L36" i="7"/>
  <c r="AR95" i="4"/>
  <c r="O181" i="4"/>
  <c r="O174" i="4"/>
  <c r="O128" i="4"/>
  <c r="AN129" i="7"/>
  <c r="AN165" i="7" s="1"/>
  <c r="P128" i="7"/>
  <c r="P164" i="7" s="1"/>
  <c r="AR47" i="7"/>
  <c r="P355" i="3"/>
  <c r="P444" i="3"/>
  <c r="U225" i="3"/>
  <c r="Q184" i="3"/>
  <c r="P192" i="3"/>
  <c r="P214" i="3" s="1"/>
  <c r="AP17" i="7"/>
  <c r="AO19" i="7"/>
  <c r="AO18" i="7"/>
  <c r="AM93" i="7"/>
  <c r="AM95" i="7" s="1"/>
  <c r="P110" i="7"/>
  <c r="P126" i="7"/>
  <c r="P162" i="7" s="1"/>
  <c r="R47" i="7"/>
  <c r="O70" i="5"/>
  <c r="N67" i="5"/>
  <c r="O112" i="4"/>
  <c r="O515" i="3"/>
  <c r="O508" i="3"/>
  <c r="AM116" i="7"/>
  <c r="AM150" i="7" s="1"/>
  <c r="AK36" i="7" l="1"/>
  <c r="AK210" i="3" s="1"/>
  <c r="AM80" i="7"/>
  <c r="AM77" i="7"/>
  <c r="N39" i="7"/>
  <c r="N157" i="7"/>
  <c r="O80" i="7"/>
  <c r="O81" i="7" s="1"/>
  <c r="O77" i="7"/>
  <c r="AL38" i="7"/>
  <c r="AL145" i="7"/>
  <c r="AL171" i="7"/>
  <c r="O40" i="7"/>
  <c r="AM40" i="7"/>
  <c r="N171" i="7"/>
  <c r="J126" i="1"/>
  <c r="H58" i="1"/>
  <c r="H63" i="1"/>
  <c r="O80" i="5"/>
  <c r="P75" i="5" s="1"/>
  <c r="O76" i="5"/>
  <c r="J524" i="3"/>
  <c r="J540" i="3" s="1"/>
  <c r="L74" i="3"/>
  <c r="J153" i="4"/>
  <c r="K151" i="4" s="1"/>
  <c r="K96" i="3"/>
  <c r="L90" i="3" s="1"/>
  <c r="L83" i="3"/>
  <c r="K56" i="3"/>
  <c r="K57" i="3" s="1"/>
  <c r="AN4" i="4"/>
  <c r="N78" i="5"/>
  <c r="N298" i="3" s="1"/>
  <c r="P191" i="3"/>
  <c r="AN174" i="4"/>
  <c r="AO146" i="4"/>
  <c r="AO174" i="4" s="1"/>
  <c r="V219" i="3"/>
  <c r="K72" i="1"/>
  <c r="L75" i="3"/>
  <c r="Q167" i="3"/>
  <c r="Q176" i="3" s="1"/>
  <c r="Q483" i="3" s="1"/>
  <c r="AG289" i="3"/>
  <c r="AG340" i="3" s="1"/>
  <c r="J285" i="3"/>
  <c r="AH405" i="3"/>
  <c r="BB405" i="3" s="1"/>
  <c r="BD405" i="3" s="1"/>
  <c r="E6" i="11"/>
  <c r="E18" i="11" s="1"/>
  <c r="E388" i="3" s="1"/>
  <c r="AH411" i="3"/>
  <c r="BB411" i="3" s="1"/>
  <c r="BD411" i="3" s="1"/>
  <c r="AH412" i="3"/>
  <c r="BB412" i="3" s="1"/>
  <c r="BD412" i="3" s="1"/>
  <c r="AH409" i="3"/>
  <c r="BB409" i="3" s="1"/>
  <c r="BD409" i="3" s="1"/>
  <c r="AH407" i="3"/>
  <c r="BB407" i="3" s="1"/>
  <c r="BD407" i="3" s="1"/>
  <c r="AH404" i="3"/>
  <c r="AH406" i="3"/>
  <c r="AU406" i="3" s="1"/>
  <c r="AW406" i="3" s="1"/>
  <c r="AN11" i="3"/>
  <c r="AH410" i="3"/>
  <c r="BB410" i="3" s="1"/>
  <c r="BD410" i="3" s="1"/>
  <c r="AH408" i="3"/>
  <c r="BB408" i="3" s="1"/>
  <c r="BD408" i="3" s="1"/>
  <c r="AK438" i="3"/>
  <c r="AP438" i="3"/>
  <c r="AL438" i="3"/>
  <c r="AN438" i="3"/>
  <c r="AM438" i="3"/>
  <c r="AI438" i="3"/>
  <c r="AQ438" i="3"/>
  <c r="AJ438" i="3"/>
  <c r="AO438" i="3"/>
  <c r="AR438" i="3"/>
  <c r="AS438" i="3"/>
  <c r="E37" i="1"/>
  <c r="E48" i="1" s="1"/>
  <c r="F56" i="1"/>
  <c r="I56" i="1"/>
  <c r="R185" i="3"/>
  <c r="Q193" i="3"/>
  <c r="J264" i="4"/>
  <c r="R261" i="4"/>
  <c r="AR89" i="4"/>
  <c r="AP106" i="4"/>
  <c r="J37" i="5"/>
  <c r="F22" i="5"/>
  <c r="F64" i="5"/>
  <c r="AP29" i="3"/>
  <c r="AP134" i="3"/>
  <c r="AR2" i="3"/>
  <c r="AR38" i="3" s="1"/>
  <c r="AR134" i="3" s="1"/>
  <c r="AQ38" i="3"/>
  <c r="AQ134" i="3" s="1"/>
  <c r="L71" i="1"/>
  <c r="L79" i="1" s="1"/>
  <c r="K79" i="1"/>
  <c r="K112" i="1"/>
  <c r="P112" i="4"/>
  <c r="P508" i="3"/>
  <c r="P515" i="3"/>
  <c r="Q236" i="4"/>
  <c r="AQ12" i="7"/>
  <c r="AR14" i="7"/>
  <c r="R51" i="7"/>
  <c r="R53" i="7" s="1"/>
  <c r="Q110" i="7"/>
  <c r="Q142" i="7" s="1"/>
  <c r="AO436" i="3"/>
  <c r="J268" i="1" s="1"/>
  <c r="J280" i="1" s="1"/>
  <c r="AO426" i="3"/>
  <c r="AL99" i="7"/>
  <c r="Q128" i="7"/>
  <c r="Q164" i="7" s="1"/>
  <c r="P117" i="7"/>
  <c r="P151" i="7" s="1"/>
  <c r="AM143" i="7"/>
  <c r="AM145" i="7" s="1"/>
  <c r="AN117" i="7"/>
  <c r="AN151" i="7" s="1"/>
  <c r="AQ476" i="3"/>
  <c r="P167" i="7"/>
  <c r="P169" i="7" s="1"/>
  <c r="AM81" i="7"/>
  <c r="AN118" i="7"/>
  <c r="AN152" i="7" s="1"/>
  <c r="AN120" i="7"/>
  <c r="AN154" i="7" s="1"/>
  <c r="AM155" i="7"/>
  <c r="P75" i="7"/>
  <c r="O526" i="3"/>
  <c r="O542" i="3" s="1"/>
  <c r="Q225" i="4"/>
  <c r="Q140" i="7"/>
  <c r="Q118" i="7"/>
  <c r="Q152" i="7" s="1"/>
  <c r="R88" i="7"/>
  <c r="S47" i="7"/>
  <c r="W98" i="4"/>
  <c r="AO126" i="7"/>
  <c r="AO162" i="7" s="1"/>
  <c r="AO106" i="7"/>
  <c r="AO138" i="7" s="1"/>
  <c r="AP60" i="7"/>
  <c r="AP70" i="7" s="1"/>
  <c r="N172" i="7"/>
  <c r="N38" i="7"/>
  <c r="W94" i="4"/>
  <c r="AS96" i="4"/>
  <c r="AT96" i="4" s="1"/>
  <c r="AS98" i="4"/>
  <c r="AT98" i="4" s="1"/>
  <c r="U14" i="7"/>
  <c r="T12" i="7"/>
  <c r="V97" i="4"/>
  <c r="AQ17" i="7"/>
  <c r="AP19" i="7"/>
  <c r="AP18" i="7"/>
  <c r="O216" i="3"/>
  <c r="O67" i="5"/>
  <c r="P70" i="5"/>
  <c r="AN116" i="7"/>
  <c r="AN150" i="7" s="1"/>
  <c r="P174" i="4"/>
  <c r="P128" i="4"/>
  <c r="P181" i="4"/>
  <c r="U48" i="7"/>
  <c r="W92" i="4"/>
  <c r="AP411" i="3"/>
  <c r="AP407" i="3"/>
  <c r="AP412" i="3"/>
  <c r="AP408" i="3"/>
  <c r="AU408" i="3" s="1"/>
  <c r="AP444" i="3"/>
  <c r="AP405" i="3"/>
  <c r="AP404" i="3"/>
  <c r="AP410" i="3"/>
  <c r="AP406" i="3"/>
  <c r="T49" i="7"/>
  <c r="AS90" i="4"/>
  <c r="AT90" i="4" s="1"/>
  <c r="V91" i="4"/>
  <c r="Q106" i="7"/>
  <c r="W88" i="4"/>
  <c r="AS182" i="3"/>
  <c r="AT182" i="3" s="1"/>
  <c r="AT115" i="3" s="1"/>
  <c r="AT393" i="3" s="1"/>
  <c r="AR115" i="3"/>
  <c r="AS50" i="7"/>
  <c r="AT50" i="7" s="1"/>
  <c r="AR145" i="4"/>
  <c r="AS147" i="4"/>
  <c r="O98" i="7"/>
  <c r="O37" i="7"/>
  <c r="AN75" i="7"/>
  <c r="Q355" i="3"/>
  <c r="Q444" i="3"/>
  <c r="AS91" i="4"/>
  <c r="AT91" i="4" s="1"/>
  <c r="T5" i="4"/>
  <c r="S4" i="4"/>
  <c r="AL39" i="7"/>
  <c r="AL172" i="7"/>
  <c r="R213" i="4"/>
  <c r="R210" i="4"/>
  <c r="R207" i="4"/>
  <c r="R212" i="4"/>
  <c r="R209" i="4"/>
  <c r="R208" i="4"/>
  <c r="R211" i="4"/>
  <c r="R197" i="4"/>
  <c r="R202" i="4"/>
  <c r="R253" i="4"/>
  <c r="R256" i="4"/>
  <c r="R200" i="4"/>
  <c r="R206" i="4"/>
  <c r="R201" i="4"/>
  <c r="R198" i="4"/>
  <c r="R255" i="4"/>
  <c r="R195" i="4"/>
  <c r="R254" i="4"/>
  <c r="R196" i="4"/>
  <c r="R199" i="4"/>
  <c r="P142" i="7"/>
  <c r="P120" i="7"/>
  <c r="P154" i="7" s="1"/>
  <c r="O522" i="3"/>
  <c r="AN167" i="7"/>
  <c r="AN169" i="7" s="1"/>
  <c r="P140" i="7"/>
  <c r="P118" i="7"/>
  <c r="P152" i="7" s="1"/>
  <c r="AQ63" i="7"/>
  <c r="AP73" i="7"/>
  <c r="AP91" i="7" s="1"/>
  <c r="T46" i="7"/>
  <c r="Q257" i="4"/>
  <c r="AO127" i="7"/>
  <c r="AO163" i="7" s="1"/>
  <c r="AO107" i="7"/>
  <c r="AO139" i="7" s="1"/>
  <c r="AP61" i="7"/>
  <c r="AO71" i="7"/>
  <c r="AO89" i="7" s="1"/>
  <c r="AS92" i="4"/>
  <c r="AT92" i="4" s="1"/>
  <c r="AN93" i="7"/>
  <c r="AN95" i="7" s="1"/>
  <c r="S38" i="3"/>
  <c r="S134" i="3" s="1"/>
  <c r="R163" i="3"/>
  <c r="R173" i="3" s="1"/>
  <c r="R280" i="3" s="1"/>
  <c r="R319" i="3" s="1"/>
  <c r="R74" i="7"/>
  <c r="R92" i="7" s="1"/>
  <c r="S50" i="7"/>
  <c r="N99" i="7"/>
  <c r="AS47" i="7"/>
  <c r="AT47" i="7" s="1"/>
  <c r="R183" i="3"/>
  <c r="Q146" i="4"/>
  <c r="R29" i="3"/>
  <c r="AQ393" i="3"/>
  <c r="P138" i="7"/>
  <c r="P116" i="7"/>
  <c r="P150" i="7" s="1"/>
  <c r="Q126" i="7"/>
  <c r="Q162" i="7" s="1"/>
  <c r="AS184" i="3"/>
  <c r="AT184" i="3" s="1"/>
  <c r="AT118" i="3" s="1"/>
  <c r="AT395" i="3" s="1"/>
  <c r="AR118" i="3"/>
  <c r="AR395" i="3" s="1"/>
  <c r="AQ394" i="3"/>
  <c r="AQ46" i="7"/>
  <c r="AP51" i="7"/>
  <c r="AP53" i="7" s="1"/>
  <c r="AO109" i="7"/>
  <c r="AS99" i="4"/>
  <c r="AT99" i="4" s="1"/>
  <c r="Q129" i="7"/>
  <c r="Q165" i="7" s="1"/>
  <c r="Q109" i="7"/>
  <c r="Q141" i="7" s="1"/>
  <c r="R63" i="7"/>
  <c r="Q73" i="7"/>
  <c r="Q75" i="7" s="1"/>
  <c r="AQ42" i="3"/>
  <c r="AP41" i="3"/>
  <c r="Q92" i="7"/>
  <c r="V89" i="4"/>
  <c r="V225" i="3"/>
  <c r="AS95" i="4"/>
  <c r="AT95" i="4" s="1"/>
  <c r="S64" i="7"/>
  <c r="AS93" i="4"/>
  <c r="AT93" i="4" s="1"/>
  <c r="AR200" i="3"/>
  <c r="K66" i="3"/>
  <c r="AR116" i="3"/>
  <c r="AS183" i="3"/>
  <c r="AT183" i="3" s="1"/>
  <c r="AT116" i="3" s="1"/>
  <c r="AT394" i="3" s="1"/>
  <c r="Q90" i="7"/>
  <c r="R354" i="3"/>
  <c r="R64" i="3"/>
  <c r="R63" i="3"/>
  <c r="S35" i="3"/>
  <c r="R70" i="3"/>
  <c r="AS88" i="4"/>
  <c r="AT88" i="4" s="1"/>
  <c r="AS181" i="3"/>
  <c r="AT181" i="3" s="1"/>
  <c r="AT117" i="3" s="1"/>
  <c r="AT392" i="3" s="1"/>
  <c r="AR117" i="3"/>
  <c r="AR392" i="3" s="1"/>
  <c r="R37" i="3"/>
  <c r="S39" i="3"/>
  <c r="AS94" i="4"/>
  <c r="AT94" i="4" s="1"/>
  <c r="S60" i="7"/>
  <c r="J533" i="3"/>
  <c r="J535" i="3" s="1"/>
  <c r="J199" i="4"/>
  <c r="J197" i="4"/>
  <c r="J200" i="4"/>
  <c r="J212" i="4"/>
  <c r="J213" i="4"/>
  <c r="J201" i="4"/>
  <c r="J209" i="4"/>
  <c r="J202" i="4"/>
  <c r="J206" i="4"/>
  <c r="J211" i="4"/>
  <c r="J207" i="4"/>
  <c r="J195" i="4"/>
  <c r="J196" i="4"/>
  <c r="J210" i="4"/>
  <c r="J198" i="4"/>
  <c r="J208" i="4"/>
  <c r="AM98" i="7"/>
  <c r="AM37" i="7"/>
  <c r="Q192" i="3"/>
  <c r="Q214" i="3" s="1"/>
  <c r="R184" i="3"/>
  <c r="Q190" i="3"/>
  <c r="R182" i="3"/>
  <c r="Q26" i="5"/>
  <c r="P23" i="5"/>
  <c r="AR37" i="3"/>
  <c r="AS39" i="3"/>
  <c r="Q41" i="3"/>
  <c r="R42" i="3"/>
  <c r="J539" i="3"/>
  <c r="V93" i="4"/>
  <c r="AO128" i="7"/>
  <c r="AO164" i="7" s="1"/>
  <c r="AO108" i="7"/>
  <c r="AO140" i="7" s="1"/>
  <c r="AP62" i="7"/>
  <c r="AO72" i="7"/>
  <c r="AO90" i="7" s="1"/>
  <c r="AN141" i="7"/>
  <c r="AN119" i="7"/>
  <c r="AN153" i="7" s="1"/>
  <c r="AG225" i="3"/>
  <c r="AO70" i="7"/>
  <c r="S62" i="7"/>
  <c r="R72" i="7"/>
  <c r="R90" i="7" s="1"/>
  <c r="AO129" i="7"/>
  <c r="AO165" i="7" s="1"/>
  <c r="P119" i="7"/>
  <c r="P153" i="7" s="1"/>
  <c r="V95" i="4"/>
  <c r="O155" i="7"/>
  <c r="R145" i="4"/>
  <c r="S147" i="4"/>
  <c r="W99" i="4"/>
  <c r="W90" i="4"/>
  <c r="Q130" i="7"/>
  <c r="Q166" i="7" s="1"/>
  <c r="AQ384" i="3"/>
  <c r="AS49" i="7"/>
  <c r="AT49" i="7" s="1"/>
  <c r="AN319" i="3"/>
  <c r="AM355" i="3"/>
  <c r="R181" i="3"/>
  <c r="AO130" i="7"/>
  <c r="AO166" i="7" s="1"/>
  <c r="AO110" i="7"/>
  <c r="AO142" i="7" s="1"/>
  <c r="AP64" i="7"/>
  <c r="AO74" i="7"/>
  <c r="AO92" i="7" s="1"/>
  <c r="P118" i="4"/>
  <c r="P512" i="3"/>
  <c r="P519" i="3"/>
  <c r="P217" i="3"/>
  <c r="P216" i="3" s="1"/>
  <c r="R19" i="7"/>
  <c r="R18" i="7"/>
  <c r="S17" i="7"/>
  <c r="P89" i="7"/>
  <c r="Q127" i="7"/>
  <c r="Q163" i="7" s="1"/>
  <c r="Q107" i="7"/>
  <c r="Q139" i="7" s="1"/>
  <c r="R61" i="7"/>
  <c r="R71" i="7" s="1"/>
  <c r="R89" i="7" s="1"/>
  <c r="O143" i="7"/>
  <c r="O145" i="7" s="1"/>
  <c r="AL36" i="7" l="1"/>
  <c r="AL210" i="3" s="1"/>
  <c r="N36" i="7"/>
  <c r="Q80" i="7"/>
  <c r="Q81" i="7" s="1"/>
  <c r="Q77" i="7"/>
  <c r="AM39" i="7"/>
  <c r="AM157" i="7"/>
  <c r="AN80" i="7"/>
  <c r="AN81" i="7" s="1"/>
  <c r="AN77" i="7"/>
  <c r="O39" i="7"/>
  <c r="O157" i="7"/>
  <c r="P80" i="7"/>
  <c r="P81" i="7" s="1"/>
  <c r="P77" i="7"/>
  <c r="AM171" i="7"/>
  <c r="P40" i="7"/>
  <c r="O171" i="7"/>
  <c r="AN40" i="7"/>
  <c r="O296" i="3"/>
  <c r="K126" i="1"/>
  <c r="H65" i="1"/>
  <c r="F58" i="1"/>
  <c r="G58" i="1" s="1"/>
  <c r="I58" i="1"/>
  <c r="P80" i="5"/>
  <c r="Q75" i="5" s="1"/>
  <c r="P76" i="5"/>
  <c r="P296" i="3" s="1"/>
  <c r="L80" i="3"/>
  <c r="K97" i="3"/>
  <c r="K165" i="3"/>
  <c r="AO5" i="4"/>
  <c r="AO4" i="4" s="1"/>
  <c r="L50" i="3"/>
  <c r="O78" i="5"/>
  <c r="O298" i="3" s="1"/>
  <c r="L91" i="3"/>
  <c r="L76" i="3"/>
  <c r="K58" i="3"/>
  <c r="AP146" i="4"/>
  <c r="AP5" i="4" s="1"/>
  <c r="W219" i="3"/>
  <c r="L72" i="1"/>
  <c r="Q191" i="3"/>
  <c r="AJ271" i="3"/>
  <c r="R167" i="3"/>
  <c r="R176" i="3" s="1"/>
  <c r="R483" i="3" s="1"/>
  <c r="AK372" i="3"/>
  <c r="J218" i="3"/>
  <c r="Q515" i="3"/>
  <c r="J286" i="3"/>
  <c r="K31" i="5"/>
  <c r="AW407" i="3"/>
  <c r="BB406" i="3"/>
  <c r="BD406" i="3" s="1"/>
  <c r="AW405" i="3"/>
  <c r="AI387" i="3"/>
  <c r="AW408" i="3"/>
  <c r="AW404" i="3"/>
  <c r="BB404" i="3"/>
  <c r="BD404" i="3" s="1"/>
  <c r="G56" i="1"/>
  <c r="F48" i="1"/>
  <c r="G48" i="1" s="1"/>
  <c r="S185" i="3"/>
  <c r="R193" i="3"/>
  <c r="AS145" i="4"/>
  <c r="AT147" i="4"/>
  <c r="AT145" i="4" s="1"/>
  <c r="S261" i="4"/>
  <c r="AS89" i="4"/>
  <c r="AT89" i="4" s="1"/>
  <c r="AQ106" i="4"/>
  <c r="J290" i="3"/>
  <c r="J267" i="3" s="1"/>
  <c r="AR1" i="7"/>
  <c r="AR13" i="7" s="1"/>
  <c r="AR5" i="7" s="1"/>
  <c r="J35" i="5"/>
  <c r="L28" i="1"/>
  <c r="L45" i="1" s="1"/>
  <c r="AS2" i="3"/>
  <c r="AT2" i="3" s="1"/>
  <c r="M71" i="1"/>
  <c r="M28" i="1" s="1"/>
  <c r="M45" i="1" s="1"/>
  <c r="AQ29" i="3"/>
  <c r="L112" i="1"/>
  <c r="Q120" i="7"/>
  <c r="Q154" i="7" s="1"/>
  <c r="P522" i="3"/>
  <c r="P538" i="3" s="1"/>
  <c r="R214" i="4"/>
  <c r="AR12" i="7"/>
  <c r="AS14" i="7"/>
  <c r="AS37" i="3"/>
  <c r="AT39" i="3"/>
  <c r="AT37" i="3" s="1"/>
  <c r="AP436" i="3"/>
  <c r="K268" i="1" s="1"/>
  <c r="K280" i="1" s="1"/>
  <c r="AP426" i="3"/>
  <c r="AP109" i="7"/>
  <c r="AP141" i="7" s="1"/>
  <c r="AP129" i="7"/>
  <c r="AP165" i="7" s="1"/>
  <c r="AM172" i="7"/>
  <c r="AO117" i="7"/>
  <c r="AO151" i="7" s="1"/>
  <c r="AM38" i="7"/>
  <c r="Q112" i="4"/>
  <c r="Q508" i="3"/>
  <c r="O99" i="7"/>
  <c r="AM99" i="7"/>
  <c r="AR476" i="3"/>
  <c r="AO118" i="7"/>
  <c r="AO152" i="7" s="1"/>
  <c r="Q119" i="7"/>
  <c r="Q153" i="7" s="1"/>
  <c r="P155" i="7"/>
  <c r="AO116" i="7"/>
  <c r="AO150" i="7" s="1"/>
  <c r="AN143" i="7"/>
  <c r="X99" i="4"/>
  <c r="R190" i="3"/>
  <c r="S182" i="3"/>
  <c r="W97" i="4"/>
  <c r="W93" i="4"/>
  <c r="S181" i="3"/>
  <c r="AP130" i="7"/>
  <c r="AP166" i="7" s="1"/>
  <c r="AP110" i="7"/>
  <c r="AP142" i="7" s="1"/>
  <c r="AQ64" i="7"/>
  <c r="AP74" i="7"/>
  <c r="AP92" i="7" s="1"/>
  <c r="AO88" i="7"/>
  <c r="AO93" i="7" s="1"/>
  <c r="AO95" i="7" s="1"/>
  <c r="AO75" i="7"/>
  <c r="T39" i="3"/>
  <c r="S37" i="3"/>
  <c r="K170" i="3"/>
  <c r="K174" i="3"/>
  <c r="R110" i="7"/>
  <c r="W89" i="4"/>
  <c r="AS118" i="3"/>
  <c r="AS395" i="3" s="1"/>
  <c r="R257" i="4"/>
  <c r="AR29" i="3"/>
  <c r="N71" i="1"/>
  <c r="Q138" i="7"/>
  <c r="Q116" i="7"/>
  <c r="Q150" i="7" s="1"/>
  <c r="AN155" i="7"/>
  <c r="X98" i="4"/>
  <c r="AS117" i="3"/>
  <c r="AS392" i="3" s="1"/>
  <c r="R130" i="7"/>
  <c r="R166" i="7" s="1"/>
  <c r="W225" i="3"/>
  <c r="P143" i="7"/>
  <c r="P145" i="7" s="1"/>
  <c r="Q174" i="4"/>
  <c r="Q181" i="4"/>
  <c r="AS115" i="3"/>
  <c r="W91" i="4"/>
  <c r="U49" i="7"/>
  <c r="AO167" i="7"/>
  <c r="AO169" i="7" s="1"/>
  <c r="AR63" i="7"/>
  <c r="AQ73" i="7"/>
  <c r="AQ91" i="7" s="1"/>
  <c r="P93" i="7"/>
  <c r="P95" i="7" s="1"/>
  <c r="W95" i="4"/>
  <c r="S42" i="3"/>
  <c r="R41" i="3"/>
  <c r="R26" i="5"/>
  <c r="Q23" i="5"/>
  <c r="R192" i="3"/>
  <c r="R214" i="3" s="1"/>
  <c r="S184" i="3"/>
  <c r="AR46" i="7"/>
  <c r="AQ51" i="7"/>
  <c r="AQ53" i="7" s="1"/>
  <c r="S183" i="3"/>
  <c r="S74" i="7"/>
  <c r="S92" i="7" s="1"/>
  <c r="T50" i="7"/>
  <c r="U46" i="7"/>
  <c r="R203" i="4"/>
  <c r="V48" i="7"/>
  <c r="AS200" i="3"/>
  <c r="AT200" i="3" s="1"/>
  <c r="O172" i="7"/>
  <c r="O38" i="7"/>
  <c r="P526" i="3"/>
  <c r="P542" i="3" s="1"/>
  <c r="AN355" i="3"/>
  <c r="AO319" i="3"/>
  <c r="S145" i="4"/>
  <c r="T147" i="4"/>
  <c r="T62" i="7"/>
  <c r="S72" i="7"/>
  <c r="S90" i="7" s="1"/>
  <c r="J203" i="4"/>
  <c r="T60" i="7"/>
  <c r="T70" i="7" s="1"/>
  <c r="K169" i="4"/>
  <c r="K238" i="4" s="1"/>
  <c r="L60" i="3"/>
  <c r="K67" i="3"/>
  <c r="AP88" i="7"/>
  <c r="Q512" i="3"/>
  <c r="Q118" i="4"/>
  <c r="Q519" i="3"/>
  <c r="Q217" i="3"/>
  <c r="S51" i="7"/>
  <c r="S53" i="7" s="1"/>
  <c r="V14" i="7"/>
  <c r="U12" i="7"/>
  <c r="X94" i="4"/>
  <c r="AR384" i="3"/>
  <c r="R146" i="4"/>
  <c r="S29" i="3"/>
  <c r="R108" i="7"/>
  <c r="AR42" i="3"/>
  <c r="AQ41" i="3"/>
  <c r="R355" i="3"/>
  <c r="R444" i="3"/>
  <c r="S70" i="7"/>
  <c r="O538" i="3"/>
  <c r="S210" i="4"/>
  <c r="S207" i="4"/>
  <c r="S212" i="4"/>
  <c r="S209" i="4"/>
  <c r="S211" i="4"/>
  <c r="S213" i="4"/>
  <c r="S208" i="4"/>
  <c r="S206" i="4"/>
  <c r="S200" i="4"/>
  <c r="S253" i="4"/>
  <c r="S256" i="4"/>
  <c r="S202" i="4"/>
  <c r="S195" i="4"/>
  <c r="S198" i="4"/>
  <c r="S197" i="4"/>
  <c r="S255" i="4"/>
  <c r="S201" i="4"/>
  <c r="S199" i="4"/>
  <c r="S254" i="4"/>
  <c r="S196" i="4"/>
  <c r="X88" i="4"/>
  <c r="Q70" i="5"/>
  <c r="P67" i="5"/>
  <c r="T47" i="7"/>
  <c r="AR393" i="3"/>
  <c r="S19" i="7"/>
  <c r="S18" i="7"/>
  <c r="T17" i="7"/>
  <c r="AQ412" i="3"/>
  <c r="AQ408" i="3"/>
  <c r="AQ444" i="3"/>
  <c r="AQ409" i="3"/>
  <c r="AU409" i="3" s="1"/>
  <c r="AW409" i="3" s="1"/>
  <c r="AQ405" i="3"/>
  <c r="AQ406" i="3"/>
  <c r="AQ411" i="3"/>
  <c r="AQ407" i="3"/>
  <c r="AQ404" i="3"/>
  <c r="AP128" i="7"/>
  <c r="AP164" i="7" s="1"/>
  <c r="AP108" i="7"/>
  <c r="AP140" i="7" s="1"/>
  <c r="AQ62" i="7"/>
  <c r="AP72" i="7"/>
  <c r="AP90" i="7" s="1"/>
  <c r="R106" i="7"/>
  <c r="S354" i="3"/>
  <c r="T35" i="3"/>
  <c r="S70" i="3"/>
  <c r="S63" i="3"/>
  <c r="S64" i="3"/>
  <c r="Q91" i="7"/>
  <c r="Q93" i="7" s="1"/>
  <c r="Q95" i="7" s="1"/>
  <c r="AO141" i="7"/>
  <c r="AO119" i="7"/>
  <c r="AO153" i="7" s="1"/>
  <c r="S163" i="3"/>
  <c r="S173" i="3" s="1"/>
  <c r="S280" i="3" s="1"/>
  <c r="S319" i="3" s="1"/>
  <c r="T38" i="3"/>
  <c r="T134" i="3" s="1"/>
  <c r="AP127" i="7"/>
  <c r="AP163" i="7" s="1"/>
  <c r="AP107" i="7"/>
  <c r="AP139" i="7" s="1"/>
  <c r="AQ61" i="7"/>
  <c r="AP71" i="7"/>
  <c r="AP89" i="7" s="1"/>
  <c r="U5" i="4"/>
  <c r="T4" i="4"/>
  <c r="AR394" i="3"/>
  <c r="AO120" i="7"/>
  <c r="AO154" i="7" s="1"/>
  <c r="R127" i="7"/>
  <c r="R163" i="7" s="1"/>
  <c r="R107" i="7"/>
  <c r="R139" i="7" s="1"/>
  <c r="S61" i="7"/>
  <c r="Q117" i="7"/>
  <c r="Q151" i="7" s="1"/>
  <c r="X90" i="4"/>
  <c r="R128" i="7"/>
  <c r="R164" i="7" s="1"/>
  <c r="J214" i="4"/>
  <c r="R126" i="7"/>
  <c r="R162" i="7" s="1"/>
  <c r="AS116" i="3"/>
  <c r="T64" i="7"/>
  <c r="R129" i="7"/>
  <c r="R165" i="7" s="1"/>
  <c r="R109" i="7"/>
  <c r="R141" i="7" s="1"/>
  <c r="S63" i="7"/>
  <c r="R73" i="7"/>
  <c r="R91" i="7" s="1"/>
  <c r="Q167" i="7"/>
  <c r="Q169" i="7" s="1"/>
  <c r="AN98" i="7"/>
  <c r="AN37" i="7"/>
  <c r="X92" i="4"/>
  <c r="AQ19" i="7"/>
  <c r="AQ18" i="7"/>
  <c r="AR17" i="7"/>
  <c r="AP126" i="7"/>
  <c r="AP162" i="7" s="1"/>
  <c r="AP106" i="7"/>
  <c r="AP138" i="7" s="1"/>
  <c r="AQ60" i="7"/>
  <c r="AQ70" i="7" s="1"/>
  <c r="AM36" i="7" l="1"/>
  <c r="AM210" i="3" s="1"/>
  <c r="O36" i="7"/>
  <c r="AN39" i="7"/>
  <c r="AN157" i="7"/>
  <c r="P39" i="7"/>
  <c r="P157" i="7"/>
  <c r="AO80" i="7"/>
  <c r="AO81" i="7" s="1"/>
  <c r="AO77" i="7"/>
  <c r="AN38" i="7"/>
  <c r="AN145" i="7"/>
  <c r="Q40" i="7"/>
  <c r="AO40" i="7"/>
  <c r="P171" i="7"/>
  <c r="AN171" i="7"/>
  <c r="AP4" i="4"/>
  <c r="L126" i="1"/>
  <c r="F61" i="1"/>
  <c r="G61" i="1" s="1"/>
  <c r="Q80" i="5"/>
  <c r="R75" i="5" s="1"/>
  <c r="Q76" i="5"/>
  <c r="L82" i="3"/>
  <c r="L54" i="3"/>
  <c r="L55" i="3" s="1"/>
  <c r="L93" i="3"/>
  <c r="K152" i="4"/>
  <c r="K153" i="4" s="1"/>
  <c r="L151" i="4" s="1"/>
  <c r="M69" i="3"/>
  <c r="M73" i="3" s="1"/>
  <c r="M75" i="3" s="1"/>
  <c r="L77" i="3"/>
  <c r="AK271" i="3"/>
  <c r="P78" i="5"/>
  <c r="P298" i="3" s="1"/>
  <c r="AP174" i="4"/>
  <c r="R191" i="3"/>
  <c r="AR146" i="4"/>
  <c r="AR174" i="4" s="1"/>
  <c r="AQ146" i="4"/>
  <c r="AQ174" i="4" s="1"/>
  <c r="X219" i="3"/>
  <c r="M72" i="1"/>
  <c r="L92" i="3"/>
  <c r="S167" i="3"/>
  <c r="S176" i="3" s="1"/>
  <c r="S483" i="3" s="1"/>
  <c r="AL372" i="3"/>
  <c r="K37" i="5"/>
  <c r="K285" i="3"/>
  <c r="K32" i="5"/>
  <c r="AM372" i="3"/>
  <c r="Q522" i="3"/>
  <c r="Q538" i="3" s="1"/>
  <c r="AQ387" i="3"/>
  <c r="AN387" i="3"/>
  <c r="AM387" i="3"/>
  <c r="AL387" i="3"/>
  <c r="AK387" i="3"/>
  <c r="AP387" i="3"/>
  <c r="E144" i="1"/>
  <c r="AO387" i="3"/>
  <c r="AJ387" i="3"/>
  <c r="T185" i="3"/>
  <c r="S193" i="3"/>
  <c r="AS12" i="7"/>
  <c r="AT14" i="7"/>
  <c r="AT12" i="7" s="1"/>
  <c r="AT38" i="3"/>
  <c r="AT29" i="3" s="1"/>
  <c r="AT1" i="7"/>
  <c r="AT13" i="7" s="1"/>
  <c r="AT5" i="7" s="1"/>
  <c r="T261" i="4"/>
  <c r="AR106" i="4"/>
  <c r="J288" i="3"/>
  <c r="AS38" i="3"/>
  <c r="AS134" i="3" s="1"/>
  <c r="AS1" i="7"/>
  <c r="AS13" i="7" s="1"/>
  <c r="AS5" i="7" s="1"/>
  <c r="M79" i="1"/>
  <c r="M112" i="1"/>
  <c r="AS384" i="3"/>
  <c r="AS404" i="3" s="1"/>
  <c r="AP119" i="7"/>
  <c r="AP153" i="7" s="1"/>
  <c r="T51" i="7"/>
  <c r="T53" i="7" s="1"/>
  <c r="AT384" i="3"/>
  <c r="AQ436" i="3"/>
  <c r="L268" i="1" s="1"/>
  <c r="L280" i="1" s="1"/>
  <c r="AQ426" i="3"/>
  <c r="AN99" i="7"/>
  <c r="S110" i="7"/>
  <c r="S142" i="7" s="1"/>
  <c r="AS476" i="3"/>
  <c r="AT476" i="3" s="1"/>
  <c r="AT387" i="3" s="1"/>
  <c r="AR387" i="3"/>
  <c r="S106" i="7"/>
  <c r="S138" i="7" s="1"/>
  <c r="R93" i="7"/>
  <c r="Q526" i="3"/>
  <c r="Q542" i="3" s="1"/>
  <c r="R117" i="7"/>
  <c r="R151" i="7" s="1"/>
  <c r="AO143" i="7"/>
  <c r="AP116" i="7"/>
  <c r="AP150" i="7" s="1"/>
  <c r="AO155" i="7"/>
  <c r="T88" i="7"/>
  <c r="AQ88" i="7"/>
  <c r="Y90" i="4"/>
  <c r="T19" i="7"/>
  <c r="T18" i="7"/>
  <c r="U17" i="7"/>
  <c r="AQ107" i="7"/>
  <c r="AQ139" i="7" s="1"/>
  <c r="AQ127" i="7"/>
  <c r="AQ163" i="7" s="1"/>
  <c r="AR61" i="7"/>
  <c r="AQ71" i="7"/>
  <c r="AQ89" i="7" s="1"/>
  <c r="AP118" i="7"/>
  <c r="AP152" i="7" s="1"/>
  <c r="H48" i="1"/>
  <c r="AP75" i="7"/>
  <c r="S128" i="7"/>
  <c r="S164" i="7" s="1"/>
  <c r="AQ109" i="7"/>
  <c r="R75" i="7"/>
  <c r="T37" i="3"/>
  <c r="U39" i="3"/>
  <c r="AO98" i="7"/>
  <c r="AO37" i="7"/>
  <c r="AQ130" i="7"/>
  <c r="AQ166" i="7" s="1"/>
  <c r="AQ110" i="7"/>
  <c r="AQ142" i="7" s="1"/>
  <c r="AR64" i="7"/>
  <c r="AQ74" i="7"/>
  <c r="AQ92" i="7" s="1"/>
  <c r="AR41" i="3"/>
  <c r="AS42" i="3"/>
  <c r="S126" i="7"/>
  <c r="S162" i="7" s="1"/>
  <c r="V46" i="7"/>
  <c r="AR51" i="7"/>
  <c r="AR53" i="7" s="1"/>
  <c r="AS46" i="7"/>
  <c r="AT46" i="7" s="1"/>
  <c r="AQ129" i="7"/>
  <c r="AQ165" i="7" s="1"/>
  <c r="AP120" i="7"/>
  <c r="AP154" i="7" s="1"/>
  <c r="T181" i="3"/>
  <c r="S190" i="3"/>
  <c r="T182" i="3"/>
  <c r="AR19" i="7"/>
  <c r="AR18" i="7"/>
  <c r="AS17" i="7"/>
  <c r="AT17" i="7" s="1"/>
  <c r="AP117" i="7"/>
  <c r="AP151" i="7" s="1"/>
  <c r="L168" i="4"/>
  <c r="AP143" i="7"/>
  <c r="AP145" i="7" s="1"/>
  <c r="S129" i="7"/>
  <c r="S165" i="7" s="1"/>
  <c r="S109" i="7"/>
  <c r="S141" i="7" s="1"/>
  <c r="T63" i="7"/>
  <c r="S73" i="7"/>
  <c r="S91" i="7" s="1"/>
  <c r="Q98" i="7"/>
  <c r="Q37" i="7"/>
  <c r="R138" i="7"/>
  <c r="R116" i="7"/>
  <c r="R150" i="7" s="1"/>
  <c r="S88" i="7"/>
  <c r="R174" i="4"/>
  <c r="R181" i="4"/>
  <c r="AR412" i="3"/>
  <c r="AU412" i="3" s="1"/>
  <c r="AW412" i="3" s="1"/>
  <c r="AR408" i="3"/>
  <c r="AR444" i="3"/>
  <c r="AR409" i="3"/>
  <c r="AR405" i="3"/>
  <c r="AR410" i="3"/>
  <c r="AR406" i="3"/>
  <c r="AR404" i="3"/>
  <c r="AR407" i="3"/>
  <c r="K531" i="3"/>
  <c r="K240" i="4"/>
  <c r="K244" i="4"/>
  <c r="K242" i="4"/>
  <c r="K239" i="4"/>
  <c r="K241" i="4"/>
  <c r="K243" i="4"/>
  <c r="S26" i="5"/>
  <c r="R23" i="5"/>
  <c r="Q216" i="3"/>
  <c r="AO355" i="3"/>
  <c r="AP319" i="3"/>
  <c r="S127" i="7"/>
  <c r="S163" i="7" s="1"/>
  <c r="S107" i="7"/>
  <c r="S139" i="7" s="1"/>
  <c r="T61" i="7"/>
  <c r="T71" i="7" s="1"/>
  <c r="T89" i="7" s="1"/>
  <c r="T163" i="3"/>
  <c r="T173" i="3" s="1"/>
  <c r="T280" i="3" s="1"/>
  <c r="T319" i="3" s="1"/>
  <c r="U38" i="3"/>
  <c r="U134" i="3" s="1"/>
  <c r="R140" i="7"/>
  <c r="R118" i="7"/>
  <c r="R152" i="7" s="1"/>
  <c r="P98" i="7"/>
  <c r="P99" i="7" s="1"/>
  <c r="P37" i="7"/>
  <c r="X93" i="4"/>
  <c r="Y99" i="4"/>
  <c r="AN172" i="7"/>
  <c r="AS394" i="3"/>
  <c r="R70" i="5"/>
  <c r="Q67" i="5"/>
  <c r="AP93" i="7"/>
  <c r="AP95" i="7" s="1"/>
  <c r="X97" i="4"/>
  <c r="S146" i="4"/>
  <c r="T29" i="3"/>
  <c r="AP167" i="7"/>
  <c r="AP169" i="7" s="1"/>
  <c r="R119" i="7"/>
  <c r="R153" i="7" s="1"/>
  <c r="R167" i="7"/>
  <c r="R169" i="7" s="1"/>
  <c r="T207" i="4"/>
  <c r="T212" i="4"/>
  <c r="T209" i="4"/>
  <c r="T211" i="4"/>
  <c r="T208" i="4"/>
  <c r="T210" i="4"/>
  <c r="T213" i="4"/>
  <c r="T253" i="4"/>
  <c r="T201" i="4"/>
  <c r="T206" i="4"/>
  <c r="T200" i="4"/>
  <c r="T256" i="4"/>
  <c r="T202" i="4"/>
  <c r="T195" i="4"/>
  <c r="T198" i="4"/>
  <c r="T197" i="4"/>
  <c r="T255" i="4"/>
  <c r="T196" i="4"/>
  <c r="T199" i="4"/>
  <c r="T254" i="4"/>
  <c r="S355" i="3"/>
  <c r="S444" i="3"/>
  <c r="U47" i="7"/>
  <c r="S203" i="4"/>
  <c r="S214" i="4"/>
  <c r="W14" i="7"/>
  <c r="V12" i="7"/>
  <c r="U62" i="7"/>
  <c r="T72" i="7"/>
  <c r="T90" i="7" s="1"/>
  <c r="T145" i="4"/>
  <c r="U147" i="4"/>
  <c r="R116" i="4"/>
  <c r="R511" i="3"/>
  <c r="R518" i="3"/>
  <c r="T74" i="7"/>
  <c r="T92" i="7" s="1"/>
  <c r="U50" i="7"/>
  <c r="S41" i="3"/>
  <c r="T42" i="3"/>
  <c r="Y98" i="4"/>
  <c r="Q155" i="7"/>
  <c r="K189" i="3"/>
  <c r="X95" i="4"/>
  <c r="Y92" i="4"/>
  <c r="S257" i="4"/>
  <c r="U64" i="7"/>
  <c r="V5" i="4"/>
  <c r="U4" i="4"/>
  <c r="T354" i="3"/>
  <c r="U35" i="3"/>
  <c r="T70" i="3"/>
  <c r="T63" i="3"/>
  <c r="T64" i="3"/>
  <c r="AQ128" i="7"/>
  <c r="AQ164" i="7" s="1"/>
  <c r="AQ108" i="7"/>
  <c r="AQ140" i="7" s="1"/>
  <c r="AR62" i="7"/>
  <c r="AQ72" i="7"/>
  <c r="AQ90" i="7" s="1"/>
  <c r="S71" i="7"/>
  <c r="S89" i="7" s="1"/>
  <c r="Y88" i="4"/>
  <c r="Y94" i="4"/>
  <c r="S108" i="7"/>
  <c r="W48" i="7"/>
  <c r="S192" i="3"/>
  <c r="S214" i="3" s="1"/>
  <c r="T184" i="3"/>
  <c r="X225" i="3"/>
  <c r="Q143" i="7"/>
  <c r="Q145" i="7" s="1"/>
  <c r="R118" i="4"/>
  <c r="R512" i="3"/>
  <c r="R519" i="3"/>
  <c r="R217" i="3"/>
  <c r="R216" i="3" s="1"/>
  <c r="X89" i="4"/>
  <c r="R142" i="7"/>
  <c r="R120" i="7"/>
  <c r="R154" i="7" s="1"/>
  <c r="X91" i="4"/>
  <c r="AQ126" i="7"/>
  <c r="AQ162" i="7" s="1"/>
  <c r="AQ106" i="7"/>
  <c r="AQ138" i="7" s="1"/>
  <c r="AR60" i="7"/>
  <c r="S130" i="7"/>
  <c r="S166" i="7" s="1"/>
  <c r="U60" i="7"/>
  <c r="U70" i="7" s="1"/>
  <c r="J116" i="4"/>
  <c r="J511" i="3"/>
  <c r="J518" i="3"/>
  <c r="J247" i="4"/>
  <c r="J205" i="3" s="1"/>
  <c r="T183" i="3"/>
  <c r="AS63" i="7"/>
  <c r="AT63" i="7" s="1"/>
  <c r="AR73" i="7"/>
  <c r="AR91" i="7" s="1"/>
  <c r="V49" i="7"/>
  <c r="AS393" i="3"/>
  <c r="P172" i="7"/>
  <c r="P38" i="7"/>
  <c r="N28" i="1"/>
  <c r="N45" i="1" s="1"/>
  <c r="N112" i="1"/>
  <c r="N79" i="1"/>
  <c r="AN36" i="7" l="1"/>
  <c r="AN210" i="3" s="1"/>
  <c r="R80" i="7"/>
  <c r="R81" i="7" s="1"/>
  <c r="R77" i="7"/>
  <c r="AO38" i="7"/>
  <c r="AO145" i="7"/>
  <c r="AP80" i="7"/>
  <c r="AP81" i="7" s="1"/>
  <c r="AP77" i="7"/>
  <c r="Q39" i="7"/>
  <c r="Q157" i="7"/>
  <c r="R98" i="7"/>
  <c r="R95" i="7"/>
  <c r="AO39" i="7"/>
  <c r="AO157" i="7"/>
  <c r="AO171" i="7"/>
  <c r="R40" i="7"/>
  <c r="Q171" i="7"/>
  <c r="AP40" i="7"/>
  <c r="K194" i="4"/>
  <c r="K206" i="4" s="1"/>
  <c r="Q296" i="3"/>
  <c r="F37" i="1"/>
  <c r="E41" i="1"/>
  <c r="E42" i="1" s="1"/>
  <c r="E47" i="1" s="1"/>
  <c r="F47" i="1" s="1"/>
  <c r="G47" i="1" s="1"/>
  <c r="H47" i="1" s="1"/>
  <c r="I47" i="1" s="1"/>
  <c r="J47" i="1" s="1"/>
  <c r="R76" i="5"/>
  <c r="R296" i="3" s="1"/>
  <c r="N126" i="1"/>
  <c r="M126" i="1"/>
  <c r="F40" i="1"/>
  <c r="J61" i="1"/>
  <c r="L56" i="3"/>
  <c r="L165" i="3" s="1"/>
  <c r="K290" i="3"/>
  <c r="Q78" i="5"/>
  <c r="Q298" i="3" s="1"/>
  <c r="AQ5" i="4"/>
  <c r="AQ4" i="4" s="1"/>
  <c r="AL271" i="3"/>
  <c r="AR5" i="4"/>
  <c r="L62" i="3"/>
  <c r="L66" i="3" s="1"/>
  <c r="M83" i="3"/>
  <c r="S191" i="3"/>
  <c r="N72" i="1"/>
  <c r="AT146" i="4"/>
  <c r="AT174" i="4" s="1"/>
  <c r="Y219" i="3"/>
  <c r="L31" i="5"/>
  <c r="L37" i="5" s="1"/>
  <c r="L96" i="3"/>
  <c r="T167" i="3"/>
  <c r="T176" i="3" s="1"/>
  <c r="T483" i="3" s="1"/>
  <c r="M74" i="3"/>
  <c r="R80" i="5"/>
  <c r="K286" i="3"/>
  <c r="K35" i="5"/>
  <c r="AS29" i="3"/>
  <c r="AT134" i="3"/>
  <c r="U185" i="3"/>
  <c r="T193" i="3"/>
  <c r="AT51" i="7"/>
  <c r="AT53" i="7" s="1"/>
  <c r="AT18" i="7"/>
  <c r="AT19" i="7"/>
  <c r="AT73" i="7"/>
  <c r="AT91" i="7" s="1"/>
  <c r="U261" i="4"/>
  <c r="O71" i="1"/>
  <c r="O79" i="1" s="1"/>
  <c r="AS106" i="4"/>
  <c r="AT106" i="4" s="1"/>
  <c r="AS408" i="3"/>
  <c r="AS406" i="3"/>
  <c r="AS409" i="3"/>
  <c r="AS444" i="3"/>
  <c r="AS426" i="3" s="1"/>
  <c r="AS410" i="3"/>
  <c r="AS405" i="3"/>
  <c r="AS407" i="3"/>
  <c r="AS411" i="3"/>
  <c r="S120" i="7"/>
  <c r="S154" i="7" s="1"/>
  <c r="AT404" i="3"/>
  <c r="AT412" i="3"/>
  <c r="AT411" i="3"/>
  <c r="AT409" i="3"/>
  <c r="AT407" i="3"/>
  <c r="AT444" i="3"/>
  <c r="AT408" i="3"/>
  <c r="AT410" i="3"/>
  <c r="AT406" i="3"/>
  <c r="AT405" i="3"/>
  <c r="AS41" i="3"/>
  <c r="AT42" i="3"/>
  <c r="AT41" i="3" s="1"/>
  <c r="T106" i="7"/>
  <c r="T138" i="7" s="1"/>
  <c r="T108" i="7"/>
  <c r="T140" i="7" s="1"/>
  <c r="AR426" i="3"/>
  <c r="AR436" i="3"/>
  <c r="M268" i="1" s="1"/>
  <c r="M280" i="1" s="1"/>
  <c r="S116" i="7"/>
  <c r="S150" i="7" s="1"/>
  <c r="AR109" i="7"/>
  <c r="AR141" i="7" s="1"/>
  <c r="M91" i="3"/>
  <c r="AO172" i="7"/>
  <c r="R37" i="7"/>
  <c r="J525" i="3"/>
  <c r="J541" i="3" s="1"/>
  <c r="T128" i="7"/>
  <c r="T164" i="7" s="1"/>
  <c r="AR129" i="7"/>
  <c r="AR165" i="7" s="1"/>
  <c r="AS387" i="3"/>
  <c r="T110" i="7"/>
  <c r="T142" i="7" s="1"/>
  <c r="S119" i="7"/>
  <c r="S153" i="7" s="1"/>
  <c r="S117" i="7"/>
  <c r="S151" i="7" s="1"/>
  <c r="AQ118" i="7"/>
  <c r="AQ152" i="7" s="1"/>
  <c r="T130" i="7"/>
  <c r="T166" i="7" s="1"/>
  <c r="AP155" i="7"/>
  <c r="T126" i="7"/>
  <c r="T162" i="7" s="1"/>
  <c r="U74" i="7"/>
  <c r="U92" i="7" s="1"/>
  <c r="V50" i="7"/>
  <c r="Y91" i="4"/>
  <c r="Y89" i="4"/>
  <c r="R526" i="3"/>
  <c r="R542" i="3" s="1"/>
  <c r="Y225" i="3"/>
  <c r="Z94" i="4"/>
  <c r="V64" i="7"/>
  <c r="U145" i="4"/>
  <c r="V147" i="4"/>
  <c r="P36" i="7"/>
  <c r="AP355" i="3"/>
  <c r="AQ319" i="3"/>
  <c r="K245" i="4"/>
  <c r="W46" i="7"/>
  <c r="S167" i="7"/>
  <c r="S169" i="7" s="1"/>
  <c r="U37" i="3"/>
  <c r="V39" i="3"/>
  <c r="Z88" i="4"/>
  <c r="Y95" i="4"/>
  <c r="T214" i="4"/>
  <c r="Y93" i="4"/>
  <c r="T190" i="3"/>
  <c r="U182" i="3"/>
  <c r="AR130" i="7"/>
  <c r="AR166" i="7" s="1"/>
  <c r="AR110" i="7"/>
  <c r="AR142" i="7" s="1"/>
  <c r="AS64" i="7"/>
  <c r="AT64" i="7" s="1"/>
  <c r="AR74" i="7"/>
  <c r="AR92" i="7" s="1"/>
  <c r="U18" i="7"/>
  <c r="U110" i="7" s="1"/>
  <c r="V17" i="7"/>
  <c r="U19" i="7"/>
  <c r="T192" i="3"/>
  <c r="T214" i="3" s="1"/>
  <c r="U184" i="3"/>
  <c r="U88" i="7"/>
  <c r="T41" i="3"/>
  <c r="U42" i="3"/>
  <c r="V60" i="7"/>
  <c r="V70" i="7" s="1"/>
  <c r="S140" i="7"/>
  <c r="S118" i="7"/>
  <c r="S152" i="7" s="1"/>
  <c r="U64" i="3"/>
  <c r="U70" i="3"/>
  <c r="U63" i="3"/>
  <c r="V35" i="3"/>
  <c r="U354" i="3"/>
  <c r="Z92" i="4"/>
  <c r="Z98" i="4"/>
  <c r="R525" i="3"/>
  <c r="R541" i="3" s="1"/>
  <c r="V62" i="7"/>
  <c r="U72" i="7"/>
  <c r="U90" i="7" s="1"/>
  <c r="T203" i="4"/>
  <c r="S75" i="7"/>
  <c r="R155" i="7"/>
  <c r="AP38" i="7"/>
  <c r="W12" i="7"/>
  <c r="X14" i="7"/>
  <c r="Q99" i="7"/>
  <c r="AR126" i="7"/>
  <c r="AR162" i="7" s="1"/>
  <c r="AR106" i="7"/>
  <c r="AR138" i="7" s="1"/>
  <c r="AS60" i="7"/>
  <c r="X48" i="7"/>
  <c r="R99" i="7"/>
  <c r="AR128" i="7"/>
  <c r="AR164" i="7" s="1"/>
  <c r="AR108" i="7"/>
  <c r="AR140" i="7" s="1"/>
  <c r="AS62" i="7"/>
  <c r="AT62" i="7" s="1"/>
  <c r="AR72" i="7"/>
  <c r="AR90" i="7" s="1"/>
  <c r="S118" i="4"/>
  <c r="S512" i="3"/>
  <c r="S519" i="3"/>
  <c r="S217" i="3"/>
  <c r="S216" i="3" s="1"/>
  <c r="T146" i="4"/>
  <c r="U29" i="3"/>
  <c r="S80" i="5"/>
  <c r="T75" i="5" s="1"/>
  <c r="C461" i="3" a="1"/>
  <c r="C447" i="3" a="1"/>
  <c r="S93" i="7"/>
  <c r="S95" i="7" s="1"/>
  <c r="R143" i="7"/>
  <c r="R145" i="7" s="1"/>
  <c r="AS19" i="7"/>
  <c r="AS18" i="7"/>
  <c r="U181" i="3"/>
  <c r="AS51" i="7"/>
  <c r="AS53" i="7" s="1"/>
  <c r="AQ120" i="7"/>
  <c r="AQ154" i="7" s="1"/>
  <c r="AR127" i="7"/>
  <c r="AR163" i="7" s="1"/>
  <c r="AR107" i="7"/>
  <c r="AR139" i="7" s="1"/>
  <c r="AS61" i="7"/>
  <c r="AT61" i="7" s="1"/>
  <c r="AR71" i="7"/>
  <c r="AR89" i="7" s="1"/>
  <c r="AQ93" i="7"/>
  <c r="AQ95" i="7" s="1"/>
  <c r="AS73" i="7"/>
  <c r="AS91" i="7" s="1"/>
  <c r="U212" i="4"/>
  <c r="U209" i="4"/>
  <c r="U211" i="4"/>
  <c r="U208" i="4"/>
  <c r="U213" i="4"/>
  <c r="U207" i="4"/>
  <c r="U210" i="4"/>
  <c r="U253" i="4"/>
  <c r="U255" i="4"/>
  <c r="U198" i="4"/>
  <c r="U195" i="4"/>
  <c r="U200" i="4"/>
  <c r="U201" i="4"/>
  <c r="U256" i="4"/>
  <c r="U206" i="4"/>
  <c r="U197" i="4"/>
  <c r="U202" i="4"/>
  <c r="U199" i="4"/>
  <c r="U254" i="4"/>
  <c r="U196" i="4"/>
  <c r="S116" i="4"/>
  <c r="S511" i="3"/>
  <c r="S518" i="3"/>
  <c r="T257" i="4"/>
  <c r="S174" i="4"/>
  <c r="S181" i="4"/>
  <c r="AP98" i="7"/>
  <c r="AP37" i="7"/>
  <c r="V38" i="3"/>
  <c r="V134" i="3" s="1"/>
  <c r="U163" i="3"/>
  <c r="U173" i="3" s="1"/>
  <c r="U280" i="3" s="1"/>
  <c r="U319" i="3" s="1"/>
  <c r="Z90" i="4"/>
  <c r="AQ75" i="7"/>
  <c r="W5" i="4"/>
  <c r="V4" i="4"/>
  <c r="Z99" i="4"/>
  <c r="T444" i="3"/>
  <c r="T355" i="3"/>
  <c r="T107" i="7"/>
  <c r="T139" i="7" s="1"/>
  <c r="T127" i="7"/>
  <c r="T163" i="7" s="1"/>
  <c r="U61" i="7"/>
  <c r="U71" i="7" s="1"/>
  <c r="U89" i="7" s="1"/>
  <c r="T129" i="7"/>
  <c r="T165" i="7" s="1"/>
  <c r="T109" i="7"/>
  <c r="T141" i="7" s="1"/>
  <c r="U63" i="7"/>
  <c r="T73" i="7"/>
  <c r="AR70" i="7"/>
  <c r="AU410" i="3"/>
  <c r="AW410" i="3" s="1"/>
  <c r="W49" i="7"/>
  <c r="AQ116" i="7"/>
  <c r="AQ150" i="7" s="1"/>
  <c r="Q172" i="7"/>
  <c r="Q38" i="7"/>
  <c r="U183" i="3"/>
  <c r="AQ167" i="7"/>
  <c r="AQ169" i="7" s="1"/>
  <c r="V47" i="7"/>
  <c r="Y97" i="4"/>
  <c r="S70" i="5"/>
  <c r="S76" i="5" s="1"/>
  <c r="S296" i="3" s="1"/>
  <c r="R67" i="5"/>
  <c r="S23" i="5"/>
  <c r="T26" i="5"/>
  <c r="U51" i="7"/>
  <c r="U53" i="7" s="1"/>
  <c r="K533" i="3"/>
  <c r="K198" i="4"/>
  <c r="K202" i="4"/>
  <c r="K197" i="4"/>
  <c r="K207" i="4"/>
  <c r="K195" i="4"/>
  <c r="AO99" i="7"/>
  <c r="AQ141" i="7"/>
  <c r="AQ119" i="7"/>
  <c r="AQ153" i="7" s="1"/>
  <c r="I48" i="1"/>
  <c r="AQ117" i="7"/>
  <c r="AQ151" i="7" s="1"/>
  <c r="K196" i="4" l="1"/>
  <c r="AO36" i="7"/>
  <c r="AO210" i="3" s="1"/>
  <c r="Q36" i="7"/>
  <c r="AQ80" i="7"/>
  <c r="AQ81" i="7" s="1"/>
  <c r="AQ77" i="7"/>
  <c r="R39" i="7"/>
  <c r="R157" i="7"/>
  <c r="AP39" i="7"/>
  <c r="AP36" i="7" s="1"/>
  <c r="AP210" i="3" s="1"/>
  <c r="AP157" i="7"/>
  <c r="S80" i="7"/>
  <c r="S81" i="7" s="1"/>
  <c r="S77" i="7"/>
  <c r="AP171" i="7"/>
  <c r="R171" i="7"/>
  <c r="AQ40" i="7"/>
  <c r="S40" i="7"/>
  <c r="K210" i="4"/>
  <c r="K201" i="4"/>
  <c r="K208" i="4"/>
  <c r="K200" i="4"/>
  <c r="K211" i="4"/>
  <c r="K213" i="4"/>
  <c r="K212" i="4"/>
  <c r="K209" i="4"/>
  <c r="K199" i="4"/>
  <c r="L285" i="3"/>
  <c r="L57" i="3"/>
  <c r="L58" i="3" s="1"/>
  <c r="L152" i="4" s="1"/>
  <c r="L32" i="5"/>
  <c r="R78" i="5"/>
  <c r="AR4" i="4"/>
  <c r="AM271" i="3"/>
  <c r="AT5" i="4"/>
  <c r="AS146" i="4"/>
  <c r="AS174" i="4" s="1"/>
  <c r="O72" i="1"/>
  <c r="Z219" i="3"/>
  <c r="L97" i="3"/>
  <c r="M90" i="3"/>
  <c r="M60" i="3"/>
  <c r="L169" i="4"/>
  <c r="L238" i="4" s="1"/>
  <c r="L67" i="3"/>
  <c r="T191" i="3"/>
  <c r="M80" i="3"/>
  <c r="M76" i="3"/>
  <c r="U167" i="3"/>
  <c r="U176" i="3" s="1"/>
  <c r="U483" i="3" s="1"/>
  <c r="K288" i="3"/>
  <c r="AN372" i="3"/>
  <c r="V185" i="3"/>
  <c r="U193" i="3"/>
  <c r="AT109" i="7"/>
  <c r="AT129" i="7"/>
  <c r="AT165" i="7" s="1"/>
  <c r="AS70" i="7"/>
  <c r="AS88" i="7" s="1"/>
  <c r="AT60" i="7"/>
  <c r="AT107" i="7"/>
  <c r="AT139" i="7" s="1"/>
  <c r="AT127" i="7"/>
  <c r="AT163" i="7" s="1"/>
  <c r="AT71" i="7"/>
  <c r="AT89" i="7" s="1"/>
  <c r="AT128" i="7"/>
  <c r="AT164" i="7" s="1"/>
  <c r="AT108" i="7"/>
  <c r="AT140" i="7" s="1"/>
  <c r="AT72" i="7"/>
  <c r="AT90" i="7" s="1"/>
  <c r="AT110" i="7"/>
  <c r="AT142" i="7" s="1"/>
  <c r="AT130" i="7"/>
  <c r="AT166" i="7" s="1"/>
  <c r="AT74" i="7"/>
  <c r="AT92" i="7" s="1"/>
  <c r="O112" i="1"/>
  <c r="O28" i="1"/>
  <c r="O45" i="1" s="1"/>
  <c r="V261" i="4"/>
  <c r="AS436" i="3"/>
  <c r="N268" i="1" s="1"/>
  <c r="N280" i="1" s="1"/>
  <c r="T116" i="7"/>
  <c r="T150" i="7" s="1"/>
  <c r="AR119" i="7"/>
  <c r="AR153" i="7" s="1"/>
  <c r="V51" i="7"/>
  <c r="V53" i="7" s="1"/>
  <c r="AT436" i="3"/>
  <c r="O268" i="1" s="1"/>
  <c r="O280" i="1" s="1"/>
  <c r="AT426" i="3"/>
  <c r="T118" i="7"/>
  <c r="T152" i="7" s="1"/>
  <c r="J527" i="3"/>
  <c r="J543" i="3" s="1"/>
  <c r="AP99" i="7"/>
  <c r="S526" i="3"/>
  <c r="S542" i="3" s="1"/>
  <c r="AR120" i="7"/>
  <c r="AR154" i="7" s="1"/>
  <c r="AS129" i="7"/>
  <c r="AS165" i="7" s="1"/>
  <c r="AR117" i="7"/>
  <c r="AR151" i="7" s="1"/>
  <c r="AR116" i="7"/>
  <c r="AR150" i="7" s="1"/>
  <c r="AR118" i="7"/>
  <c r="AR152" i="7" s="1"/>
  <c r="T119" i="7"/>
  <c r="T153" i="7" s="1"/>
  <c r="T117" i="7"/>
  <c r="T151" i="7" s="1"/>
  <c r="AP172" i="7"/>
  <c r="AQ143" i="7"/>
  <c r="T167" i="7"/>
  <c r="T169" i="7" s="1"/>
  <c r="S155" i="7"/>
  <c r="T120" i="7"/>
  <c r="T154" i="7" s="1"/>
  <c r="V88" i="7"/>
  <c r="U142" i="7"/>
  <c r="U120" i="7"/>
  <c r="U154" i="7" s="1"/>
  <c r="X49" i="7"/>
  <c r="AA99" i="4"/>
  <c r="AA90" i="4"/>
  <c r="AQ98" i="7"/>
  <c r="AQ37" i="7"/>
  <c r="V181" i="3"/>
  <c r="C453" i="3"/>
  <c r="C452" i="3"/>
  <c r="C451" i="3"/>
  <c r="C450" i="3"/>
  <c r="C449" i="3"/>
  <c r="C456" i="3"/>
  <c r="C448" i="3"/>
  <c r="C454" i="3"/>
  <c r="C447" i="3"/>
  <c r="AT447" i="3" s="1"/>
  <c r="C455" i="3"/>
  <c r="Y48" i="7"/>
  <c r="AR167" i="7"/>
  <c r="AR169" i="7" s="1"/>
  <c r="V18" i="7"/>
  <c r="W17" i="7"/>
  <c r="V19" i="7"/>
  <c r="AA88" i="4"/>
  <c r="W39" i="3"/>
  <c r="V37" i="3"/>
  <c r="U130" i="7"/>
  <c r="U166" i="7" s="1"/>
  <c r="T118" i="4"/>
  <c r="T519" i="3"/>
  <c r="T512" i="3"/>
  <c r="T217" i="3"/>
  <c r="T216" i="3" s="1"/>
  <c r="C465" i="3"/>
  <c r="C464" i="3"/>
  <c r="C463" i="3"/>
  <c r="C470" i="3"/>
  <c r="C462" i="3"/>
  <c r="C469" i="3"/>
  <c r="C468" i="3"/>
  <c r="C461" i="3"/>
  <c r="AT461" i="3" s="1"/>
  <c r="C466" i="3"/>
  <c r="C467" i="3"/>
  <c r="W62" i="7"/>
  <c r="V72" i="7"/>
  <c r="V90" i="7" s="1"/>
  <c r="AQ355" i="3"/>
  <c r="AR319" i="3"/>
  <c r="U257" i="4"/>
  <c r="AO372" i="3"/>
  <c r="L170" i="3"/>
  <c r="L174" i="3"/>
  <c r="U108" i="7"/>
  <c r="U106" i="7"/>
  <c r="U41" i="3"/>
  <c r="V42" i="3"/>
  <c r="U192" i="3"/>
  <c r="U214" i="3" s="1"/>
  <c r="V184" i="3"/>
  <c r="AR143" i="7"/>
  <c r="AR145" i="7" s="1"/>
  <c r="U190" i="3"/>
  <c r="V182" i="3"/>
  <c r="Z93" i="4"/>
  <c r="Z91" i="4"/>
  <c r="Z97" i="4"/>
  <c r="K114" i="4"/>
  <c r="K516" i="3"/>
  <c r="K509" i="3"/>
  <c r="Z225" i="3"/>
  <c r="V183" i="3"/>
  <c r="AQ155" i="7"/>
  <c r="V209" i="4"/>
  <c r="V211" i="4"/>
  <c r="V208" i="4"/>
  <c r="V213" i="4"/>
  <c r="V210" i="4"/>
  <c r="V212" i="4"/>
  <c r="V207" i="4"/>
  <c r="V256" i="4"/>
  <c r="V195" i="4"/>
  <c r="V198" i="4"/>
  <c r="V202" i="4"/>
  <c r="V201" i="4"/>
  <c r="V206" i="4"/>
  <c r="V255" i="4"/>
  <c r="V200" i="4"/>
  <c r="V253" i="4"/>
  <c r="V197" i="4"/>
  <c r="V196" i="4"/>
  <c r="V254" i="4"/>
  <c r="V199" i="4"/>
  <c r="U444" i="3"/>
  <c r="U355" i="3"/>
  <c r="AS128" i="7"/>
  <c r="AS164" i="7" s="1"/>
  <c r="AS108" i="7"/>
  <c r="AS140" i="7" s="1"/>
  <c r="AS72" i="7"/>
  <c r="AS90" i="7" s="1"/>
  <c r="AS130" i="7"/>
  <c r="AS166" i="7" s="1"/>
  <c r="AS110" i="7"/>
  <c r="AS142" i="7" s="1"/>
  <c r="AS74" i="7"/>
  <c r="AS92" i="7" s="1"/>
  <c r="X46" i="7"/>
  <c r="V145" i="4"/>
  <c r="W147" i="4"/>
  <c r="AA94" i="4"/>
  <c r="M31" i="5"/>
  <c r="L290" i="3"/>
  <c r="J48" i="1"/>
  <c r="T91" i="7"/>
  <c r="T93" i="7" s="1"/>
  <c r="T95" i="7" s="1"/>
  <c r="T75" i="7"/>
  <c r="U127" i="7"/>
  <c r="U163" i="7" s="1"/>
  <c r="U107" i="7"/>
  <c r="U139" i="7" s="1"/>
  <c r="V61" i="7"/>
  <c r="V71" i="7" s="1"/>
  <c r="V89" i="7" s="1"/>
  <c r="W4" i="4"/>
  <c r="X5" i="4"/>
  <c r="W38" i="3"/>
  <c r="W134" i="3" s="1"/>
  <c r="V163" i="3"/>
  <c r="V173" i="3" s="1"/>
  <c r="V280" i="3" s="1"/>
  <c r="V319" i="3" s="1"/>
  <c r="S143" i="7"/>
  <c r="S145" i="7" s="1"/>
  <c r="U128" i="7"/>
  <c r="U164" i="7" s="1"/>
  <c r="AA92" i="4"/>
  <c r="U126" i="7"/>
  <c r="U162" i="7" s="1"/>
  <c r="Z95" i="4"/>
  <c r="Z89" i="4"/>
  <c r="W47" i="7"/>
  <c r="U129" i="7"/>
  <c r="U165" i="7" s="1"/>
  <c r="U109" i="7"/>
  <c r="U141" i="7" s="1"/>
  <c r="V63" i="7"/>
  <c r="U73" i="7"/>
  <c r="U91" i="7" s="1"/>
  <c r="U214" i="4"/>
  <c r="U203" i="4"/>
  <c r="AS109" i="7"/>
  <c r="R172" i="7"/>
  <c r="R38" i="7"/>
  <c r="U146" i="4"/>
  <c r="V29" i="3"/>
  <c r="AS126" i="7"/>
  <c r="AS162" i="7" s="1"/>
  <c r="AS106" i="7"/>
  <c r="AS138" i="7" s="1"/>
  <c r="X12" i="7"/>
  <c r="Y14" i="7"/>
  <c r="W64" i="7"/>
  <c r="AR88" i="7"/>
  <c r="AR93" i="7" s="1"/>
  <c r="AR95" i="7" s="1"/>
  <c r="AR75" i="7"/>
  <c r="AS127" i="7"/>
  <c r="AS163" i="7" s="1"/>
  <c r="AS107" i="7"/>
  <c r="AS139" i="7" s="1"/>
  <c r="AS71" i="7"/>
  <c r="AS89" i="7" s="1"/>
  <c r="V354" i="3"/>
  <c r="V70" i="3"/>
  <c r="V63" i="3"/>
  <c r="V64" i="3"/>
  <c r="W35" i="3"/>
  <c r="W60" i="7"/>
  <c r="W70" i="7" s="1"/>
  <c r="U26" i="5"/>
  <c r="T23" i="5"/>
  <c r="T70" i="5"/>
  <c r="T76" i="5" s="1"/>
  <c r="T296" i="3" s="1"/>
  <c r="S67" i="5"/>
  <c r="S525" i="3"/>
  <c r="S541" i="3" s="1"/>
  <c r="T181" i="4"/>
  <c r="T174" i="4"/>
  <c r="AA98" i="4"/>
  <c r="V74" i="7"/>
  <c r="V92" i="7" s="1"/>
  <c r="W50" i="7"/>
  <c r="S98" i="7"/>
  <c r="S37" i="7"/>
  <c r="T116" i="4"/>
  <c r="T511" i="3"/>
  <c r="T518" i="3"/>
  <c r="L240" i="4"/>
  <c r="L286" i="3" l="1"/>
  <c r="R36" i="7"/>
  <c r="AQ39" i="7"/>
  <c r="AQ157" i="7"/>
  <c r="S39" i="7"/>
  <c r="S157" i="7"/>
  <c r="AR80" i="7"/>
  <c r="AR81" i="7" s="1"/>
  <c r="AR77" i="7"/>
  <c r="T80" i="7"/>
  <c r="T81" i="7" s="1"/>
  <c r="T77" i="7"/>
  <c r="AQ38" i="7"/>
  <c r="AQ145" i="7"/>
  <c r="AR40" i="7"/>
  <c r="S171" i="7"/>
  <c r="T40" i="7"/>
  <c r="AQ171" i="7"/>
  <c r="K214" i="4"/>
  <c r="K203" i="4"/>
  <c r="K116" i="4" s="1"/>
  <c r="S78" i="5"/>
  <c r="S298" i="3" s="1"/>
  <c r="R298" i="3"/>
  <c r="L35" i="5"/>
  <c r="M50" i="3"/>
  <c r="M54" i="3" s="1"/>
  <c r="M55" i="3" s="1"/>
  <c r="L239" i="4"/>
  <c r="O126" i="1"/>
  <c r="U191" i="3"/>
  <c r="L241" i="4"/>
  <c r="L244" i="4"/>
  <c r="L243" i="4"/>
  <c r="L531" i="3"/>
  <c r="L242" i="4"/>
  <c r="AS5" i="4"/>
  <c r="AS4" i="4" s="1"/>
  <c r="AN271" i="3"/>
  <c r="M93" i="3"/>
  <c r="AA219" i="3"/>
  <c r="M168" i="4"/>
  <c r="N69" i="3"/>
  <c r="M77" i="3"/>
  <c r="V167" i="3"/>
  <c r="V176" i="3" s="1"/>
  <c r="V483" i="3" s="1"/>
  <c r="M82" i="3"/>
  <c r="AP372" i="3"/>
  <c r="T80" i="5"/>
  <c r="W185" i="3"/>
  <c r="V193" i="3"/>
  <c r="AT141" i="7"/>
  <c r="AT119" i="7"/>
  <c r="AT153" i="7" s="1"/>
  <c r="AT117" i="7"/>
  <c r="AT151" i="7" s="1"/>
  <c r="AT126" i="7"/>
  <c r="AT162" i="7" s="1"/>
  <c r="AT167" i="7" s="1"/>
  <c r="AT169" i="7" s="1"/>
  <c r="AT106" i="7"/>
  <c r="AT138" i="7" s="1"/>
  <c r="AT70" i="7"/>
  <c r="AT118" i="7"/>
  <c r="AT152" i="7" s="1"/>
  <c r="AT120" i="7"/>
  <c r="AT154" i="7" s="1"/>
  <c r="W261" i="4"/>
  <c r="U93" i="7"/>
  <c r="U119" i="7"/>
  <c r="U153" i="7" s="1"/>
  <c r="T525" i="3"/>
  <c r="T541" i="3" s="1"/>
  <c r="AR155" i="7"/>
  <c r="T143" i="7"/>
  <c r="V108" i="7"/>
  <c r="V140" i="7" s="1"/>
  <c r="V257" i="4"/>
  <c r="AQ36" i="7"/>
  <c r="AQ210" i="3" s="1"/>
  <c r="K523" i="3"/>
  <c r="K539" i="3" s="1"/>
  <c r="AS75" i="7"/>
  <c r="V110" i="7"/>
  <c r="T155" i="7"/>
  <c r="T157" i="7" s="1"/>
  <c r="S99" i="7"/>
  <c r="AS116" i="7"/>
  <c r="AS150" i="7" s="1"/>
  <c r="V106" i="7"/>
  <c r="U117" i="7"/>
  <c r="U151" i="7" s="1"/>
  <c r="W88" i="7"/>
  <c r="AR38" i="7"/>
  <c r="U70" i="5"/>
  <c r="T67" i="5"/>
  <c r="K511" i="3"/>
  <c r="AB94" i="4"/>
  <c r="W51" i="7"/>
  <c r="W53" i="7" s="1"/>
  <c r="U118" i="4"/>
  <c r="U519" i="3"/>
  <c r="U512" i="3"/>
  <c r="U217" i="3"/>
  <c r="AK461" i="3"/>
  <c r="AL461" i="3"/>
  <c r="AM461" i="3"/>
  <c r="AO461" i="3"/>
  <c r="AP461" i="3"/>
  <c r="AQ461" i="3"/>
  <c r="AR461" i="3"/>
  <c r="AS461" i="3"/>
  <c r="AL448" i="3"/>
  <c r="AK448" i="3"/>
  <c r="G448" i="3" s="1"/>
  <c r="AJ448" i="3"/>
  <c r="AI448" i="3"/>
  <c r="S172" i="7"/>
  <c r="S38" i="7"/>
  <c r="S36" i="7" s="1"/>
  <c r="V126" i="7"/>
  <c r="V162" i="7" s="1"/>
  <c r="AS117" i="7"/>
  <c r="AS151" i="7" s="1"/>
  <c r="AA95" i="4"/>
  <c r="AB92" i="4"/>
  <c r="V355" i="3"/>
  <c r="V444" i="3"/>
  <c r="W182" i="3"/>
  <c r="V190" i="3"/>
  <c r="V41" i="3"/>
  <c r="W42" i="3"/>
  <c r="X62" i="7"/>
  <c r="W72" i="7"/>
  <c r="W90" i="7" s="1"/>
  <c r="AL469" i="3"/>
  <c r="AK469" i="3"/>
  <c r="AJ469" i="3"/>
  <c r="AI469" i="3"/>
  <c r="T526" i="3"/>
  <c r="T542" i="3" s="1"/>
  <c r="W18" i="7"/>
  <c r="X17" i="7"/>
  <c r="W19" i="7"/>
  <c r="W128" i="7" s="1"/>
  <c r="W164" i="7" s="1"/>
  <c r="AI449" i="3"/>
  <c r="AL449" i="3"/>
  <c r="AJ449" i="3"/>
  <c r="AK449" i="3"/>
  <c r="G449" i="3" s="1"/>
  <c r="AQ99" i="7"/>
  <c r="AB99" i="4"/>
  <c r="X64" i="7"/>
  <c r="U167" i="7"/>
  <c r="U169" i="7" s="1"/>
  <c r="W183" i="3"/>
  <c r="AJ468" i="3"/>
  <c r="AI468" i="3"/>
  <c r="AK468" i="3"/>
  <c r="AL468" i="3"/>
  <c r="AL456" i="3"/>
  <c r="AK456" i="3"/>
  <c r="G456" i="3" s="1"/>
  <c r="AJ456" i="3"/>
  <c r="AI456" i="3"/>
  <c r="W354" i="3"/>
  <c r="W70" i="3"/>
  <c r="W63" i="3"/>
  <c r="X35" i="3"/>
  <c r="W64" i="3"/>
  <c r="W163" i="3"/>
  <c r="W173" i="3" s="1"/>
  <c r="W280" i="3" s="1"/>
  <c r="W319" i="3" s="1"/>
  <c r="X38" i="3"/>
  <c r="X134" i="3" s="1"/>
  <c r="L189" i="3"/>
  <c r="AL462" i="3"/>
  <c r="AK462" i="3"/>
  <c r="AJ462" i="3"/>
  <c r="AI462" i="3"/>
  <c r="AL450" i="3"/>
  <c r="AK450" i="3"/>
  <c r="G450" i="3" s="1"/>
  <c r="AJ450" i="3"/>
  <c r="AI450" i="3"/>
  <c r="AQ172" i="7"/>
  <c r="V26" i="5"/>
  <c r="U23" i="5"/>
  <c r="V130" i="7"/>
  <c r="V166" i="7" s="1"/>
  <c r="AS167" i="7"/>
  <c r="AS169" i="7" s="1"/>
  <c r="AS141" i="7"/>
  <c r="AS119" i="7"/>
  <c r="AS153" i="7" s="1"/>
  <c r="AA89" i="4"/>
  <c r="X4" i="4"/>
  <c r="Y5" i="4"/>
  <c r="T98" i="7"/>
  <c r="T37" i="7"/>
  <c r="U138" i="7"/>
  <c r="U116" i="7"/>
  <c r="U150" i="7" s="1"/>
  <c r="AL470" i="3"/>
  <c r="AK470" i="3"/>
  <c r="AJ470" i="3"/>
  <c r="AI470" i="3"/>
  <c r="X39" i="3"/>
  <c r="W37" i="3"/>
  <c r="AI451" i="3"/>
  <c r="AL451" i="3"/>
  <c r="AJ451" i="3"/>
  <c r="AK451" i="3"/>
  <c r="G451" i="3" s="1"/>
  <c r="W74" i="7"/>
  <c r="W92" i="7" s="1"/>
  <c r="X50" i="7"/>
  <c r="AR98" i="7"/>
  <c r="AR37" i="7"/>
  <c r="Y12" i="7"/>
  <c r="Z14" i="7"/>
  <c r="V146" i="4"/>
  <c r="W29" i="3"/>
  <c r="X47" i="7"/>
  <c r="W211" i="4"/>
  <c r="W208" i="4"/>
  <c r="W213" i="4"/>
  <c r="W210" i="4"/>
  <c r="W207" i="4"/>
  <c r="W209" i="4"/>
  <c r="W212" i="4"/>
  <c r="W198" i="4"/>
  <c r="W206" i="4"/>
  <c r="W201" i="4"/>
  <c r="W202" i="4"/>
  <c r="W200" i="4"/>
  <c r="W253" i="4"/>
  <c r="W255" i="4"/>
  <c r="W195" i="4"/>
  <c r="W256" i="4"/>
  <c r="W197" i="4"/>
  <c r="W254" i="4"/>
  <c r="W196" i="4"/>
  <c r="W199" i="4"/>
  <c r="M37" i="5"/>
  <c r="M32" i="5"/>
  <c r="M285" i="3"/>
  <c r="AS120" i="7"/>
  <c r="AS154" i="7" s="1"/>
  <c r="V214" i="4"/>
  <c r="AR355" i="3"/>
  <c r="AS319" i="3"/>
  <c r="V128" i="7"/>
  <c r="V164" i="7" s="1"/>
  <c r="AI463" i="3"/>
  <c r="AL463" i="3"/>
  <c r="AJ463" i="3"/>
  <c r="AK463" i="3"/>
  <c r="AI455" i="3"/>
  <c r="AL455" i="3"/>
  <c r="AJ455" i="3"/>
  <c r="AK455" i="3"/>
  <c r="G455" i="3" s="1"/>
  <c r="AL452" i="3"/>
  <c r="AK452" i="3"/>
  <c r="G452" i="3" s="1"/>
  <c r="AJ452" i="3"/>
  <c r="AI452" i="3"/>
  <c r="AB90" i="4"/>
  <c r="AB98" i="4"/>
  <c r="U181" i="4"/>
  <c r="U174" i="4"/>
  <c r="U511" i="3"/>
  <c r="U116" i="4"/>
  <c r="U518" i="3"/>
  <c r="V127" i="7"/>
  <c r="V163" i="7" s="1"/>
  <c r="V107" i="7"/>
  <c r="V139" i="7" s="1"/>
  <c r="W61" i="7"/>
  <c r="X147" i="4"/>
  <c r="W145" i="4"/>
  <c r="AS118" i="7"/>
  <c r="AS152" i="7" s="1"/>
  <c r="AA97" i="4"/>
  <c r="AA91" i="4"/>
  <c r="AA93" i="4"/>
  <c r="AL467" i="3"/>
  <c r="AK467" i="3"/>
  <c r="AJ467" i="3"/>
  <c r="AI467" i="3"/>
  <c r="AL464" i="3"/>
  <c r="AK464" i="3"/>
  <c r="AJ464" i="3"/>
  <c r="AI464" i="3"/>
  <c r="AB88" i="4"/>
  <c r="Z48" i="7"/>
  <c r="AK447" i="3"/>
  <c r="AL447" i="3"/>
  <c r="AM447" i="3"/>
  <c r="AN447" i="3"/>
  <c r="AO447" i="3"/>
  <c r="AP447" i="3"/>
  <c r="AQ447" i="3"/>
  <c r="AR447" i="3"/>
  <c r="AS447" i="3"/>
  <c r="AI453" i="3"/>
  <c r="AL453" i="3"/>
  <c r="AJ453" i="3"/>
  <c r="AK453" i="3"/>
  <c r="G453" i="3" s="1"/>
  <c r="Y49" i="7"/>
  <c r="Y46" i="7"/>
  <c r="AS93" i="7"/>
  <c r="AS95" i="7" s="1"/>
  <c r="X60" i="7"/>
  <c r="L153" i="4"/>
  <c r="M151" i="4" s="1"/>
  <c r="L194" i="4"/>
  <c r="V129" i="7"/>
  <c r="V165" i="7" s="1"/>
  <c r="V109" i="7"/>
  <c r="V141" i="7" s="1"/>
  <c r="W63" i="7"/>
  <c r="V73" i="7"/>
  <c r="V91" i="7" s="1"/>
  <c r="U75" i="7"/>
  <c r="V203" i="4"/>
  <c r="V192" i="3"/>
  <c r="V214" i="3" s="1"/>
  <c r="W184" i="3"/>
  <c r="U140" i="7"/>
  <c r="U118" i="7"/>
  <c r="U152" i="7" s="1"/>
  <c r="AL466" i="3"/>
  <c r="AK466" i="3"/>
  <c r="AI466" i="3"/>
  <c r="AJ466" i="3"/>
  <c r="AK465" i="3"/>
  <c r="AJ465" i="3"/>
  <c r="AI465" i="3"/>
  <c r="AL465" i="3"/>
  <c r="AL454" i="3"/>
  <c r="AK454" i="3"/>
  <c r="G454" i="3" s="1"/>
  <c r="AJ454" i="3"/>
  <c r="AI454" i="3"/>
  <c r="W181" i="3"/>
  <c r="U80" i="7" l="1"/>
  <c r="U81" i="7" s="1"/>
  <c r="U77" i="7"/>
  <c r="AS80" i="7"/>
  <c r="AS81" i="7" s="1"/>
  <c r="AS77" i="7"/>
  <c r="T38" i="7"/>
  <c r="T145" i="7"/>
  <c r="U98" i="7"/>
  <c r="U99" i="7" s="1"/>
  <c r="U95" i="7"/>
  <c r="AR39" i="7"/>
  <c r="AR36" i="7" s="1"/>
  <c r="AR210" i="3" s="1"/>
  <c r="AR157" i="7"/>
  <c r="T171" i="7"/>
  <c r="AT40" i="7"/>
  <c r="AR171" i="7"/>
  <c r="U40" i="7"/>
  <c r="AS40" i="7"/>
  <c r="K518" i="3"/>
  <c r="M92" i="3"/>
  <c r="M96" i="3" s="1"/>
  <c r="N90" i="3" s="1"/>
  <c r="L288" i="3"/>
  <c r="L245" i="4"/>
  <c r="L114" i="4" s="1"/>
  <c r="AT4" i="4"/>
  <c r="V191" i="3"/>
  <c r="AO271" i="3"/>
  <c r="M56" i="3"/>
  <c r="N83" i="3"/>
  <c r="AB219" i="3"/>
  <c r="N73" i="3"/>
  <c r="W167" i="3"/>
  <c r="W176" i="3" s="1"/>
  <c r="W483" i="3" s="1"/>
  <c r="U75" i="5"/>
  <c r="U76" i="5" s="1"/>
  <c r="V118" i="4"/>
  <c r="AQ372" i="3"/>
  <c r="T78" i="5"/>
  <c r="T298" i="3" s="1"/>
  <c r="X185" i="3"/>
  <c r="W193" i="3"/>
  <c r="AT88" i="7"/>
  <c r="AT93" i="7" s="1"/>
  <c r="AT95" i="7" s="1"/>
  <c r="AT75" i="7"/>
  <c r="AT143" i="7"/>
  <c r="AT145" i="7" s="1"/>
  <c r="AT116" i="7"/>
  <c r="AT150" i="7" s="1"/>
  <c r="AT155" i="7" s="1"/>
  <c r="X261" i="4"/>
  <c r="AS355" i="3"/>
  <c r="AT319" i="3"/>
  <c r="AT355" i="3" s="1"/>
  <c r="W126" i="7"/>
  <c r="W162" i="7" s="1"/>
  <c r="U37" i="7"/>
  <c r="T99" i="7"/>
  <c r="V93" i="7"/>
  <c r="W106" i="7"/>
  <c r="W138" i="7" s="1"/>
  <c r="AR172" i="7"/>
  <c r="T172" i="7"/>
  <c r="V118" i="7"/>
  <c r="V152" i="7" s="1"/>
  <c r="W130" i="7"/>
  <c r="W166" i="7" s="1"/>
  <c r="V217" i="3"/>
  <c r="V216" i="3" s="1"/>
  <c r="V117" i="7"/>
  <c r="V151" i="7" s="1"/>
  <c r="T39" i="7"/>
  <c r="AS143" i="7"/>
  <c r="V142" i="7"/>
  <c r="V120" i="7"/>
  <c r="V154" i="7" s="1"/>
  <c r="AS155" i="7"/>
  <c r="V519" i="3"/>
  <c r="V512" i="3"/>
  <c r="V138" i="7"/>
  <c r="V116" i="7"/>
  <c r="V150" i="7" s="1"/>
  <c r="AS98" i="7"/>
  <c r="AS37" i="7"/>
  <c r="AL457" i="3"/>
  <c r="W127" i="7"/>
  <c r="W163" i="7" s="1"/>
  <c r="W107" i="7"/>
  <c r="W139" i="7" s="1"/>
  <c r="X61" i="7"/>
  <c r="X71" i="7" s="1"/>
  <c r="X89" i="7" s="1"/>
  <c r="AC90" i="4"/>
  <c r="W203" i="4"/>
  <c r="Y4" i="4"/>
  <c r="Z5" i="4"/>
  <c r="W26" i="5"/>
  <c r="V23" i="5"/>
  <c r="Y38" i="3"/>
  <c r="Y134" i="3" s="1"/>
  <c r="X163" i="3"/>
  <c r="X173" i="3" s="1"/>
  <c r="X280" i="3" s="1"/>
  <c r="X319" i="3" s="1"/>
  <c r="AB95" i="4"/>
  <c r="V75" i="7"/>
  <c r="G461" i="3"/>
  <c r="AK471" i="3"/>
  <c r="AK232" i="3" s="1"/>
  <c r="AC88" i="4"/>
  <c r="X211" i="4"/>
  <c r="X208" i="4"/>
  <c r="X213" i="4"/>
  <c r="X210" i="4"/>
  <c r="X207" i="4"/>
  <c r="X212" i="4"/>
  <c r="X209" i="4"/>
  <c r="X197" i="4"/>
  <c r="X206" i="4"/>
  <c r="X200" i="4"/>
  <c r="X253" i="4"/>
  <c r="X201" i="4"/>
  <c r="X195" i="4"/>
  <c r="X256" i="4"/>
  <c r="X202" i="4"/>
  <c r="X198" i="4"/>
  <c r="X255" i="4"/>
  <c r="X196" i="4"/>
  <c r="X199" i="4"/>
  <c r="X254" i="4"/>
  <c r="W355" i="3"/>
  <c r="W444" i="3"/>
  <c r="U216" i="3"/>
  <c r="AA48" i="7"/>
  <c r="V181" i="4"/>
  <c r="V174" i="4"/>
  <c r="Y39" i="3"/>
  <c r="X37" i="3"/>
  <c r="U155" i="7"/>
  <c r="X42" i="3"/>
  <c r="W41" i="3"/>
  <c r="W146" i="4"/>
  <c r="X29" i="3"/>
  <c r="X183" i="3"/>
  <c r="AC99" i="4"/>
  <c r="AC94" i="4"/>
  <c r="V70" i="5"/>
  <c r="U67" i="5"/>
  <c r="U525" i="3"/>
  <c r="U541" i="3" s="1"/>
  <c r="W214" i="4"/>
  <c r="AA14" i="7"/>
  <c r="Z12" i="7"/>
  <c r="U143" i="7"/>
  <c r="U145" i="7" s="1"/>
  <c r="AB89" i="4"/>
  <c r="X354" i="3"/>
  <c r="X64" i="3"/>
  <c r="Y35" i="3"/>
  <c r="X70" i="3"/>
  <c r="X63" i="3"/>
  <c r="Y62" i="7"/>
  <c r="X72" i="7"/>
  <c r="X90" i="7" s="1"/>
  <c r="U526" i="3"/>
  <c r="U542" i="3" s="1"/>
  <c r="AB97" i="4"/>
  <c r="W129" i="7"/>
  <c r="W165" i="7" s="1"/>
  <c r="W109" i="7"/>
  <c r="W141" i="7" s="1"/>
  <c r="X63" i="7"/>
  <c r="W73" i="7"/>
  <c r="W91" i="7" s="1"/>
  <c r="L533" i="3"/>
  <c r="L212" i="4"/>
  <c r="L200" i="4"/>
  <c r="L201" i="4"/>
  <c r="L210" i="4"/>
  <c r="L206" i="4"/>
  <c r="L199" i="4"/>
  <c r="L207" i="4"/>
  <c r="L195" i="4"/>
  <c r="L196" i="4"/>
  <c r="L208" i="4"/>
  <c r="L202" i="4"/>
  <c r="L209" i="4"/>
  <c r="L197" i="4"/>
  <c r="L198" i="4"/>
  <c r="L211" i="4"/>
  <c r="L213" i="4"/>
  <c r="AB91" i="4"/>
  <c r="W257" i="4"/>
  <c r="Y47" i="7"/>
  <c r="Y17" i="7"/>
  <c r="X19" i="7"/>
  <c r="X18" i="7"/>
  <c r="W108" i="7"/>
  <c r="W190" i="3"/>
  <c r="X182" i="3"/>
  <c r="AC92" i="4"/>
  <c r="W71" i="7"/>
  <c r="W89" i="7" s="1"/>
  <c r="AR99" i="7"/>
  <c r="V119" i="7"/>
  <c r="V153" i="7" s="1"/>
  <c r="X51" i="7"/>
  <c r="X53" i="7" s="1"/>
  <c r="Y147" i="4"/>
  <c r="X145" i="4"/>
  <c r="M35" i="5"/>
  <c r="M286" i="3"/>
  <c r="Y64" i="7"/>
  <c r="V167" i="7"/>
  <c r="V169" i="7" s="1"/>
  <c r="K525" i="3"/>
  <c r="V116" i="4"/>
  <c r="V518" i="3"/>
  <c r="V511" i="3"/>
  <c r="Z49" i="7"/>
  <c r="G447" i="3"/>
  <c r="AK457" i="3"/>
  <c r="AB93" i="4"/>
  <c r="Z46" i="7"/>
  <c r="X74" i="7"/>
  <c r="X92" i="7" s="1"/>
  <c r="Y50" i="7"/>
  <c r="W192" i="3"/>
  <c r="W214" i="3" s="1"/>
  <c r="X184" i="3"/>
  <c r="Y60" i="7"/>
  <c r="Y70" i="7" s="1"/>
  <c r="X181" i="3"/>
  <c r="X70" i="7"/>
  <c r="AC98" i="4"/>
  <c r="N31" i="5"/>
  <c r="M290" i="3"/>
  <c r="W110" i="7"/>
  <c r="AL471" i="3"/>
  <c r="AL232" i="3" s="1"/>
  <c r="T36" i="7" l="1"/>
  <c r="V98" i="7"/>
  <c r="V95" i="7"/>
  <c r="U39" i="7"/>
  <c r="U157" i="7"/>
  <c r="V80" i="7"/>
  <c r="V81" i="7" s="1"/>
  <c r="V77" i="7"/>
  <c r="AS38" i="7"/>
  <c r="AS36" i="7" s="1"/>
  <c r="AS210" i="3" s="1"/>
  <c r="AS145" i="7"/>
  <c r="AT39" i="7"/>
  <c r="AT157" i="7"/>
  <c r="AS39" i="7"/>
  <c r="AS157" i="7"/>
  <c r="AT80" i="7"/>
  <c r="AT81" i="7" s="1"/>
  <c r="AT77" i="7"/>
  <c r="U171" i="7"/>
  <c r="AS171" i="7"/>
  <c r="AT171" i="7"/>
  <c r="V40" i="7"/>
  <c r="L516" i="3"/>
  <c r="M62" i="3"/>
  <c r="M66" i="3" s="1"/>
  <c r="N60" i="3" s="1"/>
  <c r="U296" i="3"/>
  <c r="M97" i="3"/>
  <c r="M57" i="3"/>
  <c r="N50" i="3" s="1"/>
  <c r="L509" i="3"/>
  <c r="M165" i="3"/>
  <c r="M174" i="3" s="1"/>
  <c r="AP271" i="3"/>
  <c r="AC219" i="3"/>
  <c r="W191" i="3"/>
  <c r="X167" i="3"/>
  <c r="X176" i="3" s="1"/>
  <c r="X483" i="3" s="1"/>
  <c r="N75" i="3"/>
  <c r="N74" i="3"/>
  <c r="U80" i="5"/>
  <c r="V75" i="5" s="1"/>
  <c r="V76" i="5" s="1"/>
  <c r="V296" i="3" s="1"/>
  <c r="U77" i="5"/>
  <c r="Y185" i="3"/>
  <c r="AT37" i="7"/>
  <c r="AT98" i="7"/>
  <c r="AT99" i="7" s="1"/>
  <c r="AT38" i="7"/>
  <c r="AT172" i="7"/>
  <c r="Y261" i="4"/>
  <c r="X214" i="4"/>
  <c r="Y51" i="7"/>
  <c r="Y53" i="7" s="1"/>
  <c r="V37" i="7"/>
  <c r="W116" i="7"/>
  <c r="W150" i="7" s="1"/>
  <c r="X126" i="7"/>
  <c r="X162" i="7" s="1"/>
  <c r="X130" i="7"/>
  <c r="X166" i="7" s="1"/>
  <c r="V525" i="3"/>
  <c r="V541" i="3" s="1"/>
  <c r="X128" i="7"/>
  <c r="X164" i="7" s="1"/>
  <c r="X110" i="7"/>
  <c r="X142" i="7" s="1"/>
  <c r="W117" i="7"/>
  <c r="W151" i="7" s="1"/>
  <c r="AS172" i="7"/>
  <c r="X106" i="7"/>
  <c r="X138" i="7" s="1"/>
  <c r="W167" i="7"/>
  <c r="W169" i="7" s="1"/>
  <c r="W75" i="7"/>
  <c r="W93" i="7"/>
  <c r="V526" i="3"/>
  <c r="V542" i="3" s="1"/>
  <c r="N37" i="5"/>
  <c r="N32" i="5"/>
  <c r="N285" i="3"/>
  <c r="Y145" i="4"/>
  <c r="Z147" i="4"/>
  <c r="AD92" i="4"/>
  <c r="W118" i="4"/>
  <c r="W512" i="3"/>
  <c r="W217" i="3"/>
  <c r="W519" i="3"/>
  <c r="X108" i="7"/>
  <c r="V143" i="7"/>
  <c r="V145" i="7" s="1"/>
  <c r="AB14" i="7"/>
  <c r="AA12" i="7"/>
  <c r="W70" i="5"/>
  <c r="V67" i="5"/>
  <c r="AD99" i="4"/>
  <c r="Y37" i="3"/>
  <c r="Z39" i="3"/>
  <c r="X203" i="4"/>
  <c r="W116" i="4"/>
  <c r="W518" i="3"/>
  <c r="W511" i="3"/>
  <c r="L214" i="4"/>
  <c r="U172" i="7"/>
  <c r="U38" i="7"/>
  <c r="U36" i="7" s="1"/>
  <c r="AD94" i="4"/>
  <c r="AD98" i="4"/>
  <c r="AK473" i="3"/>
  <c r="AK233" i="3"/>
  <c r="W181" i="4"/>
  <c r="W174" i="4"/>
  <c r="AC95" i="4"/>
  <c r="Z38" i="3"/>
  <c r="Z134" i="3" s="1"/>
  <c r="Y163" i="3"/>
  <c r="Y173" i="3" s="1"/>
  <c r="Y280" i="3" s="1"/>
  <c r="Y319" i="3" s="1"/>
  <c r="AL473" i="3"/>
  <c r="AL233" i="3"/>
  <c r="Z64" i="7"/>
  <c r="AC97" i="4"/>
  <c r="AA46" i="7"/>
  <c r="X88" i="7"/>
  <c r="Y181" i="3"/>
  <c r="Z447" i="3"/>
  <c r="Z457" i="3" s="1"/>
  <c r="R447" i="3"/>
  <c r="R457" i="3" s="1"/>
  <c r="J447" i="3"/>
  <c r="AG447" i="3"/>
  <c r="AG457" i="3" s="1"/>
  <c r="Y447" i="3"/>
  <c r="Y457" i="3" s="1"/>
  <c r="Q447" i="3"/>
  <c r="Q457" i="3" s="1"/>
  <c r="AF447" i="3"/>
  <c r="AF457" i="3" s="1"/>
  <c r="X447" i="3"/>
  <c r="X457" i="3" s="1"/>
  <c r="P447" i="3"/>
  <c r="P457" i="3" s="1"/>
  <c r="AE447" i="3"/>
  <c r="AE457" i="3" s="1"/>
  <c r="W447" i="3"/>
  <c r="W457" i="3" s="1"/>
  <c r="O447" i="3"/>
  <c r="AD447" i="3"/>
  <c r="AD457" i="3" s="1"/>
  <c r="V447" i="3"/>
  <c r="V457" i="3" s="1"/>
  <c r="N447" i="3"/>
  <c r="N457" i="3" s="1"/>
  <c r="AC447" i="3"/>
  <c r="AC457" i="3" s="1"/>
  <c r="U447" i="3"/>
  <c r="U457" i="3" s="1"/>
  <c r="M447" i="3"/>
  <c r="M457" i="3" s="1"/>
  <c r="AA447" i="3"/>
  <c r="AA457" i="3" s="1"/>
  <c r="S447" i="3"/>
  <c r="S457" i="3" s="1"/>
  <c r="K447" i="3"/>
  <c r="K457" i="3" s="1"/>
  <c r="L447" i="3"/>
  <c r="L457" i="3" s="1"/>
  <c r="T447" i="3"/>
  <c r="T457" i="3" s="1"/>
  <c r="AB447" i="3"/>
  <c r="AB457" i="3" s="1"/>
  <c r="M288" i="3"/>
  <c r="Y182" i="3"/>
  <c r="W119" i="7"/>
  <c r="W153" i="7" s="1"/>
  <c r="Y183" i="3"/>
  <c r="X355" i="3"/>
  <c r="X444" i="3"/>
  <c r="V99" i="7"/>
  <c r="Y19" i="7"/>
  <c r="Y18" i="7"/>
  <c r="Z17" i="7"/>
  <c r="Y42" i="3"/>
  <c r="X41" i="3"/>
  <c r="X257" i="4"/>
  <c r="W142" i="7"/>
  <c r="W120" i="7"/>
  <c r="W154" i="7" s="1"/>
  <c r="W140" i="7"/>
  <c r="W118" i="7"/>
  <c r="W152" i="7" s="1"/>
  <c r="X129" i="7"/>
  <c r="X165" i="7" s="1"/>
  <c r="X109" i="7"/>
  <c r="X141" i="7" s="1"/>
  <c r="Y63" i="7"/>
  <c r="X73" i="7"/>
  <c r="X91" i="7" s="1"/>
  <c r="AC89" i="4"/>
  <c r="AD90" i="4"/>
  <c r="AA49" i="7"/>
  <c r="Z60" i="7"/>
  <c r="Y74" i="7"/>
  <c r="Y92" i="7" s="1"/>
  <c r="Z50" i="7"/>
  <c r="K541" i="3"/>
  <c r="AC91" i="4"/>
  <c r="AB48" i="7"/>
  <c r="AF461" i="3"/>
  <c r="AF471" i="3" s="1"/>
  <c r="AF232" i="3" s="1"/>
  <c r="X461" i="3"/>
  <c r="X471" i="3" s="1"/>
  <c r="X232" i="3" s="1"/>
  <c r="P461" i="3"/>
  <c r="P471" i="3" s="1"/>
  <c r="P232" i="3" s="1"/>
  <c r="AE461" i="3"/>
  <c r="AE471" i="3" s="1"/>
  <c r="AE232" i="3" s="1"/>
  <c r="W461" i="3"/>
  <c r="W471" i="3" s="1"/>
  <c r="W232" i="3" s="1"/>
  <c r="O461" i="3"/>
  <c r="AD461" i="3"/>
  <c r="AD471" i="3" s="1"/>
  <c r="AD232" i="3" s="1"/>
  <c r="V461" i="3"/>
  <c r="V471" i="3" s="1"/>
  <c r="V232" i="3" s="1"/>
  <c r="N461" i="3"/>
  <c r="N471" i="3" s="1"/>
  <c r="N232" i="3" s="1"/>
  <c r="AC461" i="3"/>
  <c r="AC471" i="3" s="1"/>
  <c r="AC232" i="3" s="1"/>
  <c r="U461" i="3"/>
  <c r="U471" i="3" s="1"/>
  <c r="U232" i="3" s="1"/>
  <c r="M461" i="3"/>
  <c r="M471" i="3" s="1"/>
  <c r="M232" i="3" s="1"/>
  <c r="AB461" i="3"/>
  <c r="AB471" i="3" s="1"/>
  <c r="AB232" i="3" s="1"/>
  <c r="T461" i="3"/>
  <c r="T471" i="3" s="1"/>
  <c r="T232" i="3" s="1"/>
  <c r="L461" i="3"/>
  <c r="L471" i="3" s="1"/>
  <c r="L232" i="3" s="1"/>
  <c r="AA461" i="3"/>
  <c r="AA471" i="3" s="1"/>
  <c r="AA232" i="3" s="1"/>
  <c r="S461" i="3"/>
  <c r="S471" i="3" s="1"/>
  <c r="S232" i="3" s="1"/>
  <c r="K461" i="3"/>
  <c r="K471" i="3" s="1"/>
  <c r="K232" i="3" s="1"/>
  <c r="AG461" i="3"/>
  <c r="AG471" i="3" s="1"/>
  <c r="AG232" i="3" s="1"/>
  <c r="Y461" i="3"/>
  <c r="Y471" i="3" s="1"/>
  <c r="Y232" i="3" s="1"/>
  <c r="Q461" i="3"/>
  <c r="Q471" i="3" s="1"/>
  <c r="Q232" i="3" s="1"/>
  <c r="J461" i="3"/>
  <c r="Z461" i="3"/>
  <c r="Z471" i="3" s="1"/>
  <c r="Z232" i="3" s="1"/>
  <c r="R461" i="3"/>
  <c r="R471" i="3" s="1"/>
  <c r="R232" i="3" s="1"/>
  <c r="X26" i="5"/>
  <c r="W23" i="5"/>
  <c r="Y184" i="3"/>
  <c r="X192" i="3"/>
  <c r="X214" i="3" s="1"/>
  <c r="X146" i="4"/>
  <c r="Y29" i="3"/>
  <c r="AD88" i="4"/>
  <c r="Y88" i="7"/>
  <c r="AC93" i="4"/>
  <c r="Z47" i="7"/>
  <c r="L203" i="4"/>
  <c r="AA5" i="4"/>
  <c r="Z4" i="4"/>
  <c r="Z62" i="7"/>
  <c r="Y72" i="7"/>
  <c r="Y90" i="7" s="1"/>
  <c r="Y354" i="3"/>
  <c r="Y64" i="3"/>
  <c r="Z35" i="3"/>
  <c r="Y70" i="3"/>
  <c r="Y63" i="3"/>
  <c r="V155" i="7"/>
  <c r="Y208" i="4"/>
  <c r="Y213" i="4"/>
  <c r="Y210" i="4"/>
  <c r="Y207" i="4"/>
  <c r="Y212" i="4"/>
  <c r="Y209" i="4"/>
  <c r="Y211" i="4"/>
  <c r="Y195" i="4"/>
  <c r="Y201" i="4"/>
  <c r="Y256" i="4"/>
  <c r="Y200" i="4"/>
  <c r="Y202" i="4"/>
  <c r="Y198" i="4"/>
  <c r="Y253" i="4"/>
  <c r="Y255" i="4"/>
  <c r="Y197" i="4"/>
  <c r="Y206" i="4"/>
  <c r="Y196" i="4"/>
  <c r="Y199" i="4"/>
  <c r="Y254" i="4"/>
  <c r="X127" i="7"/>
  <c r="X163" i="7" s="1"/>
  <c r="X107" i="7"/>
  <c r="X139" i="7" s="1"/>
  <c r="Y61" i="7"/>
  <c r="AS99" i="7"/>
  <c r="W98" i="7" l="1"/>
  <c r="W99" i="7" s="1"/>
  <c r="W95" i="7"/>
  <c r="W80" i="7"/>
  <c r="W81" i="7" s="1"/>
  <c r="W77" i="7"/>
  <c r="V39" i="7"/>
  <c r="V157" i="7"/>
  <c r="W40" i="7"/>
  <c r="V171" i="7"/>
  <c r="L523" i="3"/>
  <c r="L539" i="3" s="1"/>
  <c r="M67" i="3"/>
  <c r="M58" i="3"/>
  <c r="M169" i="4"/>
  <c r="M238" i="4" s="1"/>
  <c r="M244" i="4" s="1"/>
  <c r="U297" i="3"/>
  <c r="M170" i="3"/>
  <c r="N168" i="4"/>
  <c r="AI168" i="4" s="1"/>
  <c r="AJ76" i="4"/>
  <c r="AJ77" i="4"/>
  <c r="AK77" i="4" s="1"/>
  <c r="AQ271" i="3"/>
  <c r="X191" i="3"/>
  <c r="AD219" i="3"/>
  <c r="Y167" i="3"/>
  <c r="Y176" i="3" s="1"/>
  <c r="Y483" i="3" s="1"/>
  <c r="N76" i="3"/>
  <c r="N80" i="3"/>
  <c r="N91" i="3"/>
  <c r="V80" i="5"/>
  <c r="AR372" i="3"/>
  <c r="AT372" i="3"/>
  <c r="Z185" i="3"/>
  <c r="Y193" i="3"/>
  <c r="AT36" i="7"/>
  <c r="AT210" i="3" s="1"/>
  <c r="Z261" i="4"/>
  <c r="AJ78" i="4"/>
  <c r="AK78" i="4" s="1"/>
  <c r="AL78" i="4" s="1"/>
  <c r="AM78" i="4" s="1"/>
  <c r="AN78" i="4" s="1"/>
  <c r="AO78" i="4" s="1"/>
  <c r="AP78" i="4" s="1"/>
  <c r="AQ78" i="4" s="1"/>
  <c r="AR78" i="4" s="1"/>
  <c r="AS78" i="4" s="1"/>
  <c r="AT78" i="4" s="1"/>
  <c r="AJ74" i="4"/>
  <c r="AK74" i="4" s="1"/>
  <c r="AJ79" i="4"/>
  <c r="AK79" i="4" s="1"/>
  <c r="AL79" i="4" s="1"/>
  <c r="AM79" i="4" s="1"/>
  <c r="AN79" i="4" s="1"/>
  <c r="AO79" i="4" s="1"/>
  <c r="AP79" i="4" s="1"/>
  <c r="AQ79" i="4" s="1"/>
  <c r="AR79" i="4" s="1"/>
  <c r="AS79" i="4" s="1"/>
  <c r="AT79" i="4" s="1"/>
  <c r="AK76" i="4"/>
  <c r="AJ75" i="4"/>
  <c r="AK75" i="4" s="1"/>
  <c r="AJ80" i="4"/>
  <c r="AK80" i="4" s="1"/>
  <c r="AL80" i="4" s="1"/>
  <c r="AM80" i="4" s="1"/>
  <c r="AN80" i="4" s="1"/>
  <c r="AO80" i="4" s="1"/>
  <c r="AP80" i="4" s="1"/>
  <c r="AQ80" i="4" s="1"/>
  <c r="AR80" i="4" s="1"/>
  <c r="AS80" i="4" s="1"/>
  <c r="AT80" i="4" s="1"/>
  <c r="Z51" i="7"/>
  <c r="Z53" i="7" s="1"/>
  <c r="Y108" i="7"/>
  <c r="Y140" i="7" s="1"/>
  <c r="X120" i="7"/>
  <c r="X154" i="7" s="1"/>
  <c r="Y106" i="7"/>
  <c r="Y138" i="7" s="1"/>
  <c r="X116" i="7"/>
  <c r="X150" i="7" s="1"/>
  <c r="W143" i="7"/>
  <c r="W526" i="3"/>
  <c r="W542" i="3" s="1"/>
  <c r="Y128" i="7"/>
  <c r="Y164" i="7" s="1"/>
  <c r="X117" i="7"/>
  <c r="X151" i="7" s="1"/>
  <c r="X119" i="7"/>
  <c r="X153" i="7" s="1"/>
  <c r="Y126" i="7"/>
  <c r="Y162" i="7" s="1"/>
  <c r="W155" i="7"/>
  <c r="W37" i="7"/>
  <c r="AK321" i="3"/>
  <c r="X167" i="7"/>
  <c r="X169" i="7" s="1"/>
  <c r="J471" i="3"/>
  <c r="J232" i="3" s="1"/>
  <c r="O471" i="3"/>
  <c r="O232" i="3" s="1"/>
  <c r="N92" i="3"/>
  <c r="N54" i="3"/>
  <c r="AB49" i="7"/>
  <c r="U473" i="3"/>
  <c r="U233" i="3"/>
  <c r="P233" i="3"/>
  <c r="P473" i="3"/>
  <c r="Z233" i="3"/>
  <c r="Z473" i="3"/>
  <c r="Z37" i="3"/>
  <c r="AA39" i="3"/>
  <c r="X70" i="5"/>
  <c r="W67" i="5"/>
  <c r="AE88" i="4"/>
  <c r="Z354" i="3"/>
  <c r="Z64" i="3"/>
  <c r="Z70" i="3"/>
  <c r="AA35" i="3"/>
  <c r="Z63" i="3"/>
  <c r="Y214" i="4"/>
  <c r="Y257" i="4"/>
  <c r="L116" i="4"/>
  <c r="L511" i="3"/>
  <c r="L518" i="3"/>
  <c r="AE90" i="4"/>
  <c r="Y129" i="7"/>
  <c r="Y165" i="7" s="1"/>
  <c r="Y109" i="7"/>
  <c r="Y141" i="7" s="1"/>
  <c r="Z63" i="7"/>
  <c r="Y73" i="7"/>
  <c r="Y91" i="7" s="1"/>
  <c r="T473" i="3"/>
  <c r="T233" i="3"/>
  <c r="N473" i="3"/>
  <c r="N233" i="3"/>
  <c r="AF233" i="3"/>
  <c r="AF473" i="3"/>
  <c r="AA64" i="7"/>
  <c r="AC14" i="7"/>
  <c r="AB12" i="7"/>
  <c r="Z19" i="7"/>
  <c r="Z18" i="7"/>
  <c r="AA17" i="7"/>
  <c r="AC473" i="3"/>
  <c r="AC233" i="3"/>
  <c r="AD93" i="4"/>
  <c r="Z74" i="7"/>
  <c r="Z92" i="7" s="1"/>
  <c r="AA50" i="7"/>
  <c r="AD89" i="4"/>
  <c r="L473" i="3"/>
  <c r="L233" i="3"/>
  <c r="V473" i="3"/>
  <c r="V233" i="3"/>
  <c r="Q233" i="3"/>
  <c r="Q473" i="3"/>
  <c r="Z181" i="3"/>
  <c r="AB46" i="7"/>
  <c r="AD97" i="4"/>
  <c r="Y110" i="7"/>
  <c r="AS372" i="3"/>
  <c r="AE94" i="4"/>
  <c r="AE99" i="4"/>
  <c r="V172" i="7"/>
  <c r="V38" i="7"/>
  <c r="Z145" i="4"/>
  <c r="AA147" i="4"/>
  <c r="X118" i="4"/>
  <c r="X512" i="3"/>
  <c r="X519" i="3"/>
  <c r="X217" i="3"/>
  <c r="X216" i="3" s="1"/>
  <c r="AB473" i="3"/>
  <c r="AB233" i="3"/>
  <c r="Y203" i="4"/>
  <c r="Y192" i="3"/>
  <c r="Y214" i="3" s="1"/>
  <c r="Z184" i="3"/>
  <c r="Y26" i="5"/>
  <c r="X23" i="5"/>
  <c r="Y190" i="3"/>
  <c r="Z182" i="3"/>
  <c r="K233" i="3"/>
  <c r="K473" i="3"/>
  <c r="AD473" i="3"/>
  <c r="AD233" i="3"/>
  <c r="Y233" i="3"/>
  <c r="Y473" i="3"/>
  <c r="Y355" i="3"/>
  <c r="Y444" i="3"/>
  <c r="X140" i="7"/>
  <c r="X118" i="7"/>
  <c r="X152" i="7" s="1"/>
  <c r="X233" i="3"/>
  <c r="X473" i="3"/>
  <c r="AA62" i="7"/>
  <c r="Z72" i="7"/>
  <c r="Z90" i="7" s="1"/>
  <c r="Z213" i="4"/>
  <c r="Z210" i="4"/>
  <c r="Z207" i="4"/>
  <c r="Z212" i="4"/>
  <c r="Z209" i="4"/>
  <c r="Z208" i="4"/>
  <c r="Z211" i="4"/>
  <c r="AJ52" i="4"/>
  <c r="AK52" i="4" s="1"/>
  <c r="AJ18" i="4"/>
  <c r="AK18" i="4" s="1"/>
  <c r="AJ8" i="4"/>
  <c r="AK8" i="4" s="1"/>
  <c r="AJ58" i="4"/>
  <c r="AK58" i="4" s="1"/>
  <c r="AJ71" i="4"/>
  <c r="AK71" i="4" s="1"/>
  <c r="AL71" i="4" s="1"/>
  <c r="AM71" i="4" s="1"/>
  <c r="AN71" i="4" s="1"/>
  <c r="AO71" i="4" s="1"/>
  <c r="AP71" i="4" s="1"/>
  <c r="AQ71" i="4" s="1"/>
  <c r="AR71" i="4" s="1"/>
  <c r="AS71" i="4" s="1"/>
  <c r="AT71" i="4" s="1"/>
  <c r="AJ49" i="4"/>
  <c r="AK49" i="4" s="1"/>
  <c r="AJ25" i="4"/>
  <c r="AK25" i="4" s="1"/>
  <c r="AJ28" i="4"/>
  <c r="AK28" i="4" s="1"/>
  <c r="AJ45" i="4"/>
  <c r="AK45" i="4" s="1"/>
  <c r="AJ21" i="4"/>
  <c r="AK21" i="4" s="1"/>
  <c r="AJ32" i="4"/>
  <c r="AK32" i="4" s="1"/>
  <c r="AJ50" i="4"/>
  <c r="AK50" i="4" s="1"/>
  <c r="AJ56" i="4"/>
  <c r="AK56" i="4" s="1"/>
  <c r="AJ47" i="4"/>
  <c r="AK47" i="4" s="1"/>
  <c r="AJ22" i="4"/>
  <c r="AK22" i="4" s="1"/>
  <c r="AJ10" i="4"/>
  <c r="AK10" i="4" s="1"/>
  <c r="AJ42" i="4"/>
  <c r="AK42" i="4" s="1"/>
  <c r="AJ14" i="4"/>
  <c r="AK14" i="4" s="1"/>
  <c r="AJ23" i="4"/>
  <c r="AK23" i="4" s="1"/>
  <c r="AJ40" i="4"/>
  <c r="AK40" i="4" s="1"/>
  <c r="AJ39" i="4"/>
  <c r="AK39" i="4" s="1"/>
  <c r="AJ11" i="4"/>
  <c r="AK11" i="4" s="1"/>
  <c r="AJ57" i="4"/>
  <c r="AK57" i="4" s="1"/>
  <c r="AL57" i="4" s="1"/>
  <c r="AJ9" i="4"/>
  <c r="AK9" i="4" s="1"/>
  <c r="AJ55" i="4"/>
  <c r="AK55" i="4" s="1"/>
  <c r="AJ46" i="4"/>
  <c r="AK46" i="4" s="1"/>
  <c r="AJ51" i="4"/>
  <c r="AK51" i="4" s="1"/>
  <c r="AJ30" i="4"/>
  <c r="AK30" i="4" s="1"/>
  <c r="AJ12" i="4"/>
  <c r="AK12" i="4" s="1"/>
  <c r="AJ62" i="4"/>
  <c r="AK62" i="4" s="1"/>
  <c r="AJ65" i="4"/>
  <c r="AK65" i="4" s="1"/>
  <c r="AJ36" i="4"/>
  <c r="AK36" i="4" s="1"/>
  <c r="AJ24" i="4"/>
  <c r="AK24" i="4" s="1"/>
  <c r="AJ66" i="4"/>
  <c r="AK66" i="4" s="1"/>
  <c r="AJ13" i="4"/>
  <c r="AK13" i="4" s="1"/>
  <c r="AJ59" i="4"/>
  <c r="AK59" i="4" s="1"/>
  <c r="AJ19" i="4"/>
  <c r="AK19" i="4" s="1"/>
  <c r="AJ61" i="4"/>
  <c r="AK61" i="4" s="1"/>
  <c r="AJ15" i="4"/>
  <c r="AK15" i="4" s="1"/>
  <c r="AJ41" i="4"/>
  <c r="AK41" i="4" s="1"/>
  <c r="Z195" i="4"/>
  <c r="AJ60" i="4"/>
  <c r="AK60" i="4" s="1"/>
  <c r="Z201" i="4"/>
  <c r="AJ68" i="4"/>
  <c r="AK68" i="4" s="1"/>
  <c r="Z197" i="4"/>
  <c r="AJ70" i="4"/>
  <c r="AK70" i="4" s="1"/>
  <c r="AL70" i="4" s="1"/>
  <c r="AM70" i="4" s="1"/>
  <c r="AN70" i="4" s="1"/>
  <c r="AO70" i="4" s="1"/>
  <c r="AP70" i="4" s="1"/>
  <c r="AQ70" i="4" s="1"/>
  <c r="AR70" i="4" s="1"/>
  <c r="AS70" i="4" s="1"/>
  <c r="AT70" i="4" s="1"/>
  <c r="AJ31" i="4"/>
  <c r="AK31" i="4" s="1"/>
  <c r="Z202" i="4"/>
  <c r="AJ29" i="4"/>
  <c r="AK29" i="4" s="1"/>
  <c r="AJ67" i="4"/>
  <c r="AK67" i="4" s="1"/>
  <c r="Z255" i="4"/>
  <c r="Z206" i="4"/>
  <c r="Z253" i="4"/>
  <c r="AJ48" i="4"/>
  <c r="AK48" i="4" s="1"/>
  <c r="Z200" i="4"/>
  <c r="AJ37" i="4"/>
  <c r="AK37" i="4" s="1"/>
  <c r="AJ20" i="4"/>
  <c r="AK20" i="4" s="1"/>
  <c r="Z198" i="4"/>
  <c r="Z256" i="4"/>
  <c r="AJ69" i="4"/>
  <c r="AK69" i="4" s="1"/>
  <c r="AL69" i="4" s="1"/>
  <c r="AM69" i="4" s="1"/>
  <c r="AN69" i="4" s="1"/>
  <c r="AO69" i="4" s="1"/>
  <c r="AP69" i="4" s="1"/>
  <c r="AQ69" i="4" s="1"/>
  <c r="AR69" i="4" s="1"/>
  <c r="AS69" i="4" s="1"/>
  <c r="AT69" i="4" s="1"/>
  <c r="AJ38" i="4"/>
  <c r="AK38" i="4" s="1"/>
  <c r="Z254" i="4"/>
  <c r="Z199" i="4"/>
  <c r="Z196" i="4"/>
  <c r="AJ33" i="4"/>
  <c r="AK33" i="4" s="1"/>
  <c r="AA47" i="7"/>
  <c r="AA60" i="7"/>
  <c r="S233" i="3"/>
  <c r="S473" i="3"/>
  <c r="O457" i="3"/>
  <c r="AG233" i="3"/>
  <c r="AG473" i="3"/>
  <c r="X75" i="7"/>
  <c r="Z70" i="7"/>
  <c r="Y130" i="7"/>
  <c r="Y166" i="7" s="1"/>
  <c r="AA38" i="3"/>
  <c r="AA134" i="3" s="1"/>
  <c r="Z163" i="3"/>
  <c r="Z173" i="3" s="1"/>
  <c r="Z280" i="3" s="1"/>
  <c r="Z319" i="3" s="1"/>
  <c r="X116" i="4"/>
  <c r="X518" i="3"/>
  <c r="X511" i="3"/>
  <c r="N35" i="5"/>
  <c r="N286" i="3"/>
  <c r="Y127" i="7"/>
  <c r="Y163" i="7" s="1"/>
  <c r="Y107" i="7"/>
  <c r="Y139" i="7" s="1"/>
  <c r="Z61" i="7"/>
  <c r="AB5" i="4"/>
  <c r="AA4" i="4"/>
  <c r="Y71" i="7"/>
  <c r="Y89" i="7" s="1"/>
  <c r="Y146" i="4"/>
  <c r="Z29" i="3"/>
  <c r="M152" i="4"/>
  <c r="AA233" i="3"/>
  <c r="AA473" i="3"/>
  <c r="W473" i="3"/>
  <c r="W233" i="3"/>
  <c r="J457" i="3"/>
  <c r="X93" i="7"/>
  <c r="X95" i="7" s="1"/>
  <c r="AD95" i="4"/>
  <c r="AE98" i="4"/>
  <c r="W525" i="3"/>
  <c r="W541" i="3" s="1"/>
  <c r="O31" i="5"/>
  <c r="N290" i="3"/>
  <c r="M189" i="3"/>
  <c r="X174" i="4"/>
  <c r="X181" i="4"/>
  <c r="AC48" i="7"/>
  <c r="AD91" i="4"/>
  <c r="Z42" i="3"/>
  <c r="Y41" i="3"/>
  <c r="Z183" i="3"/>
  <c r="M473" i="3"/>
  <c r="M233" i="3"/>
  <c r="AE473" i="3"/>
  <c r="AE233" i="3"/>
  <c r="R233" i="3"/>
  <c r="R473" i="3"/>
  <c r="AL321" i="3"/>
  <c r="W216" i="3"/>
  <c r="AE92" i="4"/>
  <c r="V36" i="7" l="1"/>
  <c r="W39" i="7"/>
  <c r="W157" i="7"/>
  <c r="X80" i="7"/>
  <c r="X81" i="7" s="1"/>
  <c r="X77" i="7"/>
  <c r="W38" i="7"/>
  <c r="W145" i="7"/>
  <c r="X40" i="7"/>
  <c r="W171" i="7"/>
  <c r="M239" i="4"/>
  <c r="M240" i="4"/>
  <c r="M241" i="4"/>
  <c r="M531" i="3"/>
  <c r="M243" i="4"/>
  <c r="M242" i="4"/>
  <c r="AR271" i="3"/>
  <c r="AE219" i="3"/>
  <c r="W75" i="5"/>
  <c r="K321" i="3"/>
  <c r="N55" i="3"/>
  <c r="N93" i="3"/>
  <c r="O69" i="3"/>
  <c r="N77" i="3"/>
  <c r="Y191" i="3"/>
  <c r="N82" i="3"/>
  <c r="U78" i="5"/>
  <c r="U298" i="3" s="1"/>
  <c r="J188" i="3"/>
  <c r="AA185" i="3"/>
  <c r="Z193" i="3"/>
  <c r="AA261" i="4"/>
  <c r="AL77" i="4"/>
  <c r="AL76" i="4"/>
  <c r="AL75" i="4"/>
  <c r="AL74" i="4"/>
  <c r="Y118" i="7"/>
  <c r="Y152" i="7" s="1"/>
  <c r="Y116" i="7"/>
  <c r="Y150" i="7" s="1"/>
  <c r="U321" i="3"/>
  <c r="AA51" i="7"/>
  <c r="AA53" i="7" s="1"/>
  <c r="W172" i="7"/>
  <c r="Z321" i="3"/>
  <c r="AC321" i="3"/>
  <c r="P321" i="3"/>
  <c r="N321" i="3"/>
  <c r="Z108" i="7"/>
  <c r="Z140" i="7" s="1"/>
  <c r="Z106" i="7"/>
  <c r="Z138" i="7" s="1"/>
  <c r="V321" i="3"/>
  <c r="Z126" i="7"/>
  <c r="Z162" i="7" s="1"/>
  <c r="L321" i="3"/>
  <c r="Y93" i="7"/>
  <c r="AD321" i="3"/>
  <c r="X526" i="3"/>
  <c r="X542" i="3" s="1"/>
  <c r="L525" i="3"/>
  <c r="L541" i="3" s="1"/>
  <c r="Y167" i="7"/>
  <c r="Y169" i="7" s="1"/>
  <c r="AF321" i="3"/>
  <c r="Y117" i="7"/>
  <c r="Y151" i="7" s="1"/>
  <c r="Z128" i="7"/>
  <c r="Z164" i="7" s="1"/>
  <c r="Z203" i="4"/>
  <c r="Z110" i="7"/>
  <c r="Z142" i="7" s="1"/>
  <c r="Q321" i="3"/>
  <c r="AL25" i="4"/>
  <c r="AK235" i="4"/>
  <c r="AD14" i="7"/>
  <c r="AC12" i="7"/>
  <c r="AF88" i="4"/>
  <c r="Y321" i="3"/>
  <c r="AA210" i="4"/>
  <c r="AA207" i="4"/>
  <c r="AA212" i="4"/>
  <c r="AA209" i="4"/>
  <c r="AA211" i="4"/>
  <c r="AA213" i="4"/>
  <c r="AA208" i="4"/>
  <c r="AA197" i="4"/>
  <c r="AA200" i="4"/>
  <c r="AA253" i="4"/>
  <c r="AA255" i="4"/>
  <c r="AA206" i="4"/>
  <c r="AA195" i="4"/>
  <c r="AA198" i="4"/>
  <c r="AA202" i="4"/>
  <c r="AA256" i="4"/>
  <c r="AA201" i="4"/>
  <c r="AA254" i="4"/>
  <c r="AA196" i="4"/>
  <c r="AA199" i="4"/>
  <c r="AL65" i="4"/>
  <c r="AL22" i="4"/>
  <c r="AK232" i="4"/>
  <c r="AC5" i="4"/>
  <c r="AB4" i="4"/>
  <c r="AL38" i="4"/>
  <c r="AL37" i="4"/>
  <c r="AL61" i="4"/>
  <c r="AL62" i="4"/>
  <c r="AL49" i="4"/>
  <c r="AK199" i="4"/>
  <c r="AA42" i="3"/>
  <c r="Z41" i="3"/>
  <c r="M153" i="4"/>
  <c r="N151" i="4" s="1"/>
  <c r="M194" i="4"/>
  <c r="Z127" i="7"/>
  <c r="Z163" i="7" s="1"/>
  <c r="Z107" i="7"/>
  <c r="Z139" i="7" s="1"/>
  <c r="AA61" i="7"/>
  <c r="AA71" i="7" s="1"/>
  <c r="AA89" i="7" s="1"/>
  <c r="Z355" i="3"/>
  <c r="Z444" i="3"/>
  <c r="AL67" i="4"/>
  <c r="AL68" i="4"/>
  <c r="AL19" i="4"/>
  <c r="AK229" i="4"/>
  <c r="AL12" i="4"/>
  <c r="AL39" i="4"/>
  <c r="AL56" i="4"/>
  <c r="Y142" i="7"/>
  <c r="Y120" i="7"/>
  <c r="Y154" i="7" s="1"/>
  <c r="AG321" i="3"/>
  <c r="AC49" i="7"/>
  <c r="AB64" i="7"/>
  <c r="R321" i="3"/>
  <c r="AL11" i="4"/>
  <c r="X98" i="7"/>
  <c r="X37" i="7"/>
  <c r="Z146" i="4"/>
  <c r="AA29" i="3"/>
  <c r="X525" i="3"/>
  <c r="X541" i="3" s="1"/>
  <c r="AA163" i="3"/>
  <c r="AA173" i="3" s="1"/>
  <c r="AA280" i="3" s="1"/>
  <c r="AA319" i="3" s="1"/>
  <c r="AB38" i="3"/>
  <c r="AB134" i="3" s="1"/>
  <c r="AL59" i="4"/>
  <c r="AL30" i="4"/>
  <c r="AL40" i="4"/>
  <c r="AL50" i="4"/>
  <c r="AK200" i="4"/>
  <c r="AK208" i="4"/>
  <c r="AL58" i="4"/>
  <c r="Z26" i="5"/>
  <c r="Y23" i="5"/>
  <c r="Y116" i="4"/>
  <c r="Y511" i="3"/>
  <c r="Y518" i="3"/>
  <c r="AE97" i="4"/>
  <c r="Z130" i="7"/>
  <c r="Z166" i="7" s="1"/>
  <c r="AF90" i="4"/>
  <c r="Z167" i="3"/>
  <c r="Z176" i="3" s="1"/>
  <c r="Z483" i="3" s="1"/>
  <c r="Y70" i="5"/>
  <c r="X67" i="5"/>
  <c r="N62" i="3"/>
  <c r="AL15" i="4"/>
  <c r="AM57" i="4"/>
  <c r="AF94" i="4"/>
  <c r="AA181" i="3"/>
  <c r="AL33" i="4"/>
  <c r="AL47" i="4"/>
  <c r="AK197" i="4"/>
  <c r="Y174" i="4"/>
  <c r="Y181" i="4"/>
  <c r="O473" i="3"/>
  <c r="O233" i="3"/>
  <c r="AL48" i="4"/>
  <c r="AK198" i="4"/>
  <c r="AL60" i="4"/>
  <c r="AL13" i="4"/>
  <c r="AL51" i="4"/>
  <c r="AK201" i="4"/>
  <c r="AL23" i="4"/>
  <c r="AK233" i="4"/>
  <c r="AL32" i="4"/>
  <c r="AL8" i="4"/>
  <c r="Z190" i="3"/>
  <c r="AA182" i="3"/>
  <c r="X321" i="3"/>
  <c r="Z192" i="3"/>
  <c r="Z214" i="3" s="1"/>
  <c r="AA184" i="3"/>
  <c r="AA145" i="4"/>
  <c r="AB147" i="4"/>
  <c r="AA74" i="7"/>
  <c r="AA92" i="7" s="1"/>
  <c r="AB50" i="7"/>
  <c r="AB321" i="3"/>
  <c r="Z129" i="7"/>
  <c r="Z165" i="7" s="1"/>
  <c r="Z109" i="7"/>
  <c r="Z141" i="7" s="1"/>
  <c r="AA63" i="7"/>
  <c r="Z73" i="7"/>
  <c r="Z91" i="7" s="1"/>
  <c r="Y118" i="4"/>
  <c r="Y512" i="3"/>
  <c r="Y519" i="3"/>
  <c r="Y217" i="3"/>
  <c r="AA354" i="3"/>
  <c r="AB35" i="3"/>
  <c r="AA37" i="3"/>
  <c r="AB39" i="3"/>
  <c r="AE321" i="3"/>
  <c r="X155" i="7"/>
  <c r="O37" i="5"/>
  <c r="O32" i="5"/>
  <c r="O285" i="3"/>
  <c r="J233" i="3"/>
  <c r="J473" i="3"/>
  <c r="AB47" i="7"/>
  <c r="AL29" i="4"/>
  <c r="AL66" i="4"/>
  <c r="AL14" i="4"/>
  <c r="AC46" i="7"/>
  <c r="AE93" i="4"/>
  <c r="AA19" i="7"/>
  <c r="AA18" i="7"/>
  <c r="AB17" i="7"/>
  <c r="AF92" i="4"/>
  <c r="AF98" i="4"/>
  <c r="N288" i="3"/>
  <c r="AB60" i="7"/>
  <c r="AB70" i="7" s="1"/>
  <c r="S321" i="3"/>
  <c r="Z71" i="7"/>
  <c r="Z89" i="7" s="1"/>
  <c r="Z214" i="4"/>
  <c r="AL24" i="4"/>
  <c r="AK234" i="4"/>
  <c r="AL55" i="4"/>
  <c r="AL42" i="4"/>
  <c r="AL45" i="4"/>
  <c r="AK195" i="4"/>
  <c r="AL52" i="4"/>
  <c r="AK202" i="4"/>
  <c r="Y75" i="7"/>
  <c r="AF99" i="4"/>
  <c r="Y119" i="7"/>
  <c r="Y153" i="7" s="1"/>
  <c r="X143" i="7"/>
  <c r="X145" i="7" s="1"/>
  <c r="T321" i="3"/>
  <c r="Z257" i="4"/>
  <c r="AL46" i="4"/>
  <c r="AK196" i="4"/>
  <c r="AL21" i="4"/>
  <c r="AK231" i="4"/>
  <c r="AL18" i="4"/>
  <c r="AK228" i="4"/>
  <c r="AA183" i="3"/>
  <c r="AE91" i="4"/>
  <c r="AD48" i="7"/>
  <c r="AE95" i="4"/>
  <c r="AA321" i="3"/>
  <c r="Z88" i="7"/>
  <c r="AL20" i="4"/>
  <c r="AK230" i="4"/>
  <c r="AL31" i="4"/>
  <c r="AL41" i="4"/>
  <c r="AL36" i="4"/>
  <c r="AL9" i="4"/>
  <c r="AL10" i="4"/>
  <c r="AL28" i="4"/>
  <c r="AB62" i="7"/>
  <c r="AA72" i="7"/>
  <c r="AA90" i="7" s="1"/>
  <c r="AA70" i="7"/>
  <c r="AE89" i="4"/>
  <c r="M321" i="3"/>
  <c r="W321" i="3"/>
  <c r="W36" i="7" l="1"/>
  <c r="Y37" i="7"/>
  <c r="Y95" i="7"/>
  <c r="X39" i="7"/>
  <c r="X157" i="7"/>
  <c r="Y80" i="7"/>
  <c r="Y81" i="7" s="1"/>
  <c r="Y77" i="7"/>
  <c r="X171" i="7"/>
  <c r="Y40" i="7"/>
  <c r="M245" i="4"/>
  <c r="W80" i="5"/>
  <c r="X75" i="5" s="1"/>
  <c r="X76" i="5" s="1"/>
  <c r="X296" i="3" s="1"/>
  <c r="W76" i="5"/>
  <c r="W296" i="3" s="1"/>
  <c r="N96" i="3"/>
  <c r="AS271" i="3"/>
  <c r="AF219" i="3"/>
  <c r="O83" i="3"/>
  <c r="N56" i="3"/>
  <c r="N165" i="3" s="1"/>
  <c r="O73" i="3"/>
  <c r="J321" i="3"/>
  <c r="O321" i="3"/>
  <c r="N66" i="3"/>
  <c r="V78" i="5"/>
  <c r="V298" i="3" s="1"/>
  <c r="AB185" i="3"/>
  <c r="AA193" i="3"/>
  <c r="AB261" i="4"/>
  <c r="AM74" i="4"/>
  <c r="AM75" i="4"/>
  <c r="AM76" i="4"/>
  <c r="AM77" i="4"/>
  <c r="Y98" i="7"/>
  <c r="AB51" i="7"/>
  <c r="AB53" i="7" s="1"/>
  <c r="AA214" i="4"/>
  <c r="Z118" i="7"/>
  <c r="Z152" i="7" s="1"/>
  <c r="Z116" i="7"/>
  <c r="Z150" i="7" s="1"/>
  <c r="X99" i="7"/>
  <c r="Z191" i="3"/>
  <c r="AA126" i="7"/>
  <c r="AA162" i="7" s="1"/>
  <c r="Z518" i="3"/>
  <c r="Z511" i="3"/>
  <c r="Z116" i="4"/>
  <c r="AA108" i="7"/>
  <c r="AA140" i="7" s="1"/>
  <c r="AA106" i="7"/>
  <c r="AA138" i="7" s="1"/>
  <c r="Y155" i="7"/>
  <c r="Z120" i="7"/>
  <c r="Z154" i="7" s="1"/>
  <c r="AA110" i="7"/>
  <c r="AA142" i="7" s="1"/>
  <c r="Z167" i="7"/>
  <c r="Z169" i="7" s="1"/>
  <c r="AA128" i="7"/>
  <c r="AA164" i="7" s="1"/>
  <c r="Z117" i="7"/>
  <c r="Z151" i="7" s="1"/>
  <c r="Z93" i="7"/>
  <c r="Z75" i="7"/>
  <c r="AB88" i="7"/>
  <c r="AM41" i="4"/>
  <c r="AE48" i="7"/>
  <c r="AB163" i="3"/>
  <c r="AB173" i="3" s="1"/>
  <c r="AB280" i="3" s="1"/>
  <c r="AB319" i="3" s="1"/>
  <c r="AC38" i="3"/>
  <c r="AC134" i="3" s="1"/>
  <c r="AM56" i="4"/>
  <c r="AM68" i="4"/>
  <c r="AM52" i="4"/>
  <c r="AG94" i="4"/>
  <c r="AF97" i="4"/>
  <c r="AA88" i="7"/>
  <c r="AM10" i="4"/>
  <c r="AM31" i="4"/>
  <c r="AF91" i="4"/>
  <c r="AM21" i="4"/>
  <c r="Z118" i="4"/>
  <c r="Z512" i="3"/>
  <c r="Z519" i="3"/>
  <c r="Z217" i="3"/>
  <c r="Z216" i="3" s="1"/>
  <c r="AK203" i="4"/>
  <c r="AB145" i="4"/>
  <c r="AC147" i="4"/>
  <c r="AM33" i="4"/>
  <c r="Z70" i="5"/>
  <c r="Y67" i="5"/>
  <c r="AA26" i="5"/>
  <c r="Z23" i="5"/>
  <c r="AM40" i="4"/>
  <c r="AA130" i="7"/>
  <c r="AA166" i="7" s="1"/>
  <c r="AM39" i="4"/>
  <c r="AM67" i="4"/>
  <c r="AA127" i="7"/>
  <c r="AA163" i="7" s="1"/>
  <c r="AA107" i="7"/>
  <c r="AA139" i="7" s="1"/>
  <c r="AB61" i="7"/>
  <c r="AB71" i="7" s="1"/>
  <c r="AB89" i="7" s="1"/>
  <c r="Y143" i="7"/>
  <c r="Y145" i="7" s="1"/>
  <c r="AM22" i="4"/>
  <c r="AM47" i="4"/>
  <c r="AM25" i="4"/>
  <c r="AM24" i="4"/>
  <c r="AB19" i="7"/>
  <c r="AB18" i="7"/>
  <c r="AB108" i="7" s="1"/>
  <c r="AC17" i="7"/>
  <c r="AA355" i="3"/>
  <c r="AA444" i="3"/>
  <c r="AM37" i="4"/>
  <c r="AC62" i="7"/>
  <c r="AB72" i="7"/>
  <c r="AB90" i="7" s="1"/>
  <c r="AM45" i="4"/>
  <c r="AM66" i="4"/>
  <c r="AB37" i="3"/>
  <c r="AC39" i="3"/>
  <c r="Y216" i="3"/>
  <c r="AA129" i="7"/>
  <c r="AA165" i="7" s="1"/>
  <c r="AA109" i="7"/>
  <c r="AA141" i="7" s="1"/>
  <c r="AB63" i="7"/>
  <c r="AA73" i="7"/>
  <c r="AA91" i="7" s="1"/>
  <c r="AM51" i="4"/>
  <c r="AD49" i="7"/>
  <c r="AM49" i="4"/>
  <c r="AM38" i="4"/>
  <c r="AG88" i="4"/>
  <c r="AM28" i="4"/>
  <c r="X172" i="7"/>
  <c r="X38" i="7"/>
  <c r="AG99" i="4"/>
  <c r="AB74" i="7"/>
  <c r="AB92" i="7" s="1"/>
  <c r="AC50" i="7"/>
  <c r="AM14" i="4"/>
  <c r="AA190" i="3"/>
  <c r="AB182" i="3"/>
  <c r="AF89" i="4"/>
  <c r="AM9" i="4"/>
  <c r="AM20" i="4"/>
  <c r="AM46" i="4"/>
  <c r="AG98" i="4"/>
  <c r="AF93" i="4"/>
  <c r="Y526" i="3"/>
  <c r="Y542" i="3" s="1"/>
  <c r="AA192" i="3"/>
  <c r="AA214" i="3" s="1"/>
  <c r="AB184" i="3"/>
  <c r="Y525" i="3"/>
  <c r="Y541" i="3" s="1"/>
  <c r="AM30" i="4"/>
  <c r="AA146" i="4"/>
  <c r="AB29" i="3"/>
  <c r="AM12" i="4"/>
  <c r="AB207" i="4"/>
  <c r="AB212" i="4"/>
  <c r="AB209" i="4"/>
  <c r="AB211" i="4"/>
  <c r="AB208" i="4"/>
  <c r="AB210" i="4"/>
  <c r="AB213" i="4"/>
  <c r="AB202" i="4"/>
  <c r="AB255" i="4"/>
  <c r="AB253" i="4"/>
  <c r="AB256" i="4"/>
  <c r="AB195" i="4"/>
  <c r="AB201" i="4"/>
  <c r="AB206" i="4"/>
  <c r="AB197" i="4"/>
  <c r="AB198" i="4"/>
  <c r="AB200" i="4"/>
  <c r="AB254" i="4"/>
  <c r="AB196" i="4"/>
  <c r="AB199" i="4"/>
  <c r="AM65" i="4"/>
  <c r="AM18" i="4"/>
  <c r="AA41" i="3"/>
  <c r="AB42" i="3"/>
  <c r="P31" i="5"/>
  <c r="O290" i="3"/>
  <c r="AM48" i="4"/>
  <c r="AM36" i="4"/>
  <c r="AF95" i="4"/>
  <c r="AM42" i="4"/>
  <c r="AC60" i="7"/>
  <c r="AC70" i="7" s="1"/>
  <c r="AM29" i="4"/>
  <c r="AM8" i="4"/>
  <c r="AM13" i="4"/>
  <c r="AN57" i="4"/>
  <c r="AG90" i="4"/>
  <c r="AM58" i="4"/>
  <c r="Z174" i="4"/>
  <c r="Z181" i="4"/>
  <c r="AM62" i="4"/>
  <c r="AD5" i="4"/>
  <c r="AC4" i="4"/>
  <c r="AD46" i="7"/>
  <c r="AG92" i="4"/>
  <c r="AC47" i="7"/>
  <c r="Z119" i="7"/>
  <c r="Z153" i="7" s="1"/>
  <c r="AM19" i="4"/>
  <c r="AA203" i="4"/>
  <c r="AA257" i="4"/>
  <c r="O35" i="5"/>
  <c r="O286" i="3"/>
  <c r="AB354" i="3"/>
  <c r="AC35" i="3"/>
  <c r="AB70" i="3"/>
  <c r="AM50" i="4"/>
  <c r="AE14" i="7"/>
  <c r="AD12" i="7"/>
  <c r="AM23" i="4"/>
  <c r="AB183" i="3"/>
  <c r="AA191" i="3"/>
  <c r="AK236" i="4"/>
  <c r="AM55" i="4"/>
  <c r="AM32" i="4"/>
  <c r="AM60" i="4"/>
  <c r="AB181" i="3"/>
  <c r="AM15" i="4"/>
  <c r="AM59" i="4"/>
  <c r="AM11" i="4"/>
  <c r="AC64" i="7"/>
  <c r="M533" i="3"/>
  <c r="M209" i="4"/>
  <c r="M197" i="4"/>
  <c r="M206" i="4"/>
  <c r="M198" i="4"/>
  <c r="M207" i="4"/>
  <c r="M199" i="4"/>
  <c r="M211" i="4"/>
  <c r="M196" i="4"/>
  <c r="M212" i="4"/>
  <c r="M200" i="4"/>
  <c r="M213" i="4"/>
  <c r="M195" i="4"/>
  <c r="M201" i="4"/>
  <c r="M202" i="4"/>
  <c r="M208" i="4"/>
  <c r="M210" i="4"/>
  <c r="AM61" i="4"/>
  <c r="X36" i="7" l="1"/>
  <c r="Y39" i="7"/>
  <c r="Y157" i="7"/>
  <c r="Z80" i="7"/>
  <c r="Z81" i="7" s="1"/>
  <c r="Z77" i="7"/>
  <c r="Z98" i="7"/>
  <c r="Z99" i="7" s="1"/>
  <c r="Z95" i="7"/>
  <c r="Z40" i="7"/>
  <c r="Y171" i="7"/>
  <c r="M509" i="3"/>
  <c r="M114" i="4"/>
  <c r="M516" i="3"/>
  <c r="X80" i="5"/>
  <c r="N97" i="3"/>
  <c r="O90" i="3"/>
  <c r="W78" i="5"/>
  <c r="AT271" i="3"/>
  <c r="N57" i="3"/>
  <c r="AG219" i="3"/>
  <c r="N67" i="3"/>
  <c r="N169" i="4"/>
  <c r="AI169" i="4" s="1"/>
  <c r="AI238" i="4" s="1"/>
  <c r="O74" i="3"/>
  <c r="O75" i="3"/>
  <c r="O60" i="3"/>
  <c r="Y99" i="7"/>
  <c r="AC185" i="3"/>
  <c r="AB193" i="3"/>
  <c r="AC261" i="4"/>
  <c r="AN77" i="4"/>
  <c r="AN76" i="4"/>
  <c r="AN75" i="4"/>
  <c r="AN74" i="4"/>
  <c r="AC51" i="7"/>
  <c r="AC53" i="7" s="1"/>
  <c r="Z143" i="7"/>
  <c r="Z525" i="3"/>
  <c r="Z541" i="3" s="1"/>
  <c r="AA118" i="7"/>
  <c r="AA152" i="7" s="1"/>
  <c r="AB130" i="7"/>
  <c r="AB166" i="7" s="1"/>
  <c r="AA116" i="7"/>
  <c r="AA150" i="7" s="1"/>
  <c r="AA117" i="7"/>
  <c r="AA151" i="7" s="1"/>
  <c r="AA120" i="7"/>
  <c r="AA154" i="7" s="1"/>
  <c r="AA119" i="7"/>
  <c r="AA153" i="7" s="1"/>
  <c r="AB126" i="7"/>
  <c r="AB162" i="7" s="1"/>
  <c r="AB128" i="7"/>
  <c r="AB164" i="7" s="1"/>
  <c r="AA167" i="7"/>
  <c r="AA169" i="7" s="1"/>
  <c r="AA75" i="7"/>
  <c r="Z155" i="7"/>
  <c r="Z37" i="7"/>
  <c r="AB110" i="7"/>
  <c r="AB142" i="7" s="1"/>
  <c r="AB140" i="7"/>
  <c r="AB118" i="7"/>
  <c r="AB152" i="7" s="1"/>
  <c r="AC18" i="7"/>
  <c r="AD17" i="7"/>
  <c r="AC19" i="7"/>
  <c r="AA118" i="4"/>
  <c r="AA512" i="3"/>
  <c r="AA519" i="3"/>
  <c r="AA217" i="3"/>
  <c r="M203" i="4"/>
  <c r="AN23" i="4"/>
  <c r="AA116" i="4"/>
  <c r="AA511" i="3"/>
  <c r="AA518" i="3"/>
  <c r="AN42" i="4"/>
  <c r="AN48" i="4"/>
  <c r="AB41" i="3"/>
  <c r="AC42" i="3"/>
  <c r="AN12" i="4"/>
  <c r="AN30" i="4"/>
  <c r="AN14" i="4"/>
  <c r="AN38" i="4"/>
  <c r="AN25" i="4"/>
  <c r="AN40" i="4"/>
  <c r="AC145" i="4"/>
  <c r="AD147" i="4"/>
  <c r="AN68" i="4"/>
  <c r="M214" i="4"/>
  <c r="AN59" i="4"/>
  <c r="AN29" i="4"/>
  <c r="AN10" i="4"/>
  <c r="AN49" i="4"/>
  <c r="AN66" i="4"/>
  <c r="AN47" i="4"/>
  <c r="AN67" i="4"/>
  <c r="AB26" i="5"/>
  <c r="AA23" i="5"/>
  <c r="AN61" i="4"/>
  <c r="AN60" i="4"/>
  <c r="AC354" i="3"/>
  <c r="AC70" i="3"/>
  <c r="AD35" i="3"/>
  <c r="AN8" i="4"/>
  <c r="AD60" i="7"/>
  <c r="AG95" i="4"/>
  <c r="AB257" i="4"/>
  <c r="AN9" i="4"/>
  <c r="AN37" i="4"/>
  <c r="AA93" i="7"/>
  <c r="AA95" i="7" s="1"/>
  <c r="AN52" i="4"/>
  <c r="AN11" i="4"/>
  <c r="AN55" i="4"/>
  <c r="AE12" i="7"/>
  <c r="AF14" i="7"/>
  <c r="AO57" i="4"/>
  <c r="P32" i="5"/>
  <c r="P37" i="5"/>
  <c r="P285" i="3"/>
  <c r="AB214" i="4"/>
  <c r="AN22" i="4"/>
  <c r="AN56" i="4"/>
  <c r="AB191" i="3"/>
  <c r="AC183" i="3"/>
  <c r="AN50" i="4"/>
  <c r="AC212" i="4"/>
  <c r="AC209" i="4"/>
  <c r="AC211" i="4"/>
  <c r="AC208" i="4"/>
  <c r="AC213" i="4"/>
  <c r="AC207" i="4"/>
  <c r="AC210" i="4"/>
  <c r="AC201" i="4"/>
  <c r="AC256" i="4"/>
  <c r="AC206" i="4"/>
  <c r="AC202" i="4"/>
  <c r="AC198" i="4"/>
  <c r="AC197" i="4"/>
  <c r="AC253" i="4"/>
  <c r="AC255" i="4"/>
  <c r="AC195" i="4"/>
  <c r="AC200" i="4"/>
  <c r="AC199" i="4"/>
  <c r="AC196" i="4"/>
  <c r="AC254" i="4"/>
  <c r="AB106" i="7"/>
  <c r="AN18" i="4"/>
  <c r="AN65" i="4"/>
  <c r="AB192" i="3"/>
  <c r="AB214" i="3" s="1"/>
  <c r="AC184" i="3"/>
  <c r="AN28" i="4"/>
  <c r="AD62" i="7"/>
  <c r="AC72" i="7"/>
  <c r="AC90" i="7" s="1"/>
  <c r="Y172" i="7"/>
  <c r="Y38" i="7"/>
  <c r="AN39" i="4"/>
  <c r="AA70" i="5"/>
  <c r="Z67" i="5"/>
  <c r="AN21" i="4"/>
  <c r="AF48" i="7"/>
  <c r="AC74" i="7"/>
  <c r="AC92" i="7" s="1"/>
  <c r="AD50" i="7"/>
  <c r="AD47" i="7"/>
  <c r="AD64" i="7"/>
  <c r="AN15" i="4"/>
  <c r="AN32" i="4"/>
  <c r="AN19" i="4"/>
  <c r="AE46" i="7"/>
  <c r="AE5" i="4"/>
  <c r="AD4" i="4"/>
  <c r="AN36" i="4"/>
  <c r="AB203" i="4"/>
  <c r="AB146" i="4"/>
  <c r="AC29" i="3"/>
  <c r="AN46" i="4"/>
  <c r="AB190" i="3"/>
  <c r="AC182" i="3"/>
  <c r="AN51" i="4"/>
  <c r="AC37" i="3"/>
  <c r="AD39" i="3"/>
  <c r="AN24" i="4"/>
  <c r="AB127" i="7"/>
  <c r="AB163" i="7" s="1"/>
  <c r="AB107" i="7"/>
  <c r="AB139" i="7" s="1"/>
  <c r="AC61" i="7"/>
  <c r="AC71" i="7" s="1"/>
  <c r="AC89" i="7" s="1"/>
  <c r="Z526" i="3"/>
  <c r="Z542" i="3" s="1"/>
  <c r="AG91" i="4"/>
  <c r="N170" i="3"/>
  <c r="N174" i="3"/>
  <c r="N189" i="3" s="1"/>
  <c r="AN20" i="4"/>
  <c r="AE49" i="7"/>
  <c r="AN45" i="4"/>
  <c r="O288" i="3"/>
  <c r="AC88" i="7"/>
  <c r="AN58" i="4"/>
  <c r="AA174" i="4"/>
  <c r="AA181" i="4"/>
  <c r="AG93" i="4"/>
  <c r="AG89" i="4"/>
  <c r="AN33" i="4"/>
  <c r="AG97" i="4"/>
  <c r="AD38" i="3"/>
  <c r="AD134" i="3" s="1"/>
  <c r="AC163" i="3"/>
  <c r="AC173" i="3" s="1"/>
  <c r="AC280" i="3" s="1"/>
  <c r="AC319" i="3" s="1"/>
  <c r="AN13" i="4"/>
  <c r="AC181" i="3"/>
  <c r="AN62" i="4"/>
  <c r="AB129" i="7"/>
  <c r="AB165" i="7" s="1"/>
  <c r="AB109" i="7"/>
  <c r="AB141" i="7" s="1"/>
  <c r="AC63" i="7"/>
  <c r="AB73" i="7"/>
  <c r="AB91" i="7" s="1"/>
  <c r="AB93" i="7" s="1"/>
  <c r="AB95" i="7" s="1"/>
  <c r="AN31" i="4"/>
  <c r="AB444" i="3"/>
  <c r="AB355" i="3"/>
  <c r="AN41" i="4"/>
  <c r="Y36" i="7" l="1"/>
  <c r="Z38" i="7"/>
  <c r="Z145" i="7"/>
  <c r="Z39" i="7"/>
  <c r="Z157" i="7"/>
  <c r="AA80" i="7"/>
  <c r="AA81" i="7" s="1"/>
  <c r="AA77" i="7"/>
  <c r="AA40" i="7"/>
  <c r="Z171" i="7"/>
  <c r="M523" i="3"/>
  <c r="M539" i="3" s="1"/>
  <c r="X78" i="5"/>
  <c r="X298" i="3" s="1"/>
  <c r="W298" i="3"/>
  <c r="Y75" i="5"/>
  <c r="N58" i="3"/>
  <c r="N152" i="4" s="1"/>
  <c r="N194" i="4" s="1"/>
  <c r="O50" i="3"/>
  <c r="O168" i="4"/>
  <c r="N238" i="4"/>
  <c r="N242" i="4" s="1"/>
  <c r="O76" i="3"/>
  <c r="P69" i="3" s="1"/>
  <c r="O91" i="3"/>
  <c r="O80" i="3"/>
  <c r="AD185" i="3"/>
  <c r="AC193" i="3"/>
  <c r="AD261" i="4"/>
  <c r="AO75" i="4"/>
  <c r="AO74" i="4"/>
  <c r="AO76" i="4"/>
  <c r="AO77" i="4"/>
  <c r="AC126" i="7"/>
  <c r="AC162" i="7" s="1"/>
  <c r="AC130" i="7"/>
  <c r="AC166" i="7" s="1"/>
  <c r="AD51" i="7"/>
  <c r="AD53" i="7" s="1"/>
  <c r="AB117" i="7"/>
  <c r="AB151" i="7" s="1"/>
  <c r="AB167" i="7"/>
  <c r="AB169" i="7" s="1"/>
  <c r="AA155" i="7"/>
  <c r="AB120" i="7"/>
  <c r="AB154" i="7" s="1"/>
  <c r="AA143" i="7"/>
  <c r="Z172" i="7"/>
  <c r="AC128" i="7"/>
  <c r="AC164" i="7" s="1"/>
  <c r="AB70" i="5"/>
  <c r="AA67" i="5"/>
  <c r="AC191" i="3"/>
  <c r="AD183" i="3"/>
  <c r="AO49" i="4"/>
  <c r="AO31" i="4"/>
  <c r="AB119" i="7"/>
  <c r="AB153" i="7" s="1"/>
  <c r="AO20" i="4"/>
  <c r="AO51" i="4"/>
  <c r="AB116" i="4"/>
  <c r="AB511" i="3"/>
  <c r="AB518" i="3"/>
  <c r="AE4" i="4"/>
  <c r="AF5" i="4"/>
  <c r="AO21" i="4"/>
  <c r="AO39" i="4"/>
  <c r="AO65" i="4"/>
  <c r="AO56" i="4"/>
  <c r="AP57" i="4"/>
  <c r="AC106" i="7"/>
  <c r="AO61" i="4"/>
  <c r="AO15" i="4"/>
  <c r="AE60" i="7"/>
  <c r="AE70" i="7" s="1"/>
  <c r="AB181" i="4"/>
  <c r="AB174" i="4"/>
  <c r="AO30" i="4"/>
  <c r="AF12" i="7"/>
  <c r="AG14" i="7"/>
  <c r="AG12" i="7" s="1"/>
  <c r="AO9" i="4"/>
  <c r="AD354" i="3"/>
  <c r="AD70" i="3"/>
  <c r="AE35" i="3"/>
  <c r="AC26" i="5"/>
  <c r="AB23" i="5"/>
  <c r="AO29" i="4"/>
  <c r="AD145" i="4"/>
  <c r="AE147" i="4"/>
  <c r="AO12" i="4"/>
  <c r="AC146" i="4"/>
  <c r="AD29" i="3"/>
  <c r="AE47" i="7"/>
  <c r="AO42" i="4"/>
  <c r="AO36" i="4"/>
  <c r="AC110" i="7"/>
  <c r="AC127" i="7"/>
  <c r="AC163" i="7" s="1"/>
  <c r="AC107" i="7"/>
  <c r="AC139" i="7" s="1"/>
  <c r="AD61" i="7"/>
  <c r="AC190" i="3"/>
  <c r="AD182" i="3"/>
  <c r="AF46" i="7"/>
  <c r="AO19" i="4"/>
  <c r="AE62" i="7"/>
  <c r="AD72" i="7"/>
  <c r="AD90" i="7" s="1"/>
  <c r="AO18" i="4"/>
  <c r="AC203" i="4"/>
  <c r="AO52" i="4"/>
  <c r="AO37" i="4"/>
  <c r="AB118" i="4"/>
  <c r="AB519" i="3"/>
  <c r="AB512" i="3"/>
  <c r="AB217" i="3"/>
  <c r="AB216" i="3" s="1"/>
  <c r="AO68" i="4"/>
  <c r="AO38" i="4"/>
  <c r="AD42" i="3"/>
  <c r="AC41" i="3"/>
  <c r="AO22" i="4"/>
  <c r="AD209" i="4"/>
  <c r="AD211" i="4"/>
  <c r="AD208" i="4"/>
  <c r="AD213" i="4"/>
  <c r="AD210" i="4"/>
  <c r="AD212" i="4"/>
  <c r="AD207" i="4"/>
  <c r="AD202" i="4"/>
  <c r="AD201" i="4"/>
  <c r="AD200" i="4"/>
  <c r="AD253" i="4"/>
  <c r="AD197" i="4"/>
  <c r="AD256" i="4"/>
  <c r="AD195" i="4"/>
  <c r="AD255" i="4"/>
  <c r="AD198" i="4"/>
  <c r="AD206" i="4"/>
  <c r="AD196" i="4"/>
  <c r="AD254" i="4"/>
  <c r="AD199" i="4"/>
  <c r="AE64" i="7"/>
  <c r="AO11" i="4"/>
  <c r="AI531" i="3"/>
  <c r="AO13" i="4"/>
  <c r="AB75" i="7"/>
  <c r="AC108" i="7"/>
  <c r="AO50" i="4"/>
  <c r="AA98" i="7"/>
  <c r="AA37" i="7"/>
  <c r="AO8" i="4"/>
  <c r="AO67" i="4"/>
  <c r="AO66" i="4"/>
  <c r="AC129" i="7"/>
  <c r="AC165" i="7" s="1"/>
  <c r="AC109" i="7"/>
  <c r="AC141" i="7" s="1"/>
  <c r="AD63" i="7"/>
  <c r="AC73" i="7"/>
  <c r="AO62" i="4"/>
  <c r="AB98" i="7"/>
  <c r="AB37" i="7"/>
  <c r="AO41" i="4"/>
  <c r="AO45" i="4"/>
  <c r="AD70" i="7"/>
  <c r="AO32" i="4"/>
  <c r="AG48" i="7"/>
  <c r="AC214" i="4"/>
  <c r="Q31" i="5"/>
  <c r="P290" i="3"/>
  <c r="AO60" i="4"/>
  <c r="AO40" i="4"/>
  <c r="AA525" i="3"/>
  <c r="AA541" i="3" s="1"/>
  <c r="AO23" i="4"/>
  <c r="AA216" i="3"/>
  <c r="AE38" i="3"/>
  <c r="AE134" i="3" s="1"/>
  <c r="AD163" i="3"/>
  <c r="AD173" i="3" s="1"/>
  <c r="AD280" i="3" s="1"/>
  <c r="AD319" i="3" s="1"/>
  <c r="AO33" i="4"/>
  <c r="AO10" i="4"/>
  <c r="AD18" i="7"/>
  <c r="AE17" i="7"/>
  <c r="AD19" i="7"/>
  <c r="AD181" i="3"/>
  <c r="AO24" i="4"/>
  <c r="AO55" i="4"/>
  <c r="AO25" i="4"/>
  <c r="AC444" i="3"/>
  <c r="AC355" i="3"/>
  <c r="AO58" i="4"/>
  <c r="AF49" i="7"/>
  <c r="AE39" i="3"/>
  <c r="AD37" i="3"/>
  <c r="AO46" i="4"/>
  <c r="AD74" i="7"/>
  <c r="AD92" i="7" s="1"/>
  <c r="AE50" i="7"/>
  <c r="AO28" i="4"/>
  <c r="AC192" i="3"/>
  <c r="AC214" i="3" s="1"/>
  <c r="AD184" i="3"/>
  <c r="AB138" i="7"/>
  <c r="AB116" i="7"/>
  <c r="AB150" i="7" s="1"/>
  <c r="AC257" i="4"/>
  <c r="P35" i="5"/>
  <c r="P286" i="3"/>
  <c r="AO47" i="4"/>
  <c r="AO59" i="4"/>
  <c r="AO14" i="4"/>
  <c r="AO48" i="4"/>
  <c r="M511" i="3"/>
  <c r="M116" i="4"/>
  <c r="M518" i="3"/>
  <c r="AA526" i="3"/>
  <c r="AA542" i="3" s="1"/>
  <c r="Z36" i="7" l="1"/>
  <c r="AA39" i="7"/>
  <c r="AA157" i="7"/>
  <c r="AA38" i="7"/>
  <c r="AA145" i="7"/>
  <c r="AB80" i="7"/>
  <c r="AB81" i="7" s="1"/>
  <c r="AB77" i="7"/>
  <c r="AA171" i="7"/>
  <c r="AB40" i="7"/>
  <c r="N243" i="4"/>
  <c r="N240" i="4"/>
  <c r="N239" i="4"/>
  <c r="N531" i="3"/>
  <c r="N241" i="4"/>
  <c r="N244" i="4"/>
  <c r="Y80" i="5"/>
  <c r="Y76" i="5"/>
  <c r="Y296" i="3" s="1"/>
  <c r="O54" i="3"/>
  <c r="O92" i="3"/>
  <c r="O77" i="3"/>
  <c r="N153" i="4"/>
  <c r="AI153" i="4" s="1"/>
  <c r="AI152" i="4"/>
  <c r="O82" i="3"/>
  <c r="O93" i="3"/>
  <c r="P73" i="3"/>
  <c r="AE185" i="3"/>
  <c r="AD193" i="3"/>
  <c r="AE261" i="4"/>
  <c r="AP77" i="4"/>
  <c r="AP76" i="4"/>
  <c r="AP74" i="4"/>
  <c r="AP75" i="4"/>
  <c r="AD214" i="4"/>
  <c r="AA172" i="7"/>
  <c r="AD108" i="7"/>
  <c r="AD140" i="7" s="1"/>
  <c r="AC117" i="7"/>
  <c r="AC151" i="7" s="1"/>
  <c r="AC167" i="7"/>
  <c r="AC169" i="7" s="1"/>
  <c r="AC119" i="7"/>
  <c r="AC153" i="7" s="1"/>
  <c r="M525" i="3"/>
  <c r="M541" i="3" s="1"/>
  <c r="AB525" i="3"/>
  <c r="AB541" i="3" s="1"/>
  <c r="AE88" i="7"/>
  <c r="AP47" i="4"/>
  <c r="AC91" i="7"/>
  <c r="AC93" i="7" s="1"/>
  <c r="AC95" i="7" s="1"/>
  <c r="AC75" i="7"/>
  <c r="AP48" i="4"/>
  <c r="AP59" i="4"/>
  <c r="AP28" i="4"/>
  <c r="AP46" i="4"/>
  <c r="AP10" i="4"/>
  <c r="AP22" i="4"/>
  <c r="AP52" i="4"/>
  <c r="AP24" i="4"/>
  <c r="AP67" i="4"/>
  <c r="AP50" i="4"/>
  <c r="AP11" i="4"/>
  <c r="AD257" i="4"/>
  <c r="AC511" i="3"/>
  <c r="AC518" i="3"/>
  <c r="AC116" i="4"/>
  <c r="AD128" i="7"/>
  <c r="AD164" i="7" s="1"/>
  <c r="AD146" i="4"/>
  <c r="AE29" i="3"/>
  <c r="AP12" i="4"/>
  <c r="AI70" i="7"/>
  <c r="AI90" i="7"/>
  <c r="AI71" i="7"/>
  <c r="AI74" i="7"/>
  <c r="AI72" i="7"/>
  <c r="AI73" i="7"/>
  <c r="AI88" i="7"/>
  <c r="AF4" i="4"/>
  <c r="AG5" i="4"/>
  <c r="AG4" i="4" s="1"/>
  <c r="AP51" i="4"/>
  <c r="AC118" i="4"/>
  <c r="AC519" i="3"/>
  <c r="AC512" i="3"/>
  <c r="AC217" i="3"/>
  <c r="AP41" i="4"/>
  <c r="AP14" i="4"/>
  <c r="AF147" i="4"/>
  <c r="AE145" i="4"/>
  <c r="AQ57" i="4"/>
  <c r="AD355" i="3"/>
  <c r="AD444" i="3"/>
  <c r="AD41" i="3"/>
  <c r="AE42" i="3"/>
  <c r="AP18" i="4"/>
  <c r="AP20" i="4"/>
  <c r="AC70" i="5"/>
  <c r="AB67" i="5"/>
  <c r="AB143" i="7"/>
  <c r="AB145" i="7" s="1"/>
  <c r="AF39" i="3"/>
  <c r="AE37" i="3"/>
  <c r="AF38" i="3"/>
  <c r="AF134" i="3" s="1"/>
  <c r="AE163" i="3"/>
  <c r="AE173" i="3" s="1"/>
  <c r="AE280" i="3" s="1"/>
  <c r="AE319" i="3" s="1"/>
  <c r="AP40" i="4"/>
  <c r="AP32" i="4"/>
  <c r="AF64" i="7"/>
  <c r="AB526" i="3"/>
  <c r="AB542" i="3" s="1"/>
  <c r="AD106" i="7"/>
  <c r="AP61" i="4"/>
  <c r="AP56" i="4"/>
  <c r="AP21" i="4"/>
  <c r="AE181" i="3"/>
  <c r="AC140" i="7"/>
  <c r="AC118" i="7"/>
  <c r="AC152" i="7" s="1"/>
  <c r="AE182" i="3"/>
  <c r="AD190" i="3"/>
  <c r="AC181" i="4"/>
  <c r="AC174" i="4"/>
  <c r="AP15" i="4"/>
  <c r="AE211" i="4"/>
  <c r="AE208" i="4"/>
  <c r="AE213" i="4"/>
  <c r="AE210" i="4"/>
  <c r="AE207" i="4"/>
  <c r="AE209" i="4"/>
  <c r="AE212" i="4"/>
  <c r="AE195" i="4"/>
  <c r="AE197" i="4"/>
  <c r="AE201" i="4"/>
  <c r="AE202" i="4"/>
  <c r="AE253" i="4"/>
  <c r="AE256" i="4"/>
  <c r="AE198" i="4"/>
  <c r="AE206" i="4"/>
  <c r="AE255" i="4"/>
  <c r="AE200" i="4"/>
  <c r="AE199" i="4"/>
  <c r="AE196" i="4"/>
  <c r="AE254" i="4"/>
  <c r="AE18" i="7"/>
  <c r="AF17" i="7"/>
  <c r="AE19" i="7"/>
  <c r="AP23" i="4"/>
  <c r="Q32" i="5"/>
  <c r="Q37" i="5"/>
  <c r="Q285" i="3"/>
  <c r="AD88" i="7"/>
  <c r="AD110" i="7"/>
  <c r="AD203" i="4"/>
  <c r="AP38" i="4"/>
  <c r="AD127" i="7"/>
  <c r="AD163" i="7" s="1"/>
  <c r="AD107" i="7"/>
  <c r="AD139" i="7" s="1"/>
  <c r="AE61" i="7"/>
  <c r="AE71" i="7" s="1"/>
  <c r="AE89" i="7" s="1"/>
  <c r="AF47" i="7"/>
  <c r="AP29" i="4"/>
  <c r="AC138" i="7"/>
  <c r="AC116" i="7"/>
  <c r="AC150" i="7" s="1"/>
  <c r="AP31" i="4"/>
  <c r="AP33" i="4"/>
  <c r="N533" i="3"/>
  <c r="N198" i="4"/>
  <c r="N199" i="4"/>
  <c r="N211" i="4"/>
  <c r="N196" i="4"/>
  <c r="N200" i="4"/>
  <c r="N213" i="4"/>
  <c r="N202" i="4"/>
  <c r="N212" i="4"/>
  <c r="N206" i="4"/>
  <c r="N201" i="4"/>
  <c r="N208" i="4"/>
  <c r="N195" i="4"/>
  <c r="N209" i="4"/>
  <c r="N197" i="4"/>
  <c r="N210" i="4"/>
  <c r="N207" i="4"/>
  <c r="AP39" i="4"/>
  <c r="AB155" i="7"/>
  <c r="AP58" i="4"/>
  <c r="AP25" i="4"/>
  <c r="AF60" i="7"/>
  <c r="AF70" i="7" s="1"/>
  <c r="AD192" i="3"/>
  <c r="AD214" i="3" s="1"/>
  <c r="AE184" i="3"/>
  <c r="AE74" i="7"/>
  <c r="AE92" i="7" s="1"/>
  <c r="AF50" i="7"/>
  <c r="AG49" i="7"/>
  <c r="P288" i="3"/>
  <c r="AP60" i="4"/>
  <c r="AP62" i="4"/>
  <c r="AA99" i="7"/>
  <c r="AP13" i="4"/>
  <c r="AD130" i="7"/>
  <c r="AD166" i="7" s="1"/>
  <c r="AP37" i="4"/>
  <c r="AF62" i="7"/>
  <c r="AE72" i="7"/>
  <c r="AE90" i="7" s="1"/>
  <c r="AP19" i="4"/>
  <c r="AC142" i="7"/>
  <c r="AC120" i="7"/>
  <c r="AC154" i="7" s="1"/>
  <c r="AP42" i="4"/>
  <c r="AD71" i="7"/>
  <c r="AD89" i="7" s="1"/>
  <c r="AD126" i="7"/>
  <c r="AD162" i="7" s="1"/>
  <c r="AP45" i="4"/>
  <c r="AP55" i="4"/>
  <c r="AP66" i="4"/>
  <c r="AP8" i="4"/>
  <c r="AB99" i="7"/>
  <c r="AP68" i="4"/>
  <c r="AE51" i="7"/>
  <c r="AE53" i="7" s="1"/>
  <c r="AP36" i="4"/>
  <c r="AD26" i="5"/>
  <c r="AC23" i="5"/>
  <c r="AP65" i="4"/>
  <c r="AP49" i="4"/>
  <c r="AD129" i="7"/>
  <c r="AD165" i="7" s="1"/>
  <c r="AD109" i="7"/>
  <c r="AD141" i="7" s="1"/>
  <c r="AE63" i="7"/>
  <c r="AD73" i="7"/>
  <c r="AD91" i="7" s="1"/>
  <c r="AG46" i="7"/>
  <c r="AE354" i="3"/>
  <c r="AE70" i="3"/>
  <c r="AF35" i="3"/>
  <c r="AP9" i="4"/>
  <c r="AP30" i="4"/>
  <c r="AD191" i="3"/>
  <c r="AE183" i="3"/>
  <c r="AA36" i="7" l="1"/>
  <c r="AC80" i="7"/>
  <c r="AC81" i="7" s="1"/>
  <c r="AC77" i="7"/>
  <c r="AB39" i="7"/>
  <c r="AB157" i="7"/>
  <c r="AB171" i="7"/>
  <c r="AC40" i="7"/>
  <c r="Y78" i="5"/>
  <c r="Y298" i="3" s="1"/>
  <c r="N245" i="4"/>
  <c r="N509" i="3" s="1"/>
  <c r="Z75" i="5"/>
  <c r="Z76" i="5" s="1"/>
  <c r="Z296" i="3" s="1"/>
  <c r="O151" i="4"/>
  <c r="O62" i="3"/>
  <c r="O55" i="3"/>
  <c r="O96" i="3"/>
  <c r="P74" i="3"/>
  <c r="P75" i="3"/>
  <c r="AF185" i="3"/>
  <c r="AE193" i="3"/>
  <c r="AF261" i="4"/>
  <c r="AG256" i="4"/>
  <c r="AG261" i="4"/>
  <c r="AG255" i="4"/>
  <c r="AG254" i="4"/>
  <c r="AG253" i="4"/>
  <c r="AQ75" i="4"/>
  <c r="AQ74" i="4"/>
  <c r="AQ76" i="4"/>
  <c r="AQ77" i="4"/>
  <c r="AD118" i="7"/>
  <c r="AD152" i="7" s="1"/>
  <c r="AE108" i="7"/>
  <c r="AE106" i="7"/>
  <c r="AE138" i="7" s="1"/>
  <c r="AE126" i="7"/>
  <c r="AE162" i="7" s="1"/>
  <c r="AD119" i="7"/>
  <c r="AD153" i="7" s="1"/>
  <c r="AC525" i="3"/>
  <c r="AC541" i="3" s="1"/>
  <c r="AD117" i="7"/>
  <c r="AD151" i="7" s="1"/>
  <c r="AE110" i="7"/>
  <c r="AE142" i="7" s="1"/>
  <c r="AF354" i="3"/>
  <c r="AG35" i="3"/>
  <c r="AF70" i="3"/>
  <c r="AQ36" i="4"/>
  <c r="AQ15" i="4"/>
  <c r="AD167" i="7"/>
  <c r="AD169" i="7" s="1"/>
  <c r="AE192" i="3"/>
  <c r="AE214" i="3" s="1"/>
  <c r="AF184" i="3"/>
  <c r="AQ39" i="4"/>
  <c r="AB172" i="7"/>
  <c r="AB38" i="7"/>
  <c r="AF181" i="3"/>
  <c r="AQ8" i="4"/>
  <c r="AE128" i="7"/>
  <c r="AE164" i="7" s="1"/>
  <c r="N214" i="4"/>
  <c r="AQ12" i="4"/>
  <c r="AQ13" i="4"/>
  <c r="AQ31" i="4"/>
  <c r="AQ29" i="4"/>
  <c r="AD75" i="7"/>
  <c r="AQ23" i="4"/>
  <c r="AQ21" i="4"/>
  <c r="AG64" i="7"/>
  <c r="AQ32" i="4"/>
  <c r="AQ20" i="4"/>
  <c r="AQ18" i="4"/>
  <c r="AG147" i="4"/>
  <c r="AG145" i="4" s="1"/>
  <c r="AF145" i="4"/>
  <c r="AJ153" i="4"/>
  <c r="AJ152" i="4"/>
  <c r="AJ164" i="4"/>
  <c r="AJ205" i="4" s="1"/>
  <c r="AJ161" i="4" a="1"/>
  <c r="AJ161" i="4" s="1"/>
  <c r="AJ151" i="4" a="1"/>
  <c r="AJ151" i="4" s="1"/>
  <c r="AJ165" i="4"/>
  <c r="AJ176" i="4" s="1"/>
  <c r="AJ252" i="4" s="1"/>
  <c r="AD118" i="4"/>
  <c r="AD512" i="3"/>
  <c r="AD519" i="3"/>
  <c r="AD217" i="3"/>
  <c r="AD216" i="3" s="1"/>
  <c r="AQ22" i="4"/>
  <c r="AQ59" i="4"/>
  <c r="AR57" i="4"/>
  <c r="AQ38" i="4"/>
  <c r="AE203" i="4"/>
  <c r="AQ45" i="4"/>
  <c r="AQ19" i="4"/>
  <c r="AQ25" i="4"/>
  <c r="AG17" i="7"/>
  <c r="AF19" i="7"/>
  <c r="AF18" i="7"/>
  <c r="AF110" i="7" s="1"/>
  <c r="AE190" i="3"/>
  <c r="AF182" i="3"/>
  <c r="AQ56" i="4"/>
  <c r="AF42" i="3"/>
  <c r="AE41" i="3"/>
  <c r="AC216" i="3"/>
  <c r="AQ51" i="4"/>
  <c r="AD181" i="4"/>
  <c r="AD174" i="4"/>
  <c r="AQ11" i="4"/>
  <c r="AQ24" i="4"/>
  <c r="AQ46" i="4"/>
  <c r="AQ48" i="4"/>
  <c r="AQ65" i="4"/>
  <c r="AD70" i="5"/>
  <c r="AC67" i="5"/>
  <c r="AQ60" i="4"/>
  <c r="AD93" i="7"/>
  <c r="AD95" i="7" s="1"/>
  <c r="AI194" i="4"/>
  <c r="AE146" i="4"/>
  <c r="AF29" i="3"/>
  <c r="N516" i="3"/>
  <c r="AQ68" i="4"/>
  <c r="AQ49" i="4"/>
  <c r="AQ55" i="4"/>
  <c r="AG60" i="7"/>
  <c r="AG70" i="7" s="1"/>
  <c r="AD116" i="4"/>
  <c r="AD518" i="3"/>
  <c r="AD511" i="3"/>
  <c r="R31" i="5"/>
  <c r="Q290" i="3"/>
  <c r="AE257" i="4"/>
  <c r="AE130" i="7"/>
  <c r="AE166" i="7" s="1"/>
  <c r="AQ40" i="4"/>
  <c r="AG39" i="3"/>
  <c r="AF37" i="3"/>
  <c r="AG208" i="4"/>
  <c r="AG213" i="4"/>
  <c r="AG210" i="4"/>
  <c r="AG207" i="4"/>
  <c r="AG212" i="4"/>
  <c r="AG209" i="4"/>
  <c r="AG211" i="4"/>
  <c r="AG195" i="4"/>
  <c r="AG200" i="4"/>
  <c r="AG202" i="4"/>
  <c r="AG197" i="4"/>
  <c r="AG206" i="4"/>
  <c r="AG201" i="4"/>
  <c r="AG198" i="4"/>
  <c r="AG199" i="4"/>
  <c r="AG196" i="4"/>
  <c r="AQ67" i="4"/>
  <c r="AF88" i="7"/>
  <c r="AQ42" i="4"/>
  <c r="AQ62" i="4"/>
  <c r="AQ37" i="4"/>
  <c r="AG47" i="7"/>
  <c r="AQ41" i="4"/>
  <c r="AQ50" i="4"/>
  <c r="AQ30" i="4"/>
  <c r="AE191" i="3"/>
  <c r="AF183" i="3"/>
  <c r="AE129" i="7"/>
  <c r="AE165" i="7" s="1"/>
  <c r="AE109" i="7"/>
  <c r="AE141" i="7" s="1"/>
  <c r="AF63" i="7"/>
  <c r="AE73" i="7"/>
  <c r="AE91" i="7" s="1"/>
  <c r="AE93" i="7" s="1"/>
  <c r="AE95" i="7" s="1"/>
  <c r="AE26" i="5"/>
  <c r="AD23" i="5"/>
  <c r="N203" i="4"/>
  <c r="AC155" i="7"/>
  <c r="AE127" i="7"/>
  <c r="AE163" i="7" s="1"/>
  <c r="AE107" i="7"/>
  <c r="AE139" i="7" s="1"/>
  <c r="AF61" i="7"/>
  <c r="AF71" i="7" s="1"/>
  <c r="AF89" i="7" s="1"/>
  <c r="AD142" i="7"/>
  <c r="AD120" i="7"/>
  <c r="AD154" i="7" s="1"/>
  <c r="Q35" i="5"/>
  <c r="Q286" i="3"/>
  <c r="AQ61" i="4"/>
  <c r="AE355" i="3"/>
  <c r="AE444" i="3"/>
  <c r="AC526" i="3"/>
  <c r="AC542" i="3" s="1"/>
  <c r="AF211" i="4"/>
  <c r="AF208" i="4"/>
  <c r="AF213" i="4"/>
  <c r="AF210" i="4"/>
  <c r="AF207" i="4"/>
  <c r="AF212" i="4"/>
  <c r="AF209" i="4"/>
  <c r="AF195" i="4"/>
  <c r="AF206" i="4"/>
  <c r="AF255" i="4"/>
  <c r="AF197" i="4"/>
  <c r="AF256" i="4"/>
  <c r="AF201" i="4"/>
  <c r="AF253" i="4"/>
  <c r="AF198" i="4"/>
  <c r="AF202" i="4"/>
  <c r="AF200" i="4"/>
  <c r="AF199" i="4"/>
  <c r="AF196" i="4"/>
  <c r="AF254" i="4"/>
  <c r="AQ52" i="4"/>
  <c r="AQ28" i="4"/>
  <c r="AC98" i="7"/>
  <c r="AC37" i="7"/>
  <c r="AQ66" i="4"/>
  <c r="AQ9" i="4"/>
  <c r="AG62" i="7"/>
  <c r="AF72" i="7"/>
  <c r="AF90" i="7" s="1"/>
  <c r="AQ58" i="4"/>
  <c r="AF51" i="7"/>
  <c r="AF53" i="7" s="1"/>
  <c r="AF74" i="7"/>
  <c r="AF92" i="7" s="1"/>
  <c r="AG50" i="7"/>
  <c r="AQ33" i="4"/>
  <c r="AC143" i="7"/>
  <c r="AC145" i="7" s="1"/>
  <c r="AE214" i="4"/>
  <c r="AD138" i="7"/>
  <c r="AD116" i="7"/>
  <c r="AD150" i="7" s="1"/>
  <c r="AG38" i="3"/>
  <c r="AF163" i="3"/>
  <c r="AF173" i="3" s="1"/>
  <c r="AF280" i="3" s="1"/>
  <c r="AF319" i="3" s="1"/>
  <c r="AQ14" i="4"/>
  <c r="AI75" i="7"/>
  <c r="AQ10" i="4"/>
  <c r="AQ47" i="4"/>
  <c r="AB36" i="7" l="1"/>
  <c r="AD80" i="7"/>
  <c r="AD81" i="7" s="1"/>
  <c r="AD77" i="7"/>
  <c r="AC39" i="7"/>
  <c r="AC157" i="7"/>
  <c r="AI80" i="7"/>
  <c r="AI81" i="7" s="1"/>
  <c r="AI77" i="7"/>
  <c r="AD40" i="7"/>
  <c r="AC171" i="7"/>
  <c r="N114" i="4"/>
  <c r="Z78" i="5"/>
  <c r="Z298" i="3" s="1"/>
  <c r="Z80" i="5"/>
  <c r="O56" i="3"/>
  <c r="P83" i="3"/>
  <c r="O66" i="3"/>
  <c r="P76" i="3"/>
  <c r="P77" i="3" s="1"/>
  <c r="P91" i="3"/>
  <c r="P80" i="3"/>
  <c r="P90" i="3"/>
  <c r="O97" i="3"/>
  <c r="AG185" i="3"/>
  <c r="AG193" i="3" s="1"/>
  <c r="AF193" i="3"/>
  <c r="AI261" i="4"/>
  <c r="AJ261" i="4"/>
  <c r="AR77" i="4"/>
  <c r="AR76" i="4"/>
  <c r="AR74" i="4"/>
  <c r="AR75" i="4"/>
  <c r="AG163" i="3"/>
  <c r="AG173" i="3" s="1"/>
  <c r="AG280" i="3" s="1"/>
  <c r="AG319" i="3" s="1"/>
  <c r="AG355" i="3" s="1"/>
  <c r="AG134" i="3"/>
  <c r="AI119" i="4"/>
  <c r="AJ119" i="4"/>
  <c r="AI210" i="4"/>
  <c r="AI199" i="4"/>
  <c r="AJ255" i="4"/>
  <c r="AI208" i="4"/>
  <c r="AI196" i="4"/>
  <c r="AI197" i="4"/>
  <c r="AI213" i="4"/>
  <c r="AI211" i="4"/>
  <c r="AI202" i="4"/>
  <c r="AI200" i="4"/>
  <c r="AI198" i="4"/>
  <c r="AI209" i="4"/>
  <c r="AI212" i="4"/>
  <c r="AI201" i="4"/>
  <c r="AI207" i="4"/>
  <c r="AE116" i="7"/>
  <c r="AE150" i="7" s="1"/>
  <c r="AE120" i="7"/>
  <c r="AE154" i="7" s="1"/>
  <c r="AE117" i="7"/>
  <c r="AE151" i="7" s="1"/>
  <c r="AD143" i="7"/>
  <c r="AE140" i="7"/>
  <c r="AE118" i="7"/>
  <c r="AE152" i="7" s="1"/>
  <c r="AF106" i="7"/>
  <c r="AF138" i="7" s="1"/>
  <c r="AF126" i="7"/>
  <c r="AF162" i="7" s="1"/>
  <c r="N523" i="3"/>
  <c r="N539" i="3" s="1"/>
  <c r="AF128" i="7"/>
  <c r="AF164" i="7" s="1"/>
  <c r="AE75" i="7"/>
  <c r="AE167" i="7"/>
  <c r="AE169" i="7" s="1"/>
  <c r="AF108" i="7"/>
  <c r="AC99" i="7"/>
  <c r="AF257" i="4"/>
  <c r="AF142" i="7"/>
  <c r="AF120" i="7"/>
  <c r="AF154" i="7" s="1"/>
  <c r="AG37" i="3"/>
  <c r="AR55" i="4"/>
  <c r="AR49" i="4"/>
  <c r="AR60" i="4"/>
  <c r="AR48" i="4"/>
  <c r="AR11" i="4"/>
  <c r="AS57" i="4"/>
  <c r="AT57" i="4" s="1"/>
  <c r="AR29" i="4"/>
  <c r="AG354" i="3"/>
  <c r="AG70" i="3"/>
  <c r="N116" i="4"/>
  <c r="N518" i="3"/>
  <c r="N511" i="3"/>
  <c r="AG51" i="7"/>
  <c r="AG53" i="7" s="1"/>
  <c r="AR30" i="4"/>
  <c r="AR37" i="4"/>
  <c r="AR67" i="4"/>
  <c r="AG214" i="4"/>
  <c r="R32" i="5"/>
  <c r="R37" i="5"/>
  <c r="R285" i="3"/>
  <c r="AG42" i="3"/>
  <c r="AG41" i="3" s="1"/>
  <c r="AF41" i="3"/>
  <c r="AR45" i="4"/>
  <c r="AR32" i="4"/>
  <c r="AR12" i="4"/>
  <c r="AR15" i="4"/>
  <c r="AR38" i="4"/>
  <c r="AR21" i="4"/>
  <c r="AR14" i="4"/>
  <c r="AD155" i="7"/>
  <c r="AR33" i="4"/>
  <c r="AG72" i="7"/>
  <c r="AR66" i="4"/>
  <c r="AG88" i="7"/>
  <c r="AJ70" i="7"/>
  <c r="AE98" i="7"/>
  <c r="AE37" i="7"/>
  <c r="AG203" i="4"/>
  <c r="AR40" i="4"/>
  <c r="AR31" i="4"/>
  <c r="AR39" i="4"/>
  <c r="AR47" i="4"/>
  <c r="AF26" i="5"/>
  <c r="AE23" i="5"/>
  <c r="AG257" i="4"/>
  <c r="AG184" i="3"/>
  <c r="AG192" i="3" s="1"/>
  <c r="AG214" i="3" s="1"/>
  <c r="AF192" i="3"/>
  <c r="AF214" i="3" s="1"/>
  <c r="AR10" i="4"/>
  <c r="AR58" i="4"/>
  <c r="AR9" i="4"/>
  <c r="AF203" i="4"/>
  <c r="AI195" i="4"/>
  <c r="Q288" i="3"/>
  <c r="AF127" i="7"/>
  <c r="AF163" i="7" s="1"/>
  <c r="AF107" i="7"/>
  <c r="AF139" i="7" s="1"/>
  <c r="AG61" i="7"/>
  <c r="AG71" i="7" s="1"/>
  <c r="AD525" i="3"/>
  <c r="AD541" i="3" s="1"/>
  <c r="AR68" i="4"/>
  <c r="AE70" i="5"/>
  <c r="AD67" i="5"/>
  <c r="AR46" i="4"/>
  <c r="AG19" i="7"/>
  <c r="AG18" i="7"/>
  <c r="AR25" i="4"/>
  <c r="AJ534" i="3"/>
  <c r="AR13" i="4"/>
  <c r="AR36" i="4"/>
  <c r="AF214" i="4"/>
  <c r="AI214" i="4" s="1"/>
  <c r="AI206" i="4"/>
  <c r="AG74" i="7"/>
  <c r="AR52" i="4"/>
  <c r="AR61" i="4"/>
  <c r="AF129" i="7"/>
  <c r="AF165" i="7" s="1"/>
  <c r="AF109" i="7"/>
  <c r="AF141" i="7" s="1"/>
  <c r="AG63" i="7"/>
  <c r="AF73" i="7"/>
  <c r="AF191" i="3"/>
  <c r="AG183" i="3"/>
  <c r="AG191" i="3" s="1"/>
  <c r="AR41" i="4"/>
  <c r="AR62" i="4"/>
  <c r="AF146" i="4"/>
  <c r="AG29" i="3"/>
  <c r="AI533" i="3"/>
  <c r="AR65" i="4"/>
  <c r="AR51" i="4"/>
  <c r="AR56" i="4"/>
  <c r="AR59" i="4"/>
  <c r="AR22" i="4"/>
  <c r="AR18" i="4"/>
  <c r="AR23" i="4"/>
  <c r="AR28" i="4"/>
  <c r="AR50" i="4"/>
  <c r="AF355" i="3"/>
  <c r="AF444" i="3"/>
  <c r="AE181" i="4"/>
  <c r="AE174" i="4"/>
  <c r="AD98" i="7"/>
  <c r="AD99" i="7" s="1"/>
  <c r="AD37" i="7"/>
  <c r="AR24" i="4"/>
  <c r="AE116" i="4"/>
  <c r="AE518" i="3"/>
  <c r="AE511" i="3"/>
  <c r="AI254" i="4"/>
  <c r="AI256" i="4"/>
  <c r="AI222" i="4"/>
  <c r="AI218" i="4"/>
  <c r="AI231" i="4"/>
  <c r="AI255" i="4"/>
  <c r="AI233" i="4"/>
  <c r="AI223" i="4"/>
  <c r="AI224" i="4"/>
  <c r="AI235" i="4"/>
  <c r="AI229" i="4"/>
  <c r="AI234" i="4"/>
  <c r="AI219" i="4"/>
  <c r="AI221" i="4"/>
  <c r="AI232" i="4"/>
  <c r="AJ254" i="4"/>
  <c r="AJ256" i="4"/>
  <c r="AI228" i="4"/>
  <c r="AI118" i="4"/>
  <c r="AI257" i="4"/>
  <c r="AJ257" i="4"/>
  <c r="AI117" i="4"/>
  <c r="AI230" i="4"/>
  <c r="AI217" i="4"/>
  <c r="AI253" i="4"/>
  <c r="AJ253" i="4"/>
  <c r="AF130" i="7"/>
  <c r="AF166" i="7" s="1"/>
  <c r="AC172" i="7"/>
  <c r="AC38" i="7"/>
  <c r="AC36" i="7" s="1"/>
  <c r="AK151" i="4"/>
  <c r="AJ194" i="4"/>
  <c r="AE119" i="7"/>
  <c r="AE153" i="7" s="1"/>
  <c r="AR42" i="4"/>
  <c r="AE118" i="4"/>
  <c r="AE512" i="3"/>
  <c r="AE519" i="3"/>
  <c r="AE217" i="3"/>
  <c r="AE216" i="3" s="1"/>
  <c r="AF190" i="3"/>
  <c r="AG182" i="3"/>
  <c r="AR19" i="4"/>
  <c r="AD526" i="3"/>
  <c r="AD542" i="3" s="1"/>
  <c r="AJ117" i="4"/>
  <c r="AR20" i="4"/>
  <c r="AR8" i="4"/>
  <c r="AG181" i="3"/>
  <c r="AE80" i="7" l="1"/>
  <c r="AE81" i="7" s="1"/>
  <c r="AE77" i="7"/>
  <c r="AD38" i="7"/>
  <c r="AD145" i="7"/>
  <c r="AD39" i="7"/>
  <c r="AD157" i="7"/>
  <c r="AD171" i="7"/>
  <c r="AE40" i="7"/>
  <c r="AI210" i="3"/>
  <c r="AJ210" i="3"/>
  <c r="AA75" i="5"/>
  <c r="AA76" i="5" s="1"/>
  <c r="O67" i="3"/>
  <c r="O169" i="4"/>
  <c r="O238" i="4" s="1"/>
  <c r="P60" i="3"/>
  <c r="O165" i="3"/>
  <c r="O57" i="3"/>
  <c r="AI313" i="3"/>
  <c r="AI339" i="3" s="1"/>
  <c r="AG146" i="4"/>
  <c r="AG174" i="4" s="1"/>
  <c r="Q69" i="3"/>
  <c r="Q73" i="3" s="1"/>
  <c r="P82" i="3"/>
  <c r="P93" i="3"/>
  <c r="AG518" i="3"/>
  <c r="AG512" i="3"/>
  <c r="AG519" i="3"/>
  <c r="AG116" i="4"/>
  <c r="AG511" i="3"/>
  <c r="AJ219" i="3"/>
  <c r="AI219" i="3"/>
  <c r="AG444" i="3"/>
  <c r="AS75" i="4"/>
  <c r="AT75" i="4" s="1"/>
  <c r="AT261" i="4" s="1"/>
  <c r="AS74" i="4"/>
  <c r="AT74" i="4" s="1"/>
  <c r="AT260" i="4" s="1"/>
  <c r="AS76" i="4"/>
  <c r="AT76" i="4" s="1"/>
  <c r="AT262" i="4" s="1"/>
  <c r="AS77" i="4"/>
  <c r="AT77" i="4" s="1"/>
  <c r="AT263" i="4" s="1"/>
  <c r="AE155" i="7"/>
  <c r="AE143" i="7"/>
  <c r="AE145" i="7" s="1"/>
  <c r="AF217" i="3"/>
  <c r="AF216" i="3" s="1"/>
  <c r="N525" i="3"/>
  <c r="N541" i="3" s="1"/>
  <c r="AE526" i="3"/>
  <c r="AE542" i="3" s="1"/>
  <c r="AF167" i="7"/>
  <c r="AF169" i="7" s="1"/>
  <c r="AG106" i="7"/>
  <c r="AG138" i="7" s="1"/>
  <c r="AF119" i="7"/>
  <c r="AF153" i="7" s="1"/>
  <c r="AF519" i="3"/>
  <c r="AG108" i="7"/>
  <c r="AG140" i="7" s="1"/>
  <c r="AF512" i="3"/>
  <c r="AF118" i="4"/>
  <c r="AJ118" i="4" s="1"/>
  <c r="AF140" i="7"/>
  <c r="AF118" i="7"/>
  <c r="AF152" i="7" s="1"/>
  <c r="AF116" i="7"/>
  <c r="AF150" i="7" s="1"/>
  <c r="AJ70" i="3"/>
  <c r="F80" i="1" s="1"/>
  <c r="AG92" i="7"/>
  <c r="AJ74" i="7"/>
  <c r="AG26" i="5"/>
  <c r="AF23" i="5"/>
  <c r="AS21" i="4"/>
  <c r="AT21" i="4" s="1"/>
  <c r="AG190" i="3"/>
  <c r="AF174" i="4"/>
  <c r="AF181" i="4"/>
  <c r="AJ191" i="3"/>
  <c r="AS61" i="4"/>
  <c r="AT61" i="4" s="1"/>
  <c r="AS58" i="4"/>
  <c r="AT58" i="4" s="1"/>
  <c r="AS47" i="4"/>
  <c r="AT47" i="4" s="1"/>
  <c r="AJ88" i="7"/>
  <c r="AS33" i="4"/>
  <c r="AT33" i="4" s="1"/>
  <c r="AS60" i="4"/>
  <c r="AT60" i="4" s="1"/>
  <c r="AS49" i="4"/>
  <c r="AT49" i="4" s="1"/>
  <c r="AS50" i="4"/>
  <c r="AT50" i="4" s="1"/>
  <c r="AS22" i="4"/>
  <c r="AT22" i="4" s="1"/>
  <c r="AS51" i="4"/>
  <c r="AT51" i="4" s="1"/>
  <c r="AS10" i="4"/>
  <c r="AT10" i="4" s="1"/>
  <c r="AS40" i="4"/>
  <c r="AT40" i="4" s="1"/>
  <c r="AS14" i="4"/>
  <c r="AT14" i="4" s="1"/>
  <c r="AS38" i="4"/>
  <c r="AT38" i="4" s="1"/>
  <c r="AS30" i="4"/>
  <c r="AT30" i="4" s="1"/>
  <c r="AS29" i="4"/>
  <c r="AT29" i="4" s="1"/>
  <c r="AS23" i="4"/>
  <c r="AT23" i="4" s="1"/>
  <c r="AF91" i="7"/>
  <c r="AF93" i="7" s="1"/>
  <c r="AF95" i="7" s="1"/>
  <c r="AF75" i="7"/>
  <c r="AS45" i="4"/>
  <c r="AT45" i="4" s="1"/>
  <c r="AS55" i="4"/>
  <c r="AT55" i="4" s="1"/>
  <c r="AS19" i="4"/>
  <c r="AT19" i="4" s="1"/>
  <c r="AS28" i="4"/>
  <c r="AT28" i="4" s="1"/>
  <c r="AS59" i="4"/>
  <c r="AT59" i="4" s="1"/>
  <c r="AS65" i="4"/>
  <c r="AT65" i="4" s="1"/>
  <c r="AG126" i="7"/>
  <c r="AG162" i="7" s="1"/>
  <c r="AG129" i="7"/>
  <c r="AG165" i="7" s="1"/>
  <c r="AG109" i="7"/>
  <c r="AG141" i="7" s="1"/>
  <c r="AG73" i="7"/>
  <c r="AE67" i="5"/>
  <c r="AF70" i="5"/>
  <c r="AF116" i="4"/>
  <c r="AI116" i="4" s="1"/>
  <c r="AF518" i="3"/>
  <c r="AF511" i="3"/>
  <c r="AI511" i="3" s="1"/>
  <c r="AI203" i="4"/>
  <c r="AJ192" i="3"/>
  <c r="AG128" i="7"/>
  <c r="AG164" i="7" s="1"/>
  <c r="AS67" i="4"/>
  <c r="AT67" i="4" s="1"/>
  <c r="AS48" i="4"/>
  <c r="AT48" i="4" s="1"/>
  <c r="AG90" i="7"/>
  <c r="AJ90" i="7" s="1"/>
  <c r="AJ72" i="7"/>
  <c r="AS11" i="4"/>
  <c r="AT11" i="4" s="1"/>
  <c r="AI512" i="3"/>
  <c r="AJ512" i="3"/>
  <c r="AS52" i="4"/>
  <c r="AT52" i="4" s="1"/>
  <c r="AS8" i="4"/>
  <c r="AT8" i="4" s="1"/>
  <c r="AS42" i="4"/>
  <c r="AT42" i="4" s="1"/>
  <c r="AJ266" i="4"/>
  <c r="AJ268" i="4" s="1"/>
  <c r="AJ519" i="3"/>
  <c r="AE525" i="3"/>
  <c r="AE541" i="3" s="1"/>
  <c r="AS18" i="4"/>
  <c r="AT18" i="4" s="1"/>
  <c r="AG110" i="7"/>
  <c r="AG127" i="7"/>
  <c r="AG163" i="7" s="1"/>
  <c r="AG107" i="7"/>
  <c r="AG139" i="7" s="1"/>
  <c r="AS31" i="4"/>
  <c r="AT31" i="4" s="1"/>
  <c r="AS15" i="4"/>
  <c r="AT15" i="4" s="1"/>
  <c r="AS12" i="4"/>
  <c r="AT12" i="4" s="1"/>
  <c r="AS46" i="4"/>
  <c r="AT46" i="4" s="1"/>
  <c r="AJ533" i="3"/>
  <c r="AS36" i="4"/>
  <c r="AT36" i="4" s="1"/>
  <c r="AG89" i="7"/>
  <c r="AJ71" i="7"/>
  <c r="AS20" i="4"/>
  <c r="AT20" i="4" s="1"/>
  <c r="AS62" i="4"/>
  <c r="AT62" i="4" s="1"/>
  <c r="AS25" i="4"/>
  <c r="AT25" i="4" s="1"/>
  <c r="AS68" i="4"/>
  <c r="AT68" i="4" s="1"/>
  <c r="AG118" i="4"/>
  <c r="AG217" i="3"/>
  <c r="AS39" i="4"/>
  <c r="AT39" i="4" s="1"/>
  <c r="AS66" i="4"/>
  <c r="AT66" i="4" s="1"/>
  <c r="AI266" i="4"/>
  <c r="AI268" i="4" s="1"/>
  <c r="AI519" i="3"/>
  <c r="AG130" i="7"/>
  <c r="AG166" i="7" s="1"/>
  <c r="AF117" i="7"/>
  <c r="AF151" i="7" s="1"/>
  <c r="AS9" i="4"/>
  <c r="AT9" i="4" s="1"/>
  <c r="AD172" i="7"/>
  <c r="AE99" i="7"/>
  <c r="AS32" i="4"/>
  <c r="AT32" i="4" s="1"/>
  <c r="S31" i="5"/>
  <c r="R290" i="3"/>
  <c r="AS37" i="4"/>
  <c r="AT37" i="4" s="1"/>
  <c r="AI228" i="3"/>
  <c r="AI168" i="3"/>
  <c r="E99" i="1" s="1"/>
  <c r="AI63" i="3"/>
  <c r="AI225" i="3"/>
  <c r="AI64" i="3"/>
  <c r="AJ226" i="3"/>
  <c r="AI47" i="3"/>
  <c r="AI176" i="3"/>
  <c r="AJ225" i="3"/>
  <c r="AI503" i="3"/>
  <c r="AJ196" i="3"/>
  <c r="AI175" i="3"/>
  <c r="E103" i="1" s="1"/>
  <c r="AI53" i="3"/>
  <c r="AI501" i="3"/>
  <c r="AJ194" i="3"/>
  <c r="AJ176" i="3"/>
  <c r="AI505" i="3"/>
  <c r="AJ504" i="3"/>
  <c r="AI226" i="3"/>
  <c r="AJ228" i="3"/>
  <c r="AI504" i="3"/>
  <c r="AI212" i="3"/>
  <c r="AI196" i="3"/>
  <c r="AJ46" i="3"/>
  <c r="AI70" i="3"/>
  <c r="AJ211" i="3"/>
  <c r="AK211" i="3" s="1"/>
  <c r="AI190" i="3"/>
  <c r="AI95" i="3"/>
  <c r="AI142" i="3" s="1"/>
  <c r="AI156" i="3" s="1"/>
  <c r="AI158" i="3" s="1"/>
  <c r="AI52" i="3"/>
  <c r="AI167" i="3"/>
  <c r="E97" i="1" s="1"/>
  <c r="AJ64" i="3"/>
  <c r="AJ61" i="3"/>
  <c r="AI211" i="3"/>
  <c r="AJ227" i="3"/>
  <c r="AI166" i="3"/>
  <c r="E96" i="1" s="1"/>
  <c r="AJ501" i="3"/>
  <c r="AI502" i="3"/>
  <c r="AJ81" i="3"/>
  <c r="AI51" i="3"/>
  <c r="AJ502" i="3"/>
  <c r="AJ503" i="3"/>
  <c r="AJ51" i="3"/>
  <c r="AI71" i="3"/>
  <c r="AJ505" i="3"/>
  <c r="AI194" i="3"/>
  <c r="AJ95" i="3"/>
  <c r="AJ142" i="3" s="1"/>
  <c r="AI46" i="3"/>
  <c r="AJ71" i="3"/>
  <c r="AJ177" i="3"/>
  <c r="F106" i="1" s="1"/>
  <c r="AJ197" i="3"/>
  <c r="AI61" i="3"/>
  <c r="AJ167" i="3"/>
  <c r="F97" i="1" s="1"/>
  <c r="AI81" i="3"/>
  <c r="AJ52" i="3"/>
  <c r="AI197" i="3"/>
  <c r="AI227" i="3"/>
  <c r="AI72" i="3"/>
  <c r="AL46" i="3"/>
  <c r="AI191" i="3"/>
  <c r="AJ168" i="3"/>
  <c r="F99" i="1" s="1"/>
  <c r="AI177" i="3"/>
  <c r="E106" i="1" s="1"/>
  <c r="AJ47" i="3"/>
  <c r="AI217" i="3"/>
  <c r="AL47" i="3"/>
  <c r="AI224" i="3"/>
  <c r="AI192" i="3"/>
  <c r="AI74" i="3"/>
  <c r="AJ447" i="3"/>
  <c r="AJ457" i="3" s="1"/>
  <c r="AJ232" i="3"/>
  <c r="AJ461" i="3"/>
  <c r="AJ471" i="3" s="1"/>
  <c r="AI56" i="3"/>
  <c r="AI447" i="3"/>
  <c r="AI457" i="3" s="1"/>
  <c r="AI209" i="3"/>
  <c r="AI232" i="3"/>
  <c r="AJ63" i="3"/>
  <c r="AI461" i="3"/>
  <c r="AI189" i="3"/>
  <c r="AJ233" i="3"/>
  <c r="AI233" i="3"/>
  <c r="AS24" i="4"/>
  <c r="AT24" i="4" s="1"/>
  <c r="AS56" i="4"/>
  <c r="AT56" i="4" s="1"/>
  <c r="AS41" i="4"/>
  <c r="AT41" i="4" s="1"/>
  <c r="AS13" i="4"/>
  <c r="AT13" i="4" s="1"/>
  <c r="R35" i="5"/>
  <c r="R286" i="3"/>
  <c r="AD36" i="7" l="1"/>
  <c r="AE39" i="7"/>
  <c r="AE157" i="7"/>
  <c r="AF80" i="7"/>
  <c r="AF81" i="7" s="1"/>
  <c r="AF77" i="7"/>
  <c r="AF40" i="7"/>
  <c r="AE171" i="7"/>
  <c r="AA296" i="3"/>
  <c r="AA80" i="5"/>
  <c r="AB75" i="5" s="1"/>
  <c r="AB76" i="5" s="1"/>
  <c r="AB296" i="3" s="1"/>
  <c r="AG181" i="4"/>
  <c r="P50" i="3"/>
  <c r="O58" i="3"/>
  <c r="O174" i="3"/>
  <c r="O189" i="3" s="1"/>
  <c r="O170" i="3"/>
  <c r="P168" i="4"/>
  <c r="O244" i="4"/>
  <c r="O240" i="4"/>
  <c r="O239" i="4"/>
  <c r="O242" i="4"/>
  <c r="O531" i="3"/>
  <c r="O243" i="4"/>
  <c r="O241" i="4"/>
  <c r="AK225" i="3"/>
  <c r="AA78" i="5"/>
  <c r="AA298" i="3" s="1"/>
  <c r="AL61" i="3"/>
  <c r="Q75" i="3"/>
  <c r="Q74" i="3"/>
  <c r="AG525" i="3"/>
  <c r="AG541" i="3" s="1"/>
  <c r="AG526" i="3"/>
  <c r="AG542" i="3" s="1"/>
  <c r="AK219" i="3"/>
  <c r="AT264" i="4"/>
  <c r="AJ156" i="3"/>
  <c r="AE172" i="7"/>
  <c r="AE38" i="7"/>
  <c r="AG75" i="7"/>
  <c r="AJ321" i="3"/>
  <c r="AF526" i="3"/>
  <c r="AF542" i="3" s="1"/>
  <c r="AF143" i="7"/>
  <c r="AG119" i="7"/>
  <c r="AG153" i="7" s="1"/>
  <c r="AJ478" i="3"/>
  <c r="AG116" i="7"/>
  <c r="AG150" i="7" s="1"/>
  <c r="AF155" i="7"/>
  <c r="AI526" i="3"/>
  <c r="AI542" i="3" s="1"/>
  <c r="E161" i="1" s="1"/>
  <c r="AG118" i="7"/>
  <c r="AG152" i="7" s="1"/>
  <c r="AI471" i="3"/>
  <c r="AI473" i="3" s="1"/>
  <c r="AI257" i="3" s="1"/>
  <c r="AN461" i="3"/>
  <c r="AI104" i="3"/>
  <c r="S37" i="5"/>
  <c r="S32" i="5"/>
  <c r="S285" i="3"/>
  <c r="AI89" i="7"/>
  <c r="AJ89" i="7"/>
  <c r="F104" i="1"/>
  <c r="AJ483" i="3"/>
  <c r="AJ198" i="3" s="1"/>
  <c r="E80" i="1"/>
  <c r="AI73" i="3"/>
  <c r="AI518" i="3"/>
  <c r="AI525" i="3" s="1"/>
  <c r="AI541" i="3" s="1"/>
  <c r="E160" i="1" s="1"/>
  <c r="AF67" i="5"/>
  <c r="AG70" i="5"/>
  <c r="AF98" i="7"/>
  <c r="AF99" i="7" s="1"/>
  <c r="AF37" i="7"/>
  <c r="AG216" i="3"/>
  <c r="AJ217" i="3"/>
  <c r="AJ212" i="3"/>
  <c r="AF525" i="3"/>
  <c r="AF541" i="3" s="1"/>
  <c r="AI321" i="3"/>
  <c r="AJ473" i="3"/>
  <c r="AG117" i="7"/>
  <c r="AG151" i="7" s="1"/>
  <c r="AG91" i="7"/>
  <c r="AJ73" i="7"/>
  <c r="AH26" i="5"/>
  <c r="AG23" i="5"/>
  <c r="AI92" i="7"/>
  <c r="AJ92" i="7"/>
  <c r="R288" i="3"/>
  <c r="AL478" i="3"/>
  <c r="AL194" i="3" s="1"/>
  <c r="AL51" i="3"/>
  <c r="AJ526" i="3"/>
  <c r="AJ542" i="3" s="1"/>
  <c r="F161" i="1" s="1"/>
  <c r="AI478" i="3"/>
  <c r="D168" i="1"/>
  <c r="AI483" i="3"/>
  <c r="AI198" i="3" s="1"/>
  <c r="E104" i="1"/>
  <c r="AG142" i="7"/>
  <c r="AG120" i="7"/>
  <c r="AG154" i="7" s="1"/>
  <c r="E81" i="1"/>
  <c r="AG167" i="7"/>
  <c r="AG169" i="7" s="1"/>
  <c r="AE36" i="7" l="1"/>
  <c r="AF38" i="7"/>
  <c r="AF145" i="7"/>
  <c r="AF39" i="7"/>
  <c r="AF157" i="7"/>
  <c r="AG80" i="7"/>
  <c r="AG81" i="7" s="1"/>
  <c r="AG77" i="7"/>
  <c r="AG40" i="7"/>
  <c r="AF171" i="7"/>
  <c r="AL211" i="3"/>
  <c r="AL368" i="3" s="1"/>
  <c r="AK212" i="3"/>
  <c r="O152" i="4"/>
  <c r="O245" i="4"/>
  <c r="P92" i="3"/>
  <c r="P54" i="3"/>
  <c r="AK368" i="3"/>
  <c r="AL225" i="3"/>
  <c r="AL219" i="3"/>
  <c r="Q76" i="3"/>
  <c r="AB80" i="5"/>
  <c r="Q80" i="3"/>
  <c r="Q91" i="3"/>
  <c r="AT218" i="3"/>
  <c r="AT364" i="3" s="1"/>
  <c r="AJ157" i="3"/>
  <c r="AJ158" i="3" s="1"/>
  <c r="AJ177" i="4"/>
  <c r="AJ259" i="4" s="1"/>
  <c r="AF172" i="7"/>
  <c r="AG143" i="7"/>
  <c r="AJ484" i="3"/>
  <c r="AG93" i="7"/>
  <c r="AJ75" i="7"/>
  <c r="AG155" i="7"/>
  <c r="AI178" i="4"/>
  <c r="E86" i="1"/>
  <c r="AI26" i="5"/>
  <c r="AH23" i="5"/>
  <c r="AH70" i="5"/>
  <c r="AG67" i="5"/>
  <c r="AI484" i="3"/>
  <c r="AJ257" i="3"/>
  <c r="AI230" i="3"/>
  <c r="AI213" i="3"/>
  <c r="AJ213" i="3"/>
  <c r="AK213" i="3" s="1"/>
  <c r="S35" i="5"/>
  <c r="S286" i="3"/>
  <c r="T31" i="5"/>
  <c r="S290" i="3"/>
  <c r="AI91" i="7"/>
  <c r="AJ91" i="7"/>
  <c r="AL212" i="3" l="1"/>
  <c r="AL369" i="3" s="1"/>
  <c r="AM211" i="3"/>
  <c r="AM212" i="3" s="1"/>
  <c r="AF36" i="7"/>
  <c r="AG38" i="7"/>
  <c r="AG145" i="7"/>
  <c r="AG39" i="7"/>
  <c r="AG157" i="7"/>
  <c r="AJ80" i="7"/>
  <c r="AJ81" i="7" s="1"/>
  <c r="AJ77" i="7"/>
  <c r="AG37" i="7"/>
  <c r="AG95" i="7"/>
  <c r="AG171" i="7"/>
  <c r="AK369" i="3"/>
  <c r="P55" i="3"/>
  <c r="Q83" i="3" s="1"/>
  <c r="AM225" i="3"/>
  <c r="O516" i="3"/>
  <c r="O509" i="3"/>
  <c r="O114" i="4"/>
  <c r="O194" i="4"/>
  <c r="O153" i="4"/>
  <c r="P151" i="4" s="1"/>
  <c r="P62" i="3"/>
  <c r="P96" i="3"/>
  <c r="AM219" i="3"/>
  <c r="Q77" i="3"/>
  <c r="R69" i="3"/>
  <c r="AB78" i="5"/>
  <c r="AB298" i="3" s="1"/>
  <c r="AC75" i="5"/>
  <c r="AC76" i="5" s="1"/>
  <c r="Q82" i="3"/>
  <c r="AJ93" i="7"/>
  <c r="AG172" i="7"/>
  <c r="AG98" i="7"/>
  <c r="AG99" i="7" s="1"/>
  <c r="AI93" i="7"/>
  <c r="T37" i="5"/>
  <c r="T285" i="3"/>
  <c r="T32" i="5"/>
  <c r="S288" i="3"/>
  <c r="AL213" i="3"/>
  <c r="AI70" i="5"/>
  <c r="AH67" i="5"/>
  <c r="AI23" i="5"/>
  <c r="AJ26" i="5"/>
  <c r="AN211" i="3"/>
  <c r="AK257" i="3"/>
  <c r="AJ230" i="3"/>
  <c r="AM368" i="3" l="1"/>
  <c r="AG36" i="7"/>
  <c r="AJ98" i="7"/>
  <c r="AJ99" i="7" s="1"/>
  <c r="AJ95" i="7"/>
  <c r="AI98" i="7"/>
  <c r="AI99" i="7" s="1"/>
  <c r="AI95" i="7"/>
  <c r="AC296" i="3"/>
  <c r="P56" i="3"/>
  <c r="P165" i="3" s="1"/>
  <c r="AN225" i="3"/>
  <c r="AO225" i="3" s="1"/>
  <c r="R73" i="3"/>
  <c r="P97" i="3"/>
  <c r="Q90" i="3"/>
  <c r="P66" i="3"/>
  <c r="O533" i="3"/>
  <c r="O200" i="4"/>
  <c r="O196" i="4"/>
  <c r="O210" i="4"/>
  <c r="O206" i="4"/>
  <c r="O208" i="4"/>
  <c r="O202" i="4"/>
  <c r="O201" i="4"/>
  <c r="O197" i="4"/>
  <c r="O199" i="4"/>
  <c r="O213" i="4"/>
  <c r="O195" i="4"/>
  <c r="O211" i="4"/>
  <c r="O207" i="4"/>
  <c r="O209" i="4"/>
  <c r="O212" i="4"/>
  <c r="O198" i="4"/>
  <c r="O523" i="3"/>
  <c r="O539" i="3" s="1"/>
  <c r="AN368" i="3"/>
  <c r="AN219" i="3"/>
  <c r="AC80" i="5"/>
  <c r="AJ37" i="7"/>
  <c r="AJ36" i="7" s="1"/>
  <c r="AI37" i="7"/>
  <c r="AI36" i="7" s="1"/>
  <c r="AM369" i="3"/>
  <c r="AJ23" i="5"/>
  <c r="AK26" i="5"/>
  <c r="AK230" i="3"/>
  <c r="AL257" i="3"/>
  <c r="AO211" i="3"/>
  <c r="AN212" i="3"/>
  <c r="T35" i="5"/>
  <c r="T286" i="3"/>
  <c r="AJ224" i="3"/>
  <c r="AJ70" i="5"/>
  <c r="AI67" i="5"/>
  <c r="U31" i="5"/>
  <c r="T290" i="3"/>
  <c r="AM213" i="3"/>
  <c r="P57" i="3" l="1"/>
  <c r="Q50" i="3" s="1"/>
  <c r="R74" i="3"/>
  <c r="R80" i="3" s="1"/>
  <c r="R75" i="3"/>
  <c r="O214" i="4"/>
  <c r="Q93" i="3"/>
  <c r="P174" i="3"/>
  <c r="P189" i="3" s="1"/>
  <c r="P170" i="3"/>
  <c r="O203" i="4"/>
  <c r="P169" i="4"/>
  <c r="P238" i="4" s="1"/>
  <c r="Q60" i="3"/>
  <c r="P67" i="3"/>
  <c r="AO368" i="3"/>
  <c r="AO219" i="3"/>
  <c r="AC78" i="5"/>
  <c r="AC298" i="3" s="1"/>
  <c r="AD75" i="5"/>
  <c r="AD76" i="5" s="1"/>
  <c r="AN213" i="3"/>
  <c r="AL230" i="3"/>
  <c r="AL26" i="5"/>
  <c r="AK23" i="5"/>
  <c r="T288" i="3"/>
  <c r="AP225" i="3"/>
  <c r="AK70" i="5"/>
  <c r="AJ67" i="5"/>
  <c r="AN369" i="3"/>
  <c r="AP211" i="3"/>
  <c r="AO212" i="3"/>
  <c r="U37" i="5"/>
  <c r="U32" i="5"/>
  <c r="U285" i="3"/>
  <c r="P58" i="3" l="1"/>
  <c r="AD296" i="3"/>
  <c r="R76" i="3"/>
  <c r="R77" i="3" s="1"/>
  <c r="R91" i="3"/>
  <c r="Q168" i="4"/>
  <c r="P244" i="4"/>
  <c r="P243" i="4"/>
  <c r="P241" i="4"/>
  <c r="P240" i="4"/>
  <c r="P242" i="4"/>
  <c r="P239" i="4"/>
  <c r="P531" i="3"/>
  <c r="P152" i="4"/>
  <c r="O511" i="3"/>
  <c r="O116" i="4"/>
  <c r="O518" i="3"/>
  <c r="Q54" i="3"/>
  <c r="Q92" i="3"/>
  <c r="AP368" i="3"/>
  <c r="AP219" i="3"/>
  <c r="AD80" i="5"/>
  <c r="R82" i="3"/>
  <c r="U286" i="3"/>
  <c r="AP212" i="3"/>
  <c r="AQ211" i="3"/>
  <c r="V31" i="5"/>
  <c r="U290" i="3"/>
  <c r="AL70" i="5"/>
  <c r="AK67" i="5"/>
  <c r="AM26" i="5"/>
  <c r="AL23" i="5"/>
  <c r="AO213" i="3"/>
  <c r="AQ225" i="3"/>
  <c r="AO369" i="3"/>
  <c r="S69" i="3" l="1"/>
  <c r="Q55" i="3"/>
  <c r="Q56" i="3" s="1"/>
  <c r="O525" i="3"/>
  <c r="O541" i="3" s="1"/>
  <c r="Q62" i="3"/>
  <c r="Q96" i="3"/>
  <c r="P153" i="4"/>
  <c r="Q151" i="4" s="1"/>
  <c r="P194" i="4"/>
  <c r="P245" i="4"/>
  <c r="AQ368" i="3"/>
  <c r="AQ219" i="3"/>
  <c r="AD78" i="5"/>
  <c r="AD298" i="3" s="1"/>
  <c r="AE75" i="5"/>
  <c r="AE76" i="5" s="1"/>
  <c r="AQ212" i="3"/>
  <c r="AR211" i="3"/>
  <c r="AR225" i="3"/>
  <c r="AN26" i="5"/>
  <c r="AM23" i="5"/>
  <c r="AP369" i="3"/>
  <c r="U287" i="3"/>
  <c r="V37" i="5"/>
  <c r="V32" i="5"/>
  <c r="V285" i="3"/>
  <c r="AP213" i="3"/>
  <c r="AM70" i="5"/>
  <c r="AL67" i="5"/>
  <c r="U35" i="5"/>
  <c r="R83" i="3" l="1"/>
  <c r="AE296" i="3"/>
  <c r="S73" i="3"/>
  <c r="Q57" i="3"/>
  <c r="Q58" i="3" s="1"/>
  <c r="P114" i="4"/>
  <c r="P516" i="3"/>
  <c r="P509" i="3"/>
  <c r="P533" i="3"/>
  <c r="P213" i="4"/>
  <c r="P197" i="4"/>
  <c r="P211" i="4"/>
  <c r="P210" i="4"/>
  <c r="P199" i="4"/>
  <c r="P200" i="4"/>
  <c r="P202" i="4"/>
  <c r="P196" i="4"/>
  <c r="P209" i="4"/>
  <c r="P206" i="4"/>
  <c r="P212" i="4"/>
  <c r="P201" i="4"/>
  <c r="P198" i="4"/>
  <c r="P195" i="4"/>
  <c r="P208" i="4"/>
  <c r="P207" i="4"/>
  <c r="R50" i="3"/>
  <c r="Q165" i="3"/>
  <c r="Q97" i="3"/>
  <c r="R90" i="3"/>
  <c r="Q66" i="3"/>
  <c r="AR368" i="3"/>
  <c r="AR219" i="3"/>
  <c r="AE80" i="5"/>
  <c r="V35" i="5"/>
  <c r="V286" i="3"/>
  <c r="AR212" i="3"/>
  <c r="AS211" i="3"/>
  <c r="AS368" i="3" s="1"/>
  <c r="W31" i="5"/>
  <c r="V290" i="3"/>
  <c r="AQ369" i="3"/>
  <c r="AM67" i="5"/>
  <c r="AN70" i="5"/>
  <c r="AO26" i="5"/>
  <c r="AN23" i="5"/>
  <c r="U288" i="3"/>
  <c r="AQ213" i="3"/>
  <c r="AS225" i="3"/>
  <c r="S74" i="3" l="1"/>
  <c r="S75" i="3"/>
  <c r="P214" i="4"/>
  <c r="P203" i="4"/>
  <c r="Q174" i="3"/>
  <c r="Q189" i="3" s="1"/>
  <c r="Q170" i="3"/>
  <c r="P523" i="3"/>
  <c r="P539" i="3" s="1"/>
  <c r="Q152" i="4"/>
  <c r="R159" i="4"/>
  <c r="R216" i="4" s="1"/>
  <c r="R60" i="3"/>
  <c r="R92" i="3" s="1"/>
  <c r="Q169" i="4"/>
  <c r="Q238" i="4" s="1"/>
  <c r="Q67" i="3"/>
  <c r="R54" i="3"/>
  <c r="R93" i="3"/>
  <c r="AT211" i="3"/>
  <c r="AT212" i="3" s="1"/>
  <c r="AS219" i="3"/>
  <c r="AF75" i="5"/>
  <c r="AF76" i="5" s="1"/>
  <c r="AF296" i="3" s="1"/>
  <c r="AE78" i="5"/>
  <c r="AE298" i="3" s="1"/>
  <c r="AT225" i="3"/>
  <c r="AR213" i="3"/>
  <c r="W37" i="5"/>
  <c r="W32" i="5"/>
  <c r="W285" i="3"/>
  <c r="V288" i="3"/>
  <c r="AP26" i="5"/>
  <c r="AO23" i="5"/>
  <c r="AS212" i="3"/>
  <c r="AR369" i="3"/>
  <c r="AN67" i="5"/>
  <c r="AO70" i="5"/>
  <c r="S91" i="3" l="1"/>
  <c r="S80" i="3"/>
  <c r="S76" i="3"/>
  <c r="Q242" i="4"/>
  <c r="Q240" i="4"/>
  <c r="Q239" i="4"/>
  <c r="Q531" i="3"/>
  <c r="Q244" i="4"/>
  <c r="Q241" i="4"/>
  <c r="Q243" i="4"/>
  <c r="R168" i="4"/>
  <c r="R96" i="3"/>
  <c r="R62" i="3"/>
  <c r="R55" i="3"/>
  <c r="R230" i="4"/>
  <c r="R217" i="4"/>
  <c r="R233" i="4"/>
  <c r="R234" i="4"/>
  <c r="R229" i="4"/>
  <c r="R235" i="4"/>
  <c r="R232" i="4"/>
  <c r="R530" i="3"/>
  <c r="R223" i="4"/>
  <c r="R218" i="4"/>
  <c r="R219" i="4"/>
  <c r="R224" i="4"/>
  <c r="R220" i="4"/>
  <c r="R231" i="4"/>
  <c r="R221" i="4"/>
  <c r="R222" i="4"/>
  <c r="P116" i="4"/>
  <c r="P518" i="3"/>
  <c r="P511" i="3"/>
  <c r="Q153" i="4"/>
  <c r="R151" i="4" s="1"/>
  <c r="Q194" i="4"/>
  <c r="AT368" i="3"/>
  <c r="AT369" i="3"/>
  <c r="AT219" i="3"/>
  <c r="AF80" i="5"/>
  <c r="AQ26" i="5"/>
  <c r="AP23" i="5"/>
  <c r="AS369" i="3"/>
  <c r="X31" i="5"/>
  <c r="W290" i="3"/>
  <c r="AS213" i="3"/>
  <c r="AP70" i="5"/>
  <c r="AO67" i="5"/>
  <c r="W35" i="5"/>
  <c r="W286" i="3"/>
  <c r="S77" i="3" l="1"/>
  <c r="T69" i="3"/>
  <c r="S82" i="3"/>
  <c r="Q245" i="4"/>
  <c r="Q114" i="4" s="1"/>
  <c r="R225" i="4"/>
  <c r="Q195" i="4"/>
  <c r="Q200" i="4"/>
  <c r="AJ200" i="4" s="1"/>
  <c r="Q202" i="4"/>
  <c r="AJ202" i="4" s="1"/>
  <c r="Q207" i="4"/>
  <c r="AJ207" i="4" s="1"/>
  <c r="Q201" i="4"/>
  <c r="AJ201" i="4" s="1"/>
  <c r="Q212" i="4"/>
  <c r="AJ212" i="4" s="1"/>
  <c r="Q210" i="4"/>
  <c r="AJ210" i="4" s="1"/>
  <c r="Q533" i="3"/>
  <c r="Q213" i="4"/>
  <c r="AJ213" i="4" s="1"/>
  <c r="Q206" i="4"/>
  <c r="Q209" i="4"/>
  <c r="AJ209" i="4" s="1"/>
  <c r="Q208" i="4"/>
  <c r="AJ208" i="4" s="1"/>
  <c r="Q198" i="4"/>
  <c r="AJ198" i="4" s="1"/>
  <c r="Q199" i="4"/>
  <c r="AJ199" i="4" s="1"/>
  <c r="Q197" i="4"/>
  <c r="AJ197" i="4" s="1"/>
  <c r="Q196" i="4"/>
  <c r="AJ196" i="4" s="1"/>
  <c r="Q211" i="4"/>
  <c r="AJ211" i="4" s="1"/>
  <c r="S83" i="3"/>
  <c r="R56" i="3"/>
  <c r="R57" i="3" s="1"/>
  <c r="P525" i="3"/>
  <c r="P541" i="3" s="1"/>
  <c r="R236" i="4"/>
  <c r="R66" i="3"/>
  <c r="R97" i="3"/>
  <c r="S90" i="3"/>
  <c r="AG75" i="5"/>
  <c r="AG76" i="5" s="1"/>
  <c r="AG296" i="3" s="1"/>
  <c r="AF78" i="5"/>
  <c r="AF298" i="3" s="1"/>
  <c r="AT213" i="3"/>
  <c r="W288" i="3"/>
  <c r="X32" i="5"/>
  <c r="X37" i="5"/>
  <c r="X285" i="3"/>
  <c r="AQ23" i="5"/>
  <c r="AR26" i="5"/>
  <c r="AQ70" i="5"/>
  <c r="AP67" i="5"/>
  <c r="Q516" i="3" l="1"/>
  <c r="Q509" i="3"/>
  <c r="T73" i="3"/>
  <c r="Q214" i="4"/>
  <c r="AJ214" i="4" s="1"/>
  <c r="AJ206" i="4"/>
  <c r="S93" i="3"/>
  <c r="S50" i="3"/>
  <c r="R58" i="3"/>
  <c r="S159" i="4"/>
  <c r="S216" i="4" s="1"/>
  <c r="R169" i="4"/>
  <c r="R238" i="4" s="1"/>
  <c r="R67" i="3"/>
  <c r="S60" i="3"/>
  <c r="R165" i="3"/>
  <c r="Q203" i="4"/>
  <c r="AJ195" i="4"/>
  <c r="R515" i="3"/>
  <c r="R508" i="3"/>
  <c r="R112" i="4"/>
  <c r="AG80" i="5"/>
  <c r="AR70" i="5"/>
  <c r="AQ67" i="5"/>
  <c r="Y31" i="5"/>
  <c r="X290" i="3"/>
  <c r="AR23" i="5"/>
  <c r="AS26" i="5"/>
  <c r="X35" i="5"/>
  <c r="X286" i="3"/>
  <c r="Q523" i="3" l="1"/>
  <c r="Q539" i="3" s="1"/>
  <c r="T74" i="3"/>
  <c r="T75" i="3"/>
  <c r="R522" i="3"/>
  <c r="R538" i="3" s="1"/>
  <c r="R170" i="3"/>
  <c r="R174" i="3"/>
  <c r="R189" i="3" s="1"/>
  <c r="S158" i="4"/>
  <c r="S92" i="3"/>
  <c r="S54" i="3"/>
  <c r="S168" i="4"/>
  <c r="R531" i="3"/>
  <c r="R244" i="4"/>
  <c r="R243" i="4"/>
  <c r="R242" i="4"/>
  <c r="R239" i="4"/>
  <c r="R240" i="4"/>
  <c r="R241" i="4"/>
  <c r="Q116" i="4"/>
  <c r="AJ116" i="4" s="1"/>
  <c r="Q518" i="3"/>
  <c r="Q511" i="3"/>
  <c r="AJ511" i="3" s="1"/>
  <c r="AJ203" i="4"/>
  <c r="S229" i="4"/>
  <c r="S222" i="4"/>
  <c r="S230" i="4"/>
  <c r="S232" i="4"/>
  <c r="S217" i="4"/>
  <c r="S221" i="4"/>
  <c r="S218" i="4"/>
  <c r="S530" i="3"/>
  <c r="S219" i="4"/>
  <c r="S224" i="4"/>
  <c r="S235" i="4"/>
  <c r="S233" i="4"/>
  <c r="S228" i="4"/>
  <c r="S220" i="4"/>
  <c r="S234" i="4"/>
  <c r="S231" i="4"/>
  <c r="S223" i="4"/>
  <c r="AG77" i="5"/>
  <c r="AH75" i="5"/>
  <c r="AH76" i="5" s="1"/>
  <c r="AS70" i="5"/>
  <c r="AR67" i="5"/>
  <c r="X288" i="3"/>
  <c r="AT26" i="5"/>
  <c r="AS23" i="5"/>
  <c r="Y32" i="5"/>
  <c r="Y37" i="5"/>
  <c r="Y285" i="3"/>
  <c r="AG297" i="3" l="1"/>
  <c r="T76" i="3"/>
  <c r="U69" i="3" s="1"/>
  <c r="T91" i="3"/>
  <c r="T80" i="3"/>
  <c r="S55" i="3"/>
  <c r="S62" i="3"/>
  <c r="S96" i="3"/>
  <c r="Q525" i="3"/>
  <c r="Q541" i="3" s="1"/>
  <c r="S236" i="4"/>
  <c r="AJ518" i="3"/>
  <c r="AJ525" i="3" s="1"/>
  <c r="AJ541" i="3" s="1"/>
  <c r="F160" i="1" s="1"/>
  <c r="R245" i="4"/>
  <c r="S225" i="4"/>
  <c r="AG78" i="5"/>
  <c r="AG298" i="3" s="1"/>
  <c r="AH80" i="5"/>
  <c r="AI75" i="5" s="1"/>
  <c r="AI76" i="5" s="1"/>
  <c r="AU26" i="5"/>
  <c r="AT23" i="5"/>
  <c r="AT70" i="5"/>
  <c r="AS67" i="5"/>
  <c r="Z31" i="5"/>
  <c r="Y290" i="3"/>
  <c r="Y35" i="5"/>
  <c r="Y286" i="3"/>
  <c r="T77" i="3" l="1"/>
  <c r="T82" i="3"/>
  <c r="U73" i="3"/>
  <c r="S508" i="3"/>
  <c r="S112" i="4"/>
  <c r="S515" i="3"/>
  <c r="R114" i="4"/>
  <c r="R509" i="3"/>
  <c r="R516" i="3"/>
  <c r="T90" i="3"/>
  <c r="S97" i="3"/>
  <c r="S66" i="3"/>
  <c r="S56" i="3"/>
  <c r="T83" i="3"/>
  <c r="AH78" i="5"/>
  <c r="AI80" i="5"/>
  <c r="AJ75" i="5" s="1"/>
  <c r="AJ76" i="5" s="1"/>
  <c r="AV26" i="5"/>
  <c r="AU23" i="5"/>
  <c r="Z32" i="5"/>
  <c r="Z37" i="5"/>
  <c r="Z285" i="3"/>
  <c r="AU70" i="5"/>
  <c r="AT67" i="5"/>
  <c r="Y288" i="3"/>
  <c r="U74" i="3" l="1"/>
  <c r="U75" i="3"/>
  <c r="S522" i="3"/>
  <c r="S538" i="3" s="1"/>
  <c r="R523" i="3"/>
  <c r="R539" i="3" s="1"/>
  <c r="T93" i="3"/>
  <c r="AI78" i="5"/>
  <c r="S165" i="3"/>
  <c r="S67" i="3"/>
  <c r="T60" i="3"/>
  <c r="S169" i="4"/>
  <c r="S238" i="4" s="1"/>
  <c r="S57" i="3"/>
  <c r="AJ80" i="5"/>
  <c r="AK75" i="5" s="1"/>
  <c r="AK76" i="5" s="1"/>
  <c r="AA31" i="5"/>
  <c r="Z290" i="3"/>
  <c r="AW26" i="5"/>
  <c r="AV23" i="5"/>
  <c r="Z35" i="5"/>
  <c r="Z286" i="3"/>
  <c r="AU67" i="5"/>
  <c r="AV70" i="5"/>
  <c r="U76" i="3" l="1"/>
  <c r="U91" i="3"/>
  <c r="U80" i="3"/>
  <c r="AJ78" i="5"/>
  <c r="T50" i="3"/>
  <c r="S58" i="3"/>
  <c r="T159" i="4"/>
  <c r="T216" i="4" s="1"/>
  <c r="S174" i="3"/>
  <c r="S189" i="3" s="1"/>
  <c r="S170" i="3"/>
  <c r="S239" i="4"/>
  <c r="S244" i="4"/>
  <c r="S243" i="4"/>
  <c r="S531" i="3"/>
  <c r="S241" i="4"/>
  <c r="S240" i="4"/>
  <c r="S242" i="4"/>
  <c r="T168" i="4"/>
  <c r="AK80" i="5"/>
  <c r="AL75" i="5" s="1"/>
  <c r="AL76" i="5" s="1"/>
  <c r="AA37" i="5"/>
  <c r="AA32" i="5"/>
  <c r="AA285" i="3"/>
  <c r="AX26" i="5"/>
  <c r="AW23" i="5"/>
  <c r="AW70" i="5"/>
  <c r="AV67" i="5"/>
  <c r="Z288" i="3"/>
  <c r="V69" i="3" l="1"/>
  <c r="V73" i="3" s="1"/>
  <c r="U77" i="3"/>
  <c r="U82" i="3"/>
  <c r="AK78" i="5"/>
  <c r="T530" i="3"/>
  <c r="T217" i="4"/>
  <c r="T224" i="4"/>
  <c r="T229" i="4"/>
  <c r="T228" i="4"/>
  <c r="T222" i="4"/>
  <c r="T221" i="4"/>
  <c r="T233" i="4"/>
  <c r="T220" i="4"/>
  <c r="T235" i="4"/>
  <c r="T219" i="4"/>
  <c r="T230" i="4"/>
  <c r="T231" i="4"/>
  <c r="T223" i="4"/>
  <c r="T232" i="4"/>
  <c r="T234" i="4"/>
  <c r="T218" i="4"/>
  <c r="S245" i="4"/>
  <c r="T92" i="3"/>
  <c r="T54" i="3"/>
  <c r="T158" i="4"/>
  <c r="AL80" i="5"/>
  <c r="AM75" i="5" s="1"/>
  <c r="AM76" i="5" s="1"/>
  <c r="AA35" i="5"/>
  <c r="AA286" i="3"/>
  <c r="AY26" i="5"/>
  <c r="AX23" i="5"/>
  <c r="AB31" i="5"/>
  <c r="AA290" i="3"/>
  <c r="AX70" i="5"/>
  <c r="AW67" i="5"/>
  <c r="AL78" i="5" l="1"/>
  <c r="V74" i="3"/>
  <c r="V75" i="3"/>
  <c r="T225" i="4"/>
  <c r="T62" i="3"/>
  <c r="T96" i="3"/>
  <c r="S516" i="3"/>
  <c r="S114" i="4"/>
  <c r="S509" i="3"/>
  <c r="T236" i="4"/>
  <c r="T55" i="3"/>
  <c r="AM80" i="5"/>
  <c r="AN75" i="5" s="1"/>
  <c r="AN76" i="5" s="1"/>
  <c r="AB37" i="5"/>
  <c r="AB32" i="5"/>
  <c r="AB285" i="3"/>
  <c r="AY70" i="5"/>
  <c r="AX67" i="5"/>
  <c r="AY23" i="5"/>
  <c r="AZ26" i="5"/>
  <c r="AA288" i="3"/>
  <c r="AM78" i="5" l="1"/>
  <c r="V76" i="3"/>
  <c r="V91" i="3"/>
  <c r="V80" i="3"/>
  <c r="T97" i="3"/>
  <c r="U90" i="3"/>
  <c r="U83" i="3"/>
  <c r="T56" i="3"/>
  <c r="T57" i="3" s="1"/>
  <c r="S523" i="3"/>
  <c r="S539" i="3" s="1"/>
  <c r="T66" i="3"/>
  <c r="T112" i="4"/>
  <c r="T508" i="3"/>
  <c r="T515" i="3"/>
  <c r="AN80" i="5"/>
  <c r="AO75" i="5" s="1"/>
  <c r="AO76" i="5" s="1"/>
  <c r="BA26" i="5"/>
  <c r="AZ23" i="5"/>
  <c r="AZ70" i="5"/>
  <c r="AY67" i="5"/>
  <c r="AB35" i="5"/>
  <c r="AB286" i="3"/>
  <c r="AC31" i="5"/>
  <c r="AB290" i="3"/>
  <c r="AN78" i="5" l="1"/>
  <c r="AO78" i="5" s="1"/>
  <c r="W69" i="3"/>
  <c r="W73" i="3" s="1"/>
  <c r="V77" i="3"/>
  <c r="V82" i="3"/>
  <c r="T522" i="3"/>
  <c r="T538" i="3" s="1"/>
  <c r="T58" i="3"/>
  <c r="U159" i="4"/>
  <c r="U216" i="4" s="1"/>
  <c r="U50" i="3"/>
  <c r="T165" i="3"/>
  <c r="U93" i="3"/>
  <c r="U60" i="3"/>
  <c r="T67" i="3"/>
  <c r="T169" i="4"/>
  <c r="T238" i="4" s="1"/>
  <c r="AO80" i="5"/>
  <c r="AP75" i="5" s="1"/>
  <c r="AP76" i="5" s="1"/>
  <c r="BB26" i="5"/>
  <c r="BA23" i="5"/>
  <c r="AB288" i="3"/>
  <c r="AC37" i="5"/>
  <c r="AC32" i="5"/>
  <c r="AC285" i="3"/>
  <c r="BA70" i="5"/>
  <c r="AZ67" i="5"/>
  <c r="W75" i="3" l="1"/>
  <c r="W74" i="3"/>
  <c r="T170" i="3"/>
  <c r="T174" i="3"/>
  <c r="T189" i="3" s="1"/>
  <c r="U168" i="4"/>
  <c r="U158" i="4"/>
  <c r="U92" i="3"/>
  <c r="U54" i="3"/>
  <c r="U230" i="4"/>
  <c r="U220" i="4"/>
  <c r="U218" i="4"/>
  <c r="U219" i="4"/>
  <c r="U223" i="4"/>
  <c r="U222" i="4"/>
  <c r="U221" i="4"/>
  <c r="U234" i="4"/>
  <c r="U231" i="4"/>
  <c r="U217" i="4"/>
  <c r="U530" i="3"/>
  <c r="U224" i="4"/>
  <c r="U228" i="4"/>
  <c r="U235" i="4"/>
  <c r="U229" i="4"/>
  <c r="U233" i="4"/>
  <c r="U232" i="4"/>
  <c r="T240" i="4"/>
  <c r="T242" i="4"/>
  <c r="T244" i="4"/>
  <c r="T531" i="3"/>
  <c r="T239" i="4"/>
  <c r="T241" i="4"/>
  <c r="T243" i="4"/>
  <c r="AP80" i="5"/>
  <c r="AQ75" i="5" s="1"/>
  <c r="AQ76" i="5" s="1"/>
  <c r="AP78" i="5"/>
  <c r="BB70" i="5"/>
  <c r="BA67" i="5"/>
  <c r="BC26" i="5"/>
  <c r="BB23" i="5"/>
  <c r="AC35" i="5"/>
  <c r="AC286" i="3"/>
  <c r="AD31" i="5"/>
  <c r="AC290" i="3"/>
  <c r="W76" i="3" l="1"/>
  <c r="W80" i="3"/>
  <c r="W91" i="3"/>
  <c r="T245" i="4"/>
  <c r="U225" i="4"/>
  <c r="U55" i="3"/>
  <c r="U236" i="4"/>
  <c r="U62" i="3"/>
  <c r="U96" i="3"/>
  <c r="AQ80" i="5"/>
  <c r="AR75" i="5" s="1"/>
  <c r="AR76" i="5" s="1"/>
  <c r="AQ78" i="5"/>
  <c r="BC70" i="5"/>
  <c r="BB67" i="5"/>
  <c r="BD26" i="5"/>
  <c r="BC23" i="5"/>
  <c r="AD37" i="5"/>
  <c r="AD32" i="5"/>
  <c r="AD285" i="3"/>
  <c r="AC288" i="3"/>
  <c r="W77" i="3" l="1"/>
  <c r="X69" i="3"/>
  <c r="W82" i="3"/>
  <c r="U56" i="3"/>
  <c r="V83" i="3"/>
  <c r="U97" i="3"/>
  <c r="V90" i="3"/>
  <c r="U66" i="3"/>
  <c r="U515" i="3"/>
  <c r="U112" i="4"/>
  <c r="U508" i="3"/>
  <c r="T114" i="4"/>
  <c r="T516" i="3"/>
  <c r="T509" i="3"/>
  <c r="AR78" i="5"/>
  <c r="AR80" i="5"/>
  <c r="AS75" i="5" s="1"/>
  <c r="AS76" i="5" s="1"/>
  <c r="AE31" i="5"/>
  <c r="AD290" i="3"/>
  <c r="AD35" i="5"/>
  <c r="AD286" i="3"/>
  <c r="BE26" i="5"/>
  <c r="BD23" i="5"/>
  <c r="BD70" i="5"/>
  <c r="BC67" i="5"/>
  <c r="X73" i="3" l="1"/>
  <c r="U522" i="3"/>
  <c r="U538" i="3" s="1"/>
  <c r="V93" i="3"/>
  <c r="T523" i="3"/>
  <c r="T539" i="3" s="1"/>
  <c r="U57" i="3"/>
  <c r="U165" i="3"/>
  <c r="U169" i="4"/>
  <c r="U238" i="4" s="1"/>
  <c r="V60" i="3"/>
  <c r="U67" i="3"/>
  <c r="AS80" i="5"/>
  <c r="AT75" i="5" s="1"/>
  <c r="AT76" i="5" s="1"/>
  <c r="BF26" i="5"/>
  <c r="BE23" i="5"/>
  <c r="AD288" i="3"/>
  <c r="AE37" i="5"/>
  <c r="AE32" i="5"/>
  <c r="AE285" i="3"/>
  <c r="BE70" i="5"/>
  <c r="BD67" i="5"/>
  <c r="X74" i="3" l="1"/>
  <c r="X75" i="3"/>
  <c r="X91" i="3" s="1"/>
  <c r="U170" i="3"/>
  <c r="U174" i="3"/>
  <c r="U189" i="3" s="1"/>
  <c r="V159" i="4"/>
  <c r="V216" i="4" s="1"/>
  <c r="V50" i="3"/>
  <c r="U58" i="3"/>
  <c r="V168" i="4"/>
  <c r="U243" i="4"/>
  <c r="U242" i="4"/>
  <c r="U239" i="4"/>
  <c r="U531" i="3"/>
  <c r="U244" i="4"/>
  <c r="U240" i="4"/>
  <c r="U241" i="4"/>
  <c r="AS77" i="5"/>
  <c r="AT80" i="5"/>
  <c r="AU75" i="5" s="1"/>
  <c r="AU76" i="5" s="1"/>
  <c r="BF70" i="5"/>
  <c r="BE67" i="5"/>
  <c r="AE35" i="5"/>
  <c r="AE286" i="3"/>
  <c r="AF31" i="5"/>
  <c r="AE290" i="3"/>
  <c r="BG26" i="5"/>
  <c r="BF23" i="5"/>
  <c r="AS78" i="5" l="1"/>
  <c r="AT78" i="5" s="1"/>
  <c r="X80" i="3"/>
  <c r="X76" i="3"/>
  <c r="Y69" i="3" s="1"/>
  <c r="V54" i="3"/>
  <c r="V92" i="3"/>
  <c r="V158" i="4"/>
  <c r="U245" i="4"/>
  <c r="V232" i="4"/>
  <c r="V223" i="4"/>
  <c r="V229" i="4"/>
  <c r="V230" i="4"/>
  <c r="V530" i="3"/>
  <c r="V234" i="4"/>
  <c r="V233" i="4"/>
  <c r="V220" i="4"/>
  <c r="V217" i="4"/>
  <c r="V231" i="4"/>
  <c r="V228" i="4"/>
  <c r="V224" i="4"/>
  <c r="V218" i="4"/>
  <c r="V221" i="4"/>
  <c r="V235" i="4"/>
  <c r="V222" i="4"/>
  <c r="V219" i="4"/>
  <c r="AU80" i="5"/>
  <c r="AV75" i="5" s="1"/>
  <c r="AV76" i="5" s="1"/>
  <c r="AF32" i="5"/>
  <c r="AF37" i="5"/>
  <c r="AF285" i="3"/>
  <c r="BH26" i="5"/>
  <c r="BG23" i="5"/>
  <c r="AE288" i="3"/>
  <c r="BG70" i="5"/>
  <c r="BF67" i="5"/>
  <c r="X82" i="3" l="1"/>
  <c r="X77" i="3"/>
  <c r="Y73" i="3"/>
  <c r="V55" i="3"/>
  <c r="U114" i="4"/>
  <c r="U509" i="3"/>
  <c r="U516" i="3"/>
  <c r="V62" i="3"/>
  <c r="V96" i="3"/>
  <c r="V236" i="4"/>
  <c r="V225" i="4"/>
  <c r="AV80" i="5"/>
  <c r="AW75" i="5" s="1"/>
  <c r="AW76" i="5" s="1"/>
  <c r="AU78" i="5"/>
  <c r="BI26" i="5"/>
  <c r="BH23" i="5"/>
  <c r="BH70" i="5"/>
  <c r="BG67" i="5"/>
  <c r="AG31" i="5"/>
  <c r="AF290" i="3"/>
  <c r="AF35" i="5"/>
  <c r="AF286" i="3"/>
  <c r="Y74" i="3" l="1"/>
  <c r="Y75" i="3"/>
  <c r="W83" i="3"/>
  <c r="V56" i="3"/>
  <c r="V57" i="3" s="1"/>
  <c r="V112" i="4"/>
  <c r="V508" i="3"/>
  <c r="V515" i="3"/>
  <c r="W90" i="3"/>
  <c r="V97" i="3"/>
  <c r="V66" i="3"/>
  <c r="U523" i="3"/>
  <c r="U539" i="3" s="1"/>
  <c r="AW80" i="5"/>
  <c r="AX75" i="5" s="1"/>
  <c r="AX76" i="5" s="1"/>
  <c r="AV78" i="5"/>
  <c r="AF288" i="3"/>
  <c r="BI70" i="5"/>
  <c r="BH67" i="5"/>
  <c r="AG32" i="5"/>
  <c r="AG37" i="5"/>
  <c r="AG285" i="3"/>
  <c r="BJ26" i="5"/>
  <c r="BI23" i="5"/>
  <c r="AG34" i="5" l="1"/>
  <c r="AG33" i="5" s="1"/>
  <c r="V165" i="3"/>
  <c r="V170" i="3" s="1"/>
  <c r="Y76" i="3"/>
  <c r="Y77" i="3" s="1"/>
  <c r="Y91" i="3"/>
  <c r="Y80" i="3"/>
  <c r="V522" i="3"/>
  <c r="V538" i="3" s="1"/>
  <c r="W60" i="3"/>
  <c r="V169" i="4"/>
  <c r="V238" i="4" s="1"/>
  <c r="V67" i="3"/>
  <c r="V174" i="3"/>
  <c r="V189" i="3" s="1"/>
  <c r="W93" i="3"/>
  <c r="W159" i="4"/>
  <c r="W216" i="4" s="1"/>
  <c r="V58" i="3"/>
  <c r="W50" i="3"/>
  <c r="AX80" i="5"/>
  <c r="AY75" i="5" s="1"/>
  <c r="AY76" i="5" s="1"/>
  <c r="AW78" i="5"/>
  <c r="AG286" i="3"/>
  <c r="BK26" i="5"/>
  <c r="BJ23" i="5"/>
  <c r="BJ70" i="5"/>
  <c r="BI67" i="5"/>
  <c r="AH31" i="5"/>
  <c r="AG290" i="3"/>
  <c r="Z69" i="3" l="1"/>
  <c r="Z73" i="3" s="1"/>
  <c r="Y82" i="3"/>
  <c r="W168" i="4"/>
  <c r="W54" i="3"/>
  <c r="W158" i="4"/>
  <c r="W92" i="3"/>
  <c r="W223" i="4"/>
  <c r="W220" i="4"/>
  <c r="W219" i="4"/>
  <c r="W224" i="4"/>
  <c r="W221" i="4"/>
  <c r="W233" i="4"/>
  <c r="W231" i="4"/>
  <c r="W234" i="4"/>
  <c r="W230" i="4"/>
  <c r="W530" i="3"/>
  <c r="W228" i="4"/>
  <c r="W235" i="4"/>
  <c r="W217" i="4"/>
  <c r="W222" i="4"/>
  <c r="W232" i="4"/>
  <c r="W218" i="4"/>
  <c r="W229" i="4"/>
  <c r="V241" i="4"/>
  <c r="V240" i="4"/>
  <c r="V239" i="4"/>
  <c r="V531" i="3"/>
  <c r="V242" i="4"/>
  <c r="V244" i="4"/>
  <c r="V243" i="4"/>
  <c r="AX78" i="5"/>
  <c r="AY80" i="5"/>
  <c r="AZ75" i="5" s="1"/>
  <c r="AZ76" i="5" s="1"/>
  <c r="AG35" i="5"/>
  <c r="BL26" i="5"/>
  <c r="BK23" i="5"/>
  <c r="AH32" i="5"/>
  <c r="AH37" i="5"/>
  <c r="AI31" i="5" s="1"/>
  <c r="BK70" i="5"/>
  <c r="BJ67" i="5"/>
  <c r="AG287" i="3"/>
  <c r="Z75" i="3" l="1"/>
  <c r="Z74" i="3"/>
  <c r="W55" i="3"/>
  <c r="X83" i="3" s="1"/>
  <c r="W236" i="4"/>
  <c r="W62" i="3"/>
  <c r="W96" i="3"/>
  <c r="V245" i="4"/>
  <c r="W225" i="4"/>
  <c r="AY78" i="5"/>
  <c r="AZ80" i="5"/>
  <c r="BA75" i="5" s="1"/>
  <c r="BA76" i="5" s="1"/>
  <c r="AG288" i="3"/>
  <c r="AI37" i="5"/>
  <c r="AJ31" i="5" s="1"/>
  <c r="AI32" i="5"/>
  <c r="AH35" i="5"/>
  <c r="BK67" i="5"/>
  <c r="BL70" i="5"/>
  <c r="BM26" i="5"/>
  <c r="BL23" i="5"/>
  <c r="W56" i="3" l="1"/>
  <c r="W165" i="3" s="1"/>
  <c r="Z76" i="3"/>
  <c r="Z80" i="3"/>
  <c r="Z91" i="3"/>
  <c r="V509" i="3"/>
  <c r="V114" i="4"/>
  <c r="V516" i="3"/>
  <c r="W97" i="3"/>
  <c r="X90" i="3"/>
  <c r="W508" i="3"/>
  <c r="W515" i="3"/>
  <c r="W112" i="4"/>
  <c r="W66" i="3"/>
  <c r="AZ78" i="5"/>
  <c r="BA80" i="5"/>
  <c r="BB75" i="5" s="1"/>
  <c r="BB76" i="5" s="1"/>
  <c r="AI35" i="5"/>
  <c r="BN26" i="5"/>
  <c r="BM23" i="5"/>
  <c r="AJ37" i="5"/>
  <c r="AK31" i="5" s="1"/>
  <c r="AJ32" i="5"/>
  <c r="BL67" i="5"/>
  <c r="BM70" i="5"/>
  <c r="W57" i="3" l="1"/>
  <c r="X50" i="3" s="1"/>
  <c r="AA69" i="3"/>
  <c r="Z77" i="3"/>
  <c r="Z82" i="3"/>
  <c r="W522" i="3"/>
  <c r="W538" i="3" s="1"/>
  <c r="V523" i="3"/>
  <c r="V539" i="3" s="1"/>
  <c r="W67" i="3"/>
  <c r="X60" i="3"/>
  <c r="W169" i="4"/>
  <c r="W238" i="4" s="1"/>
  <c r="X93" i="3"/>
  <c r="W174" i="3"/>
  <c r="W189" i="3" s="1"/>
  <c r="W170" i="3"/>
  <c r="BA78" i="5"/>
  <c r="W58" i="3"/>
  <c r="BB80" i="5"/>
  <c r="BC75" i="5" s="1"/>
  <c r="BC76" i="5" s="1"/>
  <c r="BO26" i="5"/>
  <c r="BN23" i="5"/>
  <c r="AK37" i="5"/>
  <c r="AL31" i="5" s="1"/>
  <c r="AK32" i="5"/>
  <c r="BN70" i="5"/>
  <c r="BM67" i="5"/>
  <c r="AJ35" i="5"/>
  <c r="X159" i="4" l="1"/>
  <c r="X216" i="4" s="1"/>
  <c r="X229" i="4" s="1"/>
  <c r="BB78" i="5"/>
  <c r="W242" i="4"/>
  <c r="W531" i="3"/>
  <c r="W244" i="4"/>
  <c r="W240" i="4"/>
  <c r="W239" i="4"/>
  <c r="W241" i="4"/>
  <c r="W243" i="4"/>
  <c r="X168" i="4"/>
  <c r="X158" i="4"/>
  <c r="X54" i="3"/>
  <c r="X53" i="3"/>
  <c r="X92" i="3"/>
  <c r="X219" i="4"/>
  <c r="X235" i="4"/>
  <c r="X228" i="4"/>
  <c r="X217" i="4"/>
  <c r="X223" i="4"/>
  <c r="X218" i="4"/>
  <c r="X231" i="4"/>
  <c r="X234" i="4"/>
  <c r="X222" i="4"/>
  <c r="X233" i="4"/>
  <c r="X221" i="4"/>
  <c r="X530" i="3"/>
  <c r="X224" i="4"/>
  <c r="X220" i="4"/>
  <c r="X232" i="4"/>
  <c r="BC80" i="5"/>
  <c r="BD75" i="5" s="1"/>
  <c r="BD76" i="5" s="1"/>
  <c r="AK35" i="5"/>
  <c r="AL37" i="5"/>
  <c r="AM31" i="5" s="1"/>
  <c r="AL32" i="5"/>
  <c r="BO70" i="5"/>
  <c r="BN67" i="5"/>
  <c r="BO23" i="5"/>
  <c r="BP26" i="5"/>
  <c r="X230" i="4" l="1"/>
  <c r="X236" i="4" s="1"/>
  <c r="BC78" i="5"/>
  <c r="X55" i="3"/>
  <c r="AJ53" i="3"/>
  <c r="F81" i="1" s="1"/>
  <c r="X166" i="3"/>
  <c r="X225" i="4"/>
  <c r="X62" i="3"/>
  <c r="X96" i="3"/>
  <c r="W245" i="4"/>
  <c r="BD80" i="5"/>
  <c r="BE75" i="5" s="1"/>
  <c r="BE76" i="5" s="1"/>
  <c r="AM37" i="5"/>
  <c r="AN31" i="5" s="1"/>
  <c r="AM32" i="5"/>
  <c r="BP70" i="5"/>
  <c r="BO67" i="5"/>
  <c r="BP23" i="5"/>
  <c r="BQ26" i="5"/>
  <c r="AL35" i="5"/>
  <c r="BD78" i="5" l="1"/>
  <c r="X56" i="3"/>
  <c r="X57" i="3" s="1"/>
  <c r="Y83" i="3"/>
  <c r="W516" i="3"/>
  <c r="W114" i="4"/>
  <c r="W509" i="3"/>
  <c r="X175" i="3"/>
  <c r="AJ166" i="3"/>
  <c r="F96" i="1" s="1"/>
  <c r="X97" i="3"/>
  <c r="Y90" i="3"/>
  <c r="X66" i="3"/>
  <c r="X515" i="3"/>
  <c r="X112" i="4"/>
  <c r="X508" i="3"/>
  <c r="BE80" i="5"/>
  <c r="BF75" i="5" s="1"/>
  <c r="BF76" i="5" s="1"/>
  <c r="BR26" i="5"/>
  <c r="BQ23" i="5"/>
  <c r="AM35" i="5"/>
  <c r="BQ70" i="5"/>
  <c r="BP67" i="5"/>
  <c r="AN32" i="5"/>
  <c r="AN37" i="5"/>
  <c r="AO31" i="5" s="1"/>
  <c r="X165" i="3" l="1"/>
  <c r="X170" i="3" s="1"/>
  <c r="Y93" i="3"/>
  <c r="X522" i="3"/>
  <c r="X538" i="3" s="1"/>
  <c r="X190" i="3"/>
  <c r="AJ175" i="3"/>
  <c r="F103" i="1" s="1"/>
  <c r="Y50" i="3"/>
  <c r="Y159" i="4"/>
  <c r="Y216" i="4" s="1"/>
  <c r="X58" i="3"/>
  <c r="W523" i="3"/>
  <c r="W539" i="3" s="1"/>
  <c r="X169" i="4"/>
  <c r="X238" i="4" s="1"/>
  <c r="X67" i="3"/>
  <c r="Y60" i="3"/>
  <c r="BE77" i="5"/>
  <c r="BF80" i="5"/>
  <c r="BG75" i="5" s="1"/>
  <c r="BG76" i="5" s="1"/>
  <c r="BR70" i="5"/>
  <c r="BQ67" i="5"/>
  <c r="AO32" i="5"/>
  <c r="AO37" i="5"/>
  <c r="AP31" i="5" s="1"/>
  <c r="AN35" i="5"/>
  <c r="BS26" i="5"/>
  <c r="BR23" i="5"/>
  <c r="BE78" i="5" l="1"/>
  <c r="BF78" i="5" s="1"/>
  <c r="X174" i="3"/>
  <c r="X189" i="3" s="1"/>
  <c r="Y168" i="4"/>
  <c r="Y219" i="4"/>
  <c r="Y235" i="4"/>
  <c r="Y232" i="4"/>
  <c r="Y220" i="4"/>
  <c r="Y234" i="4"/>
  <c r="Y230" i="4"/>
  <c r="Y224" i="4"/>
  <c r="Y530" i="3"/>
  <c r="Y233" i="4"/>
  <c r="Y222" i="4"/>
  <c r="Y217" i="4"/>
  <c r="Y218" i="4"/>
  <c r="Y229" i="4"/>
  <c r="Y221" i="4"/>
  <c r="Y231" i="4"/>
  <c r="Y223" i="4"/>
  <c r="Y92" i="3"/>
  <c r="Y54" i="3"/>
  <c r="Y158" i="4"/>
  <c r="X239" i="4"/>
  <c r="X241" i="4"/>
  <c r="X240" i="4"/>
  <c r="X242" i="4"/>
  <c r="X243" i="4"/>
  <c r="X531" i="3"/>
  <c r="X244" i="4"/>
  <c r="AJ190" i="3"/>
  <c r="BG80" i="5"/>
  <c r="BH75" i="5" s="1"/>
  <c r="BH76" i="5" s="1"/>
  <c r="AO35" i="5"/>
  <c r="AP32" i="5"/>
  <c r="AP37" i="5"/>
  <c r="AQ31" i="5" s="1"/>
  <c r="BT26" i="5"/>
  <c r="BS23" i="5"/>
  <c r="BS70" i="5"/>
  <c r="BR67" i="5"/>
  <c r="Y55" i="3" l="1"/>
  <c r="Z83" i="3" s="1"/>
  <c r="Y236" i="4"/>
  <c r="Y62" i="3"/>
  <c r="Y96" i="3"/>
  <c r="Y225" i="4"/>
  <c r="X245" i="4"/>
  <c r="BH80" i="5"/>
  <c r="BI75" i="5" s="1"/>
  <c r="BI76" i="5" s="1"/>
  <c r="BG78" i="5"/>
  <c r="AP35" i="5"/>
  <c r="BU26" i="5"/>
  <c r="BT23" i="5"/>
  <c r="AQ37" i="5"/>
  <c r="AR31" i="5" s="1"/>
  <c r="AQ32" i="5"/>
  <c r="BS67" i="5"/>
  <c r="BT70" i="5"/>
  <c r="Y56" i="3" l="1"/>
  <c r="Y165" i="3" s="1"/>
  <c r="Y66" i="3"/>
  <c r="Y97" i="3"/>
  <c r="Z90" i="3"/>
  <c r="X509" i="3"/>
  <c r="X516" i="3"/>
  <c r="X114" i="4"/>
  <c r="Y508" i="3"/>
  <c r="Y112" i="4"/>
  <c r="Y515" i="3"/>
  <c r="BH78" i="5"/>
  <c r="BI80" i="5"/>
  <c r="BJ75" i="5" s="1"/>
  <c r="BJ76" i="5" s="1"/>
  <c r="AQ35" i="5"/>
  <c r="AR37" i="5"/>
  <c r="AS31" i="5" s="1"/>
  <c r="AR32" i="5"/>
  <c r="BV26" i="5"/>
  <c r="BU23" i="5"/>
  <c r="BT67" i="5"/>
  <c r="BU70" i="5"/>
  <c r="Y57" i="3" l="1"/>
  <c r="Z159" i="4" s="1"/>
  <c r="Z216" i="4" s="1"/>
  <c r="Y522" i="3"/>
  <c r="Y538" i="3" s="1"/>
  <c r="Y174" i="3"/>
  <c r="Y189" i="3" s="1"/>
  <c r="Y170" i="3"/>
  <c r="X523" i="3"/>
  <c r="X539" i="3" s="1"/>
  <c r="Z93" i="3"/>
  <c r="BI78" i="5"/>
  <c r="Y67" i="3"/>
  <c r="Y169" i="4"/>
  <c r="Y238" i="4" s="1"/>
  <c r="Z60" i="3"/>
  <c r="BJ80" i="5"/>
  <c r="BK75" i="5" s="1"/>
  <c r="BK76" i="5" s="1"/>
  <c r="AR35" i="5"/>
  <c r="BW26" i="5"/>
  <c r="BV23" i="5"/>
  <c r="AS37" i="5"/>
  <c r="AT31" i="5" s="1"/>
  <c r="AS32" i="5"/>
  <c r="AS33" i="5" s="1"/>
  <c r="BV70" i="5"/>
  <c r="BU67" i="5"/>
  <c r="AS34" i="5" l="1"/>
  <c r="Z50" i="3"/>
  <c r="Z158" i="4" s="1"/>
  <c r="Y58" i="3"/>
  <c r="BJ78" i="5"/>
  <c r="Z168" i="4"/>
  <c r="AJ168" i="4" s="1"/>
  <c r="Z233" i="4"/>
  <c r="Z235" i="4"/>
  <c r="Z219" i="4"/>
  <c r="Z222" i="4"/>
  <c r="Z220" i="4"/>
  <c r="Z234" i="4"/>
  <c r="Z218" i="4"/>
  <c r="Z232" i="4"/>
  <c r="Z230" i="4"/>
  <c r="Z224" i="4"/>
  <c r="Z221" i="4"/>
  <c r="Z223" i="4"/>
  <c r="Z217" i="4"/>
  <c r="Z231" i="4"/>
  <c r="Z229" i="4"/>
  <c r="Z530" i="3"/>
  <c r="Y240" i="4"/>
  <c r="Y242" i="4"/>
  <c r="Y239" i="4"/>
  <c r="Y244" i="4"/>
  <c r="Y241" i="4"/>
  <c r="Y531" i="3"/>
  <c r="Y243" i="4"/>
  <c r="Z54" i="3"/>
  <c r="BK80" i="5"/>
  <c r="BL75" i="5" s="1"/>
  <c r="BL76" i="5" s="1"/>
  <c r="AT37" i="5"/>
  <c r="AU31" i="5" s="1"/>
  <c r="AT32" i="5"/>
  <c r="BW23" i="5"/>
  <c r="BX26" i="5"/>
  <c r="BW70" i="5"/>
  <c r="BV67" i="5"/>
  <c r="Z92" i="3" l="1"/>
  <c r="Z62" i="3" s="1"/>
  <c r="BK78" i="5"/>
  <c r="Z55" i="3"/>
  <c r="AA83" i="3" s="1"/>
  <c r="Z236" i="4"/>
  <c r="Y245" i="4"/>
  <c r="Z225" i="4"/>
  <c r="BL80" i="5"/>
  <c r="BM75" i="5" s="1"/>
  <c r="BM76" i="5" s="1"/>
  <c r="AS35" i="5"/>
  <c r="AT35" i="5" s="1"/>
  <c r="BX70" i="5"/>
  <c r="BW67" i="5"/>
  <c r="BX23" i="5"/>
  <c r="BY26" i="5"/>
  <c r="AU37" i="5"/>
  <c r="AV31" i="5" s="1"/>
  <c r="AU32" i="5"/>
  <c r="Z96" i="3" l="1"/>
  <c r="Z166" i="4" s="1"/>
  <c r="AJ166" i="4" s="1"/>
  <c r="AK164" i="4" s="1"/>
  <c r="BL78" i="5"/>
  <c r="Z56" i="3"/>
  <c r="Z57" i="3" s="1"/>
  <c r="Z66" i="3"/>
  <c r="Z515" i="3"/>
  <c r="Z112" i="4"/>
  <c r="Z508" i="3"/>
  <c r="Y114" i="4"/>
  <c r="Y516" i="3"/>
  <c r="Y509" i="3"/>
  <c r="BM80" i="5"/>
  <c r="BN75" i="5" s="1"/>
  <c r="BN76" i="5" s="1"/>
  <c r="AU35" i="5"/>
  <c r="AV32" i="5"/>
  <c r="AV37" i="5"/>
  <c r="AW31" i="5" s="1"/>
  <c r="BZ26" i="5"/>
  <c r="BY23" i="5"/>
  <c r="BY70" i="5"/>
  <c r="BX67" i="5"/>
  <c r="Z97" i="3" l="1"/>
  <c r="AA90" i="3"/>
  <c r="AA93" i="3" s="1"/>
  <c r="Z165" i="3"/>
  <c r="Z170" i="3" s="1"/>
  <c r="BM78" i="5"/>
  <c r="BN78" i="5" s="1"/>
  <c r="Y523" i="3"/>
  <c r="Y539" i="3" s="1"/>
  <c r="AA159" i="4"/>
  <c r="AA216" i="4" s="1"/>
  <c r="AA50" i="3"/>
  <c r="Z58" i="3"/>
  <c r="Z169" i="4"/>
  <c r="Z67" i="3"/>
  <c r="AA60" i="3"/>
  <c r="Z522" i="3"/>
  <c r="Z538" i="3" s="1"/>
  <c r="BN80" i="5"/>
  <c r="BO75" i="5" s="1"/>
  <c r="BO76" i="5" s="1"/>
  <c r="AW32" i="5"/>
  <c r="AW37" i="5"/>
  <c r="AX31" i="5" s="1"/>
  <c r="AV35" i="5"/>
  <c r="BZ70" i="5"/>
  <c r="BY67" i="5"/>
  <c r="CA26" i="5"/>
  <c r="BZ23" i="5"/>
  <c r="Z174" i="3" l="1"/>
  <c r="Z189" i="3" s="1"/>
  <c r="AA168" i="4"/>
  <c r="AA64" i="3"/>
  <c r="AA158" i="4"/>
  <c r="AA54" i="3"/>
  <c r="AA70" i="3"/>
  <c r="Z188" i="3"/>
  <c r="AA219" i="4"/>
  <c r="AA231" i="4"/>
  <c r="AA235" i="4"/>
  <c r="AA229" i="4"/>
  <c r="AA220" i="4"/>
  <c r="AA218" i="4"/>
  <c r="AA223" i="4"/>
  <c r="AA217" i="4"/>
  <c r="AA221" i="4"/>
  <c r="AA222" i="4"/>
  <c r="AA234" i="4"/>
  <c r="AA224" i="4"/>
  <c r="AA530" i="3"/>
  <c r="AA233" i="4"/>
  <c r="AA232" i="4"/>
  <c r="AA230" i="4"/>
  <c r="Z238" i="4"/>
  <c r="AJ169" i="4"/>
  <c r="BO80" i="5"/>
  <c r="BP75" i="5" s="1"/>
  <c r="BP76" i="5" s="1"/>
  <c r="BO78" i="5"/>
  <c r="CB26" i="5"/>
  <c r="CA23" i="5"/>
  <c r="AW35" i="5"/>
  <c r="CA70" i="5"/>
  <c r="BZ67" i="5"/>
  <c r="AX32" i="5"/>
  <c r="AX37" i="5"/>
  <c r="AY31" i="5" s="1"/>
  <c r="AA92" i="3" l="1"/>
  <c r="AA62" i="3" s="1"/>
  <c r="AA55" i="3"/>
  <c r="AB83" i="3" s="1"/>
  <c r="AJ238" i="4"/>
  <c r="Z240" i="4"/>
  <c r="Z244" i="4"/>
  <c r="Z239" i="4"/>
  <c r="Z241" i="4"/>
  <c r="Z243" i="4"/>
  <c r="Z531" i="3"/>
  <c r="Z242" i="4"/>
  <c r="AA236" i="4"/>
  <c r="AA225" i="4"/>
  <c r="AA73" i="3"/>
  <c r="BP78" i="5"/>
  <c r="BP80" i="5"/>
  <c r="BQ75" i="5" s="1"/>
  <c r="BQ76" i="5" s="1"/>
  <c r="CC26" i="5"/>
  <c r="CB23" i="5"/>
  <c r="CA67" i="5"/>
  <c r="CB70" i="5"/>
  <c r="AY37" i="5"/>
  <c r="AZ31" i="5" s="1"/>
  <c r="AY32" i="5"/>
  <c r="AX35" i="5"/>
  <c r="AA56" i="3" l="1"/>
  <c r="AA57" i="3" s="1"/>
  <c r="AA75" i="3"/>
  <c r="AA74" i="3"/>
  <c r="AA66" i="3"/>
  <c r="AA508" i="3"/>
  <c r="AA112" i="4"/>
  <c r="AA515" i="3"/>
  <c r="Z245" i="4"/>
  <c r="AJ531" i="3"/>
  <c r="BQ80" i="5"/>
  <c r="BR75" i="5" s="1"/>
  <c r="BR76" i="5" s="1"/>
  <c r="AY35" i="5"/>
  <c r="AZ37" i="5"/>
  <c r="BA31" i="5" s="1"/>
  <c r="AZ32" i="5"/>
  <c r="CD26" i="5"/>
  <c r="CC23" i="5"/>
  <c r="CC70" i="5"/>
  <c r="CB67" i="5"/>
  <c r="AA165" i="3" l="1"/>
  <c r="AA174" i="3" s="1"/>
  <c r="AA189" i="3" s="1"/>
  <c r="AA76" i="3"/>
  <c r="AA522" i="3"/>
  <c r="AA538" i="3" s="1"/>
  <c r="Z509" i="3"/>
  <c r="Z114" i="4"/>
  <c r="Z516" i="3"/>
  <c r="AA67" i="3"/>
  <c r="AA169" i="4"/>
  <c r="AA238" i="4" s="1"/>
  <c r="AB60" i="3"/>
  <c r="AA80" i="3"/>
  <c r="AB159" i="4"/>
  <c r="AB216" i="4" s="1"/>
  <c r="AB50" i="3"/>
  <c r="AA58" i="3"/>
  <c r="AA91" i="3"/>
  <c r="BQ77" i="5"/>
  <c r="BR80" i="5"/>
  <c r="BS75" i="5" s="1"/>
  <c r="BS76" i="5" s="1"/>
  <c r="AZ35" i="5"/>
  <c r="CD70" i="5"/>
  <c r="CC67" i="5"/>
  <c r="BA37" i="5"/>
  <c r="BB31" i="5" s="1"/>
  <c r="BA32" i="5"/>
  <c r="CE26" i="5"/>
  <c r="CD23" i="5"/>
  <c r="AA170" i="3" l="1"/>
  <c r="BQ78" i="5"/>
  <c r="BR78" i="5" s="1"/>
  <c r="AA77" i="3"/>
  <c r="AB69" i="3"/>
  <c r="AB73" i="3" s="1"/>
  <c r="AA96" i="3"/>
  <c r="AB168" i="4"/>
  <c r="AB64" i="3"/>
  <c r="AA242" i="4"/>
  <c r="AA244" i="4"/>
  <c r="AA243" i="4"/>
  <c r="AA241" i="4"/>
  <c r="AA240" i="4"/>
  <c r="AA531" i="3"/>
  <c r="AA239" i="4"/>
  <c r="AB158" i="4"/>
  <c r="AB54" i="3"/>
  <c r="AB232" i="4"/>
  <c r="AB230" i="4"/>
  <c r="AB222" i="4"/>
  <c r="AB217" i="4"/>
  <c r="AB231" i="4"/>
  <c r="AB218" i="4"/>
  <c r="AB223" i="4"/>
  <c r="AB235" i="4"/>
  <c r="AB219" i="4"/>
  <c r="AB234" i="4"/>
  <c r="AB221" i="4"/>
  <c r="AB233" i="4"/>
  <c r="AB229" i="4"/>
  <c r="AB224" i="4"/>
  <c r="AB530" i="3"/>
  <c r="AB220" i="4"/>
  <c r="AA188" i="3"/>
  <c r="Z523" i="3"/>
  <c r="Z539" i="3" s="1"/>
  <c r="BS80" i="5"/>
  <c r="BT75" i="5" s="1"/>
  <c r="BT76" i="5" s="1"/>
  <c r="CE23" i="5"/>
  <c r="CF26" i="5"/>
  <c r="CE70" i="5"/>
  <c r="CD67" i="5"/>
  <c r="BA35" i="5"/>
  <c r="BB37" i="5"/>
  <c r="BC31" i="5" s="1"/>
  <c r="BB32" i="5"/>
  <c r="AB55" i="3" l="1"/>
  <c r="AB56" i="3" s="1"/>
  <c r="AB74" i="3"/>
  <c r="AB75" i="3"/>
  <c r="AA245" i="4"/>
  <c r="AB236" i="4"/>
  <c r="AB92" i="3"/>
  <c r="AB225" i="4"/>
  <c r="AA166" i="4"/>
  <c r="AB90" i="3"/>
  <c r="AA97" i="3"/>
  <c r="BS78" i="5"/>
  <c r="BT80" i="5"/>
  <c r="BU75" i="5" s="1"/>
  <c r="BU76" i="5" s="1"/>
  <c r="CF70" i="5"/>
  <c r="CE67" i="5"/>
  <c r="CG26" i="5"/>
  <c r="CF23" i="5"/>
  <c r="BB35" i="5"/>
  <c r="BC37" i="5"/>
  <c r="BD31" i="5" s="1"/>
  <c r="BC32" i="5"/>
  <c r="AC83" i="3" l="1"/>
  <c r="AB76" i="3"/>
  <c r="AC69" i="3" s="1"/>
  <c r="AB93" i="3"/>
  <c r="AB62" i="3"/>
  <c r="AA516" i="3"/>
  <c r="AA114" i="4"/>
  <c r="AA509" i="3"/>
  <c r="AB112" i="4"/>
  <c r="AB515" i="3"/>
  <c r="AB508" i="3"/>
  <c r="AB91" i="3"/>
  <c r="AB80" i="3"/>
  <c r="AB57" i="3"/>
  <c r="AB165" i="3"/>
  <c r="BT78" i="5"/>
  <c r="BU80" i="5"/>
  <c r="BV75" i="5" s="1"/>
  <c r="BV76" i="5" s="1"/>
  <c r="CH26" i="5"/>
  <c r="CG23" i="5"/>
  <c r="BC35" i="5"/>
  <c r="BD32" i="5"/>
  <c r="BD37" i="5"/>
  <c r="BE31" i="5" s="1"/>
  <c r="CG70" i="5"/>
  <c r="CF67" i="5"/>
  <c r="AB77" i="3" l="1"/>
  <c r="AB522" i="3"/>
  <c r="AB538" i="3" s="1"/>
  <c r="BU78" i="5"/>
  <c r="AB66" i="3"/>
  <c r="AB96" i="3"/>
  <c r="AB170" i="3"/>
  <c r="AB174" i="3"/>
  <c r="AB189" i="3" s="1"/>
  <c r="AA523" i="3"/>
  <c r="AA539" i="3" s="1"/>
  <c r="AC50" i="3"/>
  <c r="AB58" i="3"/>
  <c r="AC159" i="4"/>
  <c r="AC216" i="4" s="1"/>
  <c r="AC73" i="3"/>
  <c r="BV80" i="5"/>
  <c r="BW75" i="5" s="1"/>
  <c r="BW76" i="5" s="1"/>
  <c r="BD35" i="5"/>
  <c r="CH70" i="5"/>
  <c r="CG67" i="5"/>
  <c r="CI26" i="5"/>
  <c r="CH23" i="5"/>
  <c r="BE32" i="5"/>
  <c r="BE33" i="5" s="1"/>
  <c r="BE37" i="5"/>
  <c r="BF31" i="5" s="1"/>
  <c r="BV78" i="5" l="1"/>
  <c r="AC221" i="4"/>
  <c r="AC230" i="4"/>
  <c r="AC220" i="4"/>
  <c r="AC222" i="4"/>
  <c r="AC223" i="4"/>
  <c r="AC232" i="4"/>
  <c r="AC233" i="4"/>
  <c r="AC235" i="4"/>
  <c r="AC530" i="3"/>
  <c r="AC218" i="4"/>
  <c r="AC231" i="4"/>
  <c r="AC224" i="4"/>
  <c r="AC217" i="4"/>
  <c r="AC229" i="4"/>
  <c r="AC219" i="4"/>
  <c r="AC234" i="4"/>
  <c r="AC90" i="3"/>
  <c r="AB166" i="4"/>
  <c r="AB97" i="3"/>
  <c r="AC54" i="3"/>
  <c r="AC158" i="4"/>
  <c r="AC75" i="3"/>
  <c r="AC74" i="3"/>
  <c r="AB67" i="3"/>
  <c r="AB169" i="4"/>
  <c r="AB238" i="4" s="1"/>
  <c r="AC60" i="3"/>
  <c r="AB188" i="3"/>
  <c r="BW80" i="5"/>
  <c r="BX75" i="5" s="1"/>
  <c r="BX76" i="5" s="1"/>
  <c r="CI70" i="5"/>
  <c r="CH67" i="5"/>
  <c r="CJ26" i="5"/>
  <c r="CI23" i="5"/>
  <c r="BF32" i="5"/>
  <c r="BF37" i="5"/>
  <c r="BG31" i="5" s="1"/>
  <c r="BW78" i="5" l="1"/>
  <c r="AC91" i="3"/>
  <c r="AC168" i="4"/>
  <c r="AC64" i="3"/>
  <c r="AC93" i="3"/>
  <c r="AB242" i="4"/>
  <c r="AB531" i="3"/>
  <c r="AB239" i="4"/>
  <c r="AB244" i="4"/>
  <c r="AB243" i="4"/>
  <c r="AB240" i="4"/>
  <c r="AB241" i="4"/>
  <c r="AC55" i="3"/>
  <c r="AC80" i="3"/>
  <c r="AC236" i="4"/>
  <c r="AC76" i="3"/>
  <c r="AC225" i="4"/>
  <c r="BX80" i="5"/>
  <c r="BY75" i="5" s="1"/>
  <c r="BY76" i="5" s="1"/>
  <c r="BE35" i="5"/>
  <c r="BF35" i="5" s="1"/>
  <c r="CJ70" i="5"/>
  <c r="CI67" i="5"/>
  <c r="BG37" i="5"/>
  <c r="BH31" i="5" s="1"/>
  <c r="BG32" i="5"/>
  <c r="CK26" i="5"/>
  <c r="CJ23" i="5"/>
  <c r="BX78" i="5" l="1"/>
  <c r="AC92" i="3"/>
  <c r="AC96" i="3" s="1"/>
  <c r="AC56" i="3"/>
  <c r="AD83" i="3"/>
  <c r="AB245" i="4"/>
  <c r="AC508" i="3"/>
  <c r="AC515" i="3"/>
  <c r="AC112" i="4"/>
  <c r="AD69" i="3"/>
  <c r="AC77" i="3"/>
  <c r="BY80" i="5"/>
  <c r="BZ75" i="5" s="1"/>
  <c r="BZ76" i="5" s="1"/>
  <c r="BG35" i="5"/>
  <c r="CK70" i="5"/>
  <c r="CJ67" i="5"/>
  <c r="BH37" i="5"/>
  <c r="BI31" i="5" s="1"/>
  <c r="BH32" i="5"/>
  <c r="CL26" i="5"/>
  <c r="CK23" i="5"/>
  <c r="BY78" i="5" l="1"/>
  <c r="AC522" i="3"/>
  <c r="AC538" i="3" s="1"/>
  <c r="AB509" i="3"/>
  <c r="AB516" i="3"/>
  <c r="AB114" i="4"/>
  <c r="AD73" i="3"/>
  <c r="AC57" i="3"/>
  <c r="AC165" i="3"/>
  <c r="AC97" i="3"/>
  <c r="AD90" i="3"/>
  <c r="AC166" i="4"/>
  <c r="AC62" i="3"/>
  <c r="BZ80" i="5"/>
  <c r="CA75" i="5" s="1"/>
  <c r="CA76" i="5" s="1"/>
  <c r="CL70" i="5"/>
  <c r="CK67" i="5"/>
  <c r="CM26" i="5"/>
  <c r="CL23" i="5"/>
  <c r="BH35" i="5"/>
  <c r="BI37" i="5"/>
  <c r="BJ31" i="5" s="1"/>
  <c r="BI32" i="5"/>
  <c r="AJ74" i="3"/>
  <c r="AI75" i="3"/>
  <c r="AI76" i="3" s="1"/>
  <c r="AJ75" i="3"/>
  <c r="BZ78" i="5" l="1"/>
  <c r="CA78" i="5" s="1"/>
  <c r="AB523" i="3"/>
  <c r="AB539" i="3" s="1"/>
  <c r="AD50" i="3"/>
  <c r="AD159" i="4"/>
  <c r="AD216" i="4" s="1"/>
  <c r="AC58" i="3"/>
  <c r="AD93" i="3"/>
  <c r="AD75" i="3"/>
  <c r="AD74" i="3"/>
  <c r="AC66" i="3"/>
  <c r="AC174" i="3"/>
  <c r="AC189" i="3" s="1"/>
  <c r="AC170" i="3"/>
  <c r="CA80" i="5"/>
  <c r="CB75" i="5" s="1"/>
  <c r="CB76" i="5" s="1"/>
  <c r="BI35" i="5"/>
  <c r="AI80" i="3"/>
  <c r="AJ80" i="3"/>
  <c r="CN26" i="5"/>
  <c r="CM23" i="5"/>
  <c r="BJ37" i="5"/>
  <c r="BK31" i="5" s="1"/>
  <c r="BJ32" i="5"/>
  <c r="CM70" i="5"/>
  <c r="CL67" i="5"/>
  <c r="AJ69" i="3"/>
  <c r="AJ73" i="3" s="1"/>
  <c r="AJ76" i="3" s="1"/>
  <c r="AI77" i="3"/>
  <c r="AI91" i="3"/>
  <c r="AJ91" i="3"/>
  <c r="AD76" i="3" l="1"/>
  <c r="AD77" i="3" s="1"/>
  <c r="AD60" i="3"/>
  <c r="AC67" i="3"/>
  <c r="AC169" i="4"/>
  <c r="AC238" i="4" s="1"/>
  <c r="AD80" i="3"/>
  <c r="AD218" i="4"/>
  <c r="AD233" i="4"/>
  <c r="AD224" i="4"/>
  <c r="AD232" i="4"/>
  <c r="AD223" i="4"/>
  <c r="AD229" i="4"/>
  <c r="AD234" i="4"/>
  <c r="AD219" i="4"/>
  <c r="AD217" i="4"/>
  <c r="AD221" i="4"/>
  <c r="AD222" i="4"/>
  <c r="AD231" i="4"/>
  <c r="AD220" i="4"/>
  <c r="AD235" i="4"/>
  <c r="AD230" i="4"/>
  <c r="AD530" i="3"/>
  <c r="AC188" i="3"/>
  <c r="AD91" i="3"/>
  <c r="AD54" i="3"/>
  <c r="AD158" i="4"/>
  <c r="CB80" i="5"/>
  <c r="CC75" i="5" s="1"/>
  <c r="CC76" i="5" s="1"/>
  <c r="CB78" i="5"/>
  <c r="BJ35" i="5"/>
  <c r="CO26" i="5"/>
  <c r="CN23" i="5"/>
  <c r="BK37" i="5"/>
  <c r="BL31" i="5" s="1"/>
  <c r="BK32" i="5"/>
  <c r="AJ77" i="3"/>
  <c r="AK69" i="3"/>
  <c r="CN70" i="5"/>
  <c r="CM67" i="5"/>
  <c r="AE69" i="3" l="1"/>
  <c r="AE73" i="3" s="1"/>
  <c r="AC241" i="4"/>
  <c r="AC244" i="4"/>
  <c r="AC242" i="4"/>
  <c r="AC240" i="4"/>
  <c r="AC243" i="4"/>
  <c r="AC531" i="3"/>
  <c r="AC239" i="4"/>
  <c r="AD225" i="4"/>
  <c r="AD64" i="3"/>
  <c r="AD168" i="4"/>
  <c r="AD55" i="3"/>
  <c r="AD236" i="4"/>
  <c r="CC80" i="5"/>
  <c r="CD75" i="5" s="1"/>
  <c r="CD76" i="5" s="1"/>
  <c r="BK35" i="5"/>
  <c r="AJ228" i="4"/>
  <c r="CO70" i="5"/>
  <c r="CN67" i="5"/>
  <c r="CP26" i="5"/>
  <c r="CO23" i="5"/>
  <c r="AI220" i="4"/>
  <c r="AJ220" i="4"/>
  <c r="AJ217" i="4"/>
  <c r="BL32" i="5"/>
  <c r="BL37" i="5"/>
  <c r="BM31" i="5" s="1"/>
  <c r="AD112" i="4" l="1"/>
  <c r="AD515" i="3"/>
  <c r="AD508" i="3"/>
  <c r="AD56" i="3"/>
  <c r="AE83" i="3"/>
  <c r="AC245" i="4"/>
  <c r="AD92" i="3"/>
  <c r="AE74" i="3"/>
  <c r="AE75" i="3"/>
  <c r="CC77" i="5"/>
  <c r="CD80" i="5"/>
  <c r="CE75" i="5" s="1"/>
  <c r="CE76" i="5" s="1"/>
  <c r="BL35" i="5"/>
  <c r="CP70" i="5"/>
  <c r="CO67" i="5"/>
  <c r="CQ26" i="5"/>
  <c r="CP23" i="5"/>
  <c r="AI83" i="3"/>
  <c r="AJ83" i="3"/>
  <c r="AI236" i="4"/>
  <c r="AJ236" i="4"/>
  <c r="BM32" i="5"/>
  <c r="BM37" i="5"/>
  <c r="BN31" i="5" s="1"/>
  <c r="AI225" i="4"/>
  <c r="AJ225" i="4"/>
  <c r="AI82" i="3"/>
  <c r="AJ82" i="3"/>
  <c r="F83" i="1" s="1"/>
  <c r="CC78" i="5" l="1"/>
  <c r="CD78" i="5" s="1"/>
  <c r="AE76" i="3"/>
  <c r="AF69" i="3" s="1"/>
  <c r="AC516" i="3"/>
  <c r="AC114" i="4"/>
  <c r="AC509" i="3"/>
  <c r="AD96" i="3"/>
  <c r="AD62" i="3"/>
  <c r="AD522" i="3"/>
  <c r="AD538" i="3" s="1"/>
  <c r="AD57" i="3"/>
  <c r="AD165" i="3"/>
  <c r="AE80" i="3"/>
  <c r="AE91" i="3"/>
  <c r="CE80" i="5"/>
  <c r="CF75" i="5" s="1"/>
  <c r="CF76" i="5" s="1"/>
  <c r="AI112" i="4"/>
  <c r="AJ112" i="4"/>
  <c r="BN32" i="5"/>
  <c r="BN37" i="5"/>
  <c r="BO31" i="5" s="1"/>
  <c r="AJ515" i="3"/>
  <c r="BM35" i="5"/>
  <c r="AI515" i="3"/>
  <c r="CR26" i="5"/>
  <c r="CQ23" i="5"/>
  <c r="AI508" i="3"/>
  <c r="AJ508" i="3"/>
  <c r="E83" i="1"/>
  <c r="AI84" i="3"/>
  <c r="CQ70" i="5"/>
  <c r="CP67" i="5"/>
  <c r="AE77" i="3" l="1"/>
  <c r="AD66" i="3"/>
  <c r="AD170" i="3"/>
  <c r="AD174" i="3"/>
  <c r="AD189" i="3" s="1"/>
  <c r="AE90" i="3"/>
  <c r="AD166" i="4"/>
  <c r="AD97" i="3"/>
  <c r="AE50" i="3"/>
  <c r="AE159" i="4"/>
  <c r="AE216" i="4" s="1"/>
  <c r="AD58" i="3"/>
  <c r="AF73" i="3"/>
  <c r="AC523" i="3"/>
  <c r="AC539" i="3" s="1"/>
  <c r="CE78" i="5"/>
  <c r="CF80" i="5"/>
  <c r="CG75" i="5" s="1"/>
  <c r="CG76" i="5" s="1"/>
  <c r="AJ522" i="3"/>
  <c r="AI241" i="4"/>
  <c r="AJ241" i="4"/>
  <c r="AI240" i="4"/>
  <c r="AJ240" i="4"/>
  <c r="AI239" i="4"/>
  <c r="AJ239" i="4"/>
  <c r="CQ67" i="5"/>
  <c r="CR70" i="5"/>
  <c r="CS26" i="5"/>
  <c r="CR23" i="5"/>
  <c r="AI522" i="3"/>
  <c r="AI243" i="4"/>
  <c r="AJ243" i="4"/>
  <c r="AI244" i="4"/>
  <c r="AJ244" i="4"/>
  <c r="AI93" i="3"/>
  <c r="E84" i="1" s="1"/>
  <c r="AJ93" i="3"/>
  <c r="F84" i="1" s="1"/>
  <c r="BO37" i="5"/>
  <c r="BP31" i="5" s="1"/>
  <c r="BO32" i="5"/>
  <c r="BN35" i="5"/>
  <c r="AI242" i="4"/>
  <c r="AJ242" i="4"/>
  <c r="AE231" i="4" l="1"/>
  <c r="AE220" i="4"/>
  <c r="AE230" i="4"/>
  <c r="AE222" i="4"/>
  <c r="AE224" i="4"/>
  <c r="AE235" i="4"/>
  <c r="AE217" i="4"/>
  <c r="AE221" i="4"/>
  <c r="AE232" i="4"/>
  <c r="AE218" i="4"/>
  <c r="AE530" i="3"/>
  <c r="AE228" i="4"/>
  <c r="AE223" i="4"/>
  <c r="AE234" i="4"/>
  <c r="AE219" i="4"/>
  <c r="AE229" i="4"/>
  <c r="AE233" i="4"/>
  <c r="AD188" i="3"/>
  <c r="AE93" i="3"/>
  <c r="AF75" i="3"/>
  <c r="AF74" i="3"/>
  <c r="AE54" i="3"/>
  <c r="AE158" i="4"/>
  <c r="AE60" i="3"/>
  <c r="AD169" i="4"/>
  <c r="AD238" i="4" s="1"/>
  <c r="AD67" i="3"/>
  <c r="CF78" i="5"/>
  <c r="CG80" i="5"/>
  <c r="CH75" i="5" s="1"/>
  <c r="CH76" i="5" s="1"/>
  <c r="CT26" i="5"/>
  <c r="CS23" i="5"/>
  <c r="CR67" i="5"/>
  <c r="CS70" i="5"/>
  <c r="AI92" i="3"/>
  <c r="AI96" i="3" s="1"/>
  <c r="AJ92" i="3"/>
  <c r="AI245" i="4"/>
  <c r="AJ245" i="4"/>
  <c r="AI54" i="3"/>
  <c r="AJ54" i="3"/>
  <c r="BO35" i="5"/>
  <c r="BP37" i="5"/>
  <c r="BQ31" i="5" s="1"/>
  <c r="BP32" i="5"/>
  <c r="AF76" i="3" l="1"/>
  <c r="CG78" i="5"/>
  <c r="CH78" i="5" s="1"/>
  <c r="AE225" i="4"/>
  <c r="AE508" i="3" s="1"/>
  <c r="AF80" i="3"/>
  <c r="AE55" i="3"/>
  <c r="AF91" i="3"/>
  <c r="AE236" i="4"/>
  <c r="AE168" i="4"/>
  <c r="AE64" i="3"/>
  <c r="AD244" i="4"/>
  <c r="AD240" i="4"/>
  <c r="AD243" i="4"/>
  <c r="AD242" i="4"/>
  <c r="AD531" i="3"/>
  <c r="AD239" i="4"/>
  <c r="AD241" i="4"/>
  <c r="CH80" i="5"/>
  <c r="CI75" i="5" s="1"/>
  <c r="CI76" i="5" s="1"/>
  <c r="F82" i="1"/>
  <c r="BP35" i="5"/>
  <c r="BQ37" i="5"/>
  <c r="BR31" i="5" s="1"/>
  <c r="BQ32" i="5"/>
  <c r="BQ33" i="5" s="1"/>
  <c r="AJ516" i="3"/>
  <c r="AJ62" i="3"/>
  <c r="AI62" i="3"/>
  <c r="AI66" i="3" s="1"/>
  <c r="E77" i="1"/>
  <c r="AI112" i="3"/>
  <c r="AJ90" i="3"/>
  <c r="AI97" i="3"/>
  <c r="AI509" i="3"/>
  <c r="AJ509" i="3"/>
  <c r="CT70" i="5"/>
  <c r="CS67" i="5"/>
  <c r="AI114" i="4"/>
  <c r="AJ114" i="4"/>
  <c r="AI516" i="3"/>
  <c r="AJ56" i="3"/>
  <c r="E82" i="1"/>
  <c r="AI55" i="3"/>
  <c r="CU26" i="5"/>
  <c r="CT23" i="5"/>
  <c r="AF77" i="3" l="1"/>
  <c r="AG69" i="3"/>
  <c r="AG73" i="3" s="1"/>
  <c r="AE112" i="4"/>
  <c r="AE515" i="3"/>
  <c r="AE522" i="3" s="1"/>
  <c r="AE538" i="3" s="1"/>
  <c r="AE92" i="3"/>
  <c r="AE62" i="3" s="1"/>
  <c r="AF83" i="3"/>
  <c r="AE56" i="3"/>
  <c r="AD245" i="4"/>
  <c r="CI78" i="5"/>
  <c r="CI80" i="5"/>
  <c r="CJ75" i="5" s="1"/>
  <c r="CJ76" i="5" s="1"/>
  <c r="AI124" i="3"/>
  <c r="AJ130" i="3" s="1"/>
  <c r="AI99" i="3"/>
  <c r="AI100" i="3" s="1"/>
  <c r="AI523" i="3"/>
  <c r="AI539" i="3" s="1"/>
  <c r="E158" i="1" s="1"/>
  <c r="CU23" i="5"/>
  <c r="CV26" i="5"/>
  <c r="E92" i="1"/>
  <c r="E91" i="1"/>
  <c r="AJ523" i="3"/>
  <c r="AM83" i="3"/>
  <c r="AL83" i="3"/>
  <c r="AI57" i="3"/>
  <c r="AK83" i="3"/>
  <c r="AJ94" i="3"/>
  <c r="AJ96" i="3" s="1"/>
  <c r="AJ97" i="3" s="1"/>
  <c r="AI67" i="3"/>
  <c r="AI110" i="3"/>
  <c r="E75" i="1"/>
  <c r="AJ60" i="3"/>
  <c r="AI165" i="3"/>
  <c r="AJ165" i="3"/>
  <c r="CU70" i="5"/>
  <c r="CT67" i="5"/>
  <c r="BR37" i="5"/>
  <c r="BS31" i="5" s="1"/>
  <c r="BR32" i="5"/>
  <c r="AE96" i="3" l="1"/>
  <c r="AF90" i="3" s="1"/>
  <c r="AD516" i="3"/>
  <c r="AD114" i="4"/>
  <c r="AD509" i="3"/>
  <c r="AE66" i="3"/>
  <c r="AE57" i="3"/>
  <c r="AE165" i="3"/>
  <c r="AG75" i="3"/>
  <c r="AG74" i="3"/>
  <c r="CJ78" i="5"/>
  <c r="CJ80" i="5"/>
  <c r="CK75" i="5" s="1"/>
  <c r="CK76" i="5" s="1"/>
  <c r="AI122" i="3"/>
  <c r="AJ128" i="3" s="1"/>
  <c r="BQ35" i="5"/>
  <c r="BR35" i="5" s="1"/>
  <c r="AI109" i="3"/>
  <c r="E74" i="1"/>
  <c r="E89" i="1" s="1"/>
  <c r="F77" i="1"/>
  <c r="AK90" i="3"/>
  <c r="AJ112" i="3"/>
  <c r="CV23" i="5"/>
  <c r="CW26" i="5"/>
  <c r="AJ539" i="3"/>
  <c r="F158" i="1" s="1"/>
  <c r="AJ209" i="3"/>
  <c r="AJ66" i="3"/>
  <c r="AJ67" i="3" s="1"/>
  <c r="BS37" i="5"/>
  <c r="BT31" i="5" s="1"/>
  <c r="BS32" i="5"/>
  <c r="F98" i="1"/>
  <c r="E98" i="1"/>
  <c r="AI162" i="4"/>
  <c r="AI216" i="4" s="1"/>
  <c r="AI420" i="3"/>
  <c r="AI421" i="3"/>
  <c r="AJ50" i="3"/>
  <c r="AI58" i="3"/>
  <c r="CV70" i="5"/>
  <c r="CU67" i="5"/>
  <c r="AI174" i="3"/>
  <c r="E105" i="1" s="1"/>
  <c r="E107" i="1" s="1"/>
  <c r="AJ174" i="3"/>
  <c r="F105" i="1" s="1"/>
  <c r="F107" i="1" s="1"/>
  <c r="AE166" i="4" l="1"/>
  <c r="AE97" i="3"/>
  <c r="AG76" i="3"/>
  <c r="AG77" i="3" s="1"/>
  <c r="AF50" i="3"/>
  <c r="AF159" i="4"/>
  <c r="AF216" i="4" s="1"/>
  <c r="AE58" i="3"/>
  <c r="AD523" i="3"/>
  <c r="AD539" i="3" s="1"/>
  <c r="AF93" i="3"/>
  <c r="AE174" i="3"/>
  <c r="AE189" i="3" s="1"/>
  <c r="AE170" i="3"/>
  <c r="AF60" i="3"/>
  <c r="AE169" i="4"/>
  <c r="AE238" i="4" s="1"/>
  <c r="AE67" i="3"/>
  <c r="AG80" i="3"/>
  <c r="AG91" i="3"/>
  <c r="CK78" i="5"/>
  <c r="CK80" i="5"/>
  <c r="CL75" i="5" s="1"/>
  <c r="CL76" i="5" s="1"/>
  <c r="AJ124" i="3"/>
  <c r="AK130" i="3" s="1"/>
  <c r="AJ55" i="3"/>
  <c r="AK60" i="3"/>
  <c r="F75" i="1"/>
  <c r="AJ110" i="3"/>
  <c r="AJ189" i="3"/>
  <c r="AI530" i="3"/>
  <c r="CW70" i="5"/>
  <c r="CV67" i="5"/>
  <c r="CX26" i="5"/>
  <c r="CW23" i="5"/>
  <c r="BS35" i="5"/>
  <c r="AI121" i="3"/>
  <c r="AJ127" i="3" s="1"/>
  <c r="BT32" i="5"/>
  <c r="BT37" i="5"/>
  <c r="BU31" i="5" s="1"/>
  <c r="AF168" i="4" l="1"/>
  <c r="AF64" i="3"/>
  <c r="AF230" i="4"/>
  <c r="AJ230" i="4" s="1"/>
  <c r="AF223" i="4"/>
  <c r="AJ223" i="4" s="1"/>
  <c r="AF229" i="4"/>
  <c r="AJ229" i="4" s="1"/>
  <c r="AF231" i="4"/>
  <c r="AJ231" i="4" s="1"/>
  <c r="AF217" i="4"/>
  <c r="AF232" i="4"/>
  <c r="AJ232" i="4" s="1"/>
  <c r="AF218" i="4"/>
  <c r="AJ218" i="4" s="1"/>
  <c r="AF228" i="4"/>
  <c r="AF234" i="4"/>
  <c r="AJ234" i="4" s="1"/>
  <c r="AF220" i="4"/>
  <c r="AF233" i="4"/>
  <c r="AJ233" i="4" s="1"/>
  <c r="AF221" i="4"/>
  <c r="AJ221" i="4" s="1"/>
  <c r="AF235" i="4"/>
  <c r="AJ235" i="4" s="1"/>
  <c r="AF530" i="3"/>
  <c r="AF222" i="4"/>
  <c r="AJ222" i="4" s="1"/>
  <c r="AF219" i="4"/>
  <c r="AJ219" i="4" s="1"/>
  <c r="AF224" i="4"/>
  <c r="AJ224" i="4" s="1"/>
  <c r="AF158" i="4"/>
  <c r="AF54" i="3"/>
  <c r="AE188" i="3"/>
  <c r="AE242" i="4"/>
  <c r="AE239" i="4"/>
  <c r="AE243" i="4"/>
  <c r="AE244" i="4"/>
  <c r="AE531" i="3"/>
  <c r="AE240" i="4"/>
  <c r="AE241" i="4"/>
  <c r="CL80" i="5"/>
  <c r="CM75" i="5" s="1"/>
  <c r="CM76" i="5" s="1"/>
  <c r="CL78" i="5"/>
  <c r="AJ122" i="3"/>
  <c r="AK128" i="3" s="1"/>
  <c r="AI151" i="3"/>
  <c r="AI143" i="3"/>
  <c r="AJ57" i="3"/>
  <c r="AJ99" i="3"/>
  <c r="AJ100" i="3" s="1"/>
  <c r="CY26" i="5"/>
  <c r="CX23" i="5"/>
  <c r="BT35" i="5"/>
  <c r="AI538" i="3"/>
  <c r="E157" i="1" s="1"/>
  <c r="CX70" i="5"/>
  <c r="CW67" i="5"/>
  <c r="AI214" i="3"/>
  <c r="AJ214" i="3"/>
  <c r="AK168" i="4"/>
  <c r="AK63" i="3"/>
  <c r="AK167" i="3" s="1"/>
  <c r="AK176" i="3" s="1"/>
  <c r="AK64" i="3"/>
  <c r="BU32" i="5"/>
  <c r="BU37" i="5"/>
  <c r="BV31" i="5" s="1"/>
  <c r="AF55" i="3" l="1"/>
  <c r="AF56" i="3" s="1"/>
  <c r="AE245" i="4"/>
  <c r="AE516" i="3" s="1"/>
  <c r="AF236" i="4"/>
  <c r="AF225" i="4"/>
  <c r="AF92" i="3"/>
  <c r="CM80" i="5"/>
  <c r="CN75" i="5" s="1"/>
  <c r="CN76" i="5" s="1"/>
  <c r="CM78" i="5"/>
  <c r="AJ109" i="3"/>
  <c r="F74" i="1"/>
  <c r="AJ58" i="3"/>
  <c r="AJ421" i="3"/>
  <c r="AJ420" i="3"/>
  <c r="AJ162" i="4"/>
  <c r="AK161" i="4" s="1"/>
  <c r="AK50" i="3"/>
  <c r="BU35" i="5"/>
  <c r="CY70" i="5"/>
  <c r="CX67" i="5"/>
  <c r="G97" i="1"/>
  <c r="BV32" i="5"/>
  <c r="BV37" i="5"/>
  <c r="BW31" i="5" s="1"/>
  <c r="CZ26" i="5"/>
  <c r="CY23" i="5"/>
  <c r="AE509" i="3" l="1"/>
  <c r="AE523" i="3" s="1"/>
  <c r="AE539" i="3" s="1"/>
  <c r="AE114" i="4"/>
  <c r="AG83" i="3"/>
  <c r="AF62" i="3"/>
  <c r="AF96" i="3"/>
  <c r="AF508" i="3"/>
  <c r="AF515" i="3"/>
  <c r="AF112" i="4"/>
  <c r="AF57" i="3"/>
  <c r="AF165" i="3"/>
  <c r="CN78" i="5"/>
  <c r="CN80" i="5"/>
  <c r="CO75" i="5" s="1"/>
  <c r="CO76" i="5" s="1"/>
  <c r="AJ121" i="3"/>
  <c r="AK53" i="3"/>
  <c r="AK166" i="3" s="1"/>
  <c r="AK175" i="3" s="1"/>
  <c r="F90" i="1"/>
  <c r="F89" i="1"/>
  <c r="AJ216" i="4"/>
  <c r="AK92" i="3"/>
  <c r="AK54" i="3"/>
  <c r="AK70" i="3"/>
  <c r="BV35" i="5"/>
  <c r="CY67" i="5"/>
  <c r="CZ70" i="5"/>
  <c r="G104" i="1"/>
  <c r="AK191" i="3"/>
  <c r="DA26" i="5"/>
  <c r="CZ23" i="5"/>
  <c r="BW37" i="5"/>
  <c r="BX31" i="5" s="1"/>
  <c r="BW32" i="5"/>
  <c r="AF522" i="3" l="1"/>
  <c r="AF538" i="3" s="1"/>
  <c r="G81" i="1"/>
  <c r="AF170" i="3"/>
  <c r="AF174" i="3"/>
  <c r="AF189" i="3" s="1"/>
  <c r="AG50" i="3"/>
  <c r="AG159" i="4"/>
  <c r="AG216" i="4" s="1"/>
  <c r="AF58" i="3"/>
  <c r="AG90" i="3"/>
  <c r="AF166" i="4"/>
  <c r="AF97" i="3"/>
  <c r="AF66" i="3"/>
  <c r="CO80" i="5"/>
  <c r="CP75" i="5" s="1"/>
  <c r="CP76" i="5" s="1"/>
  <c r="AK62" i="3"/>
  <c r="AK66" i="3" s="1"/>
  <c r="G75" i="1" s="1"/>
  <c r="G80" i="1"/>
  <c r="AJ530" i="3"/>
  <c r="AJ538" i="3" s="1"/>
  <c r="F157" i="1" s="1"/>
  <c r="AK127" i="3"/>
  <c r="AK73" i="3"/>
  <c r="AJ143" i="3"/>
  <c r="CZ67" i="5"/>
  <c r="DA70" i="5"/>
  <c r="BW35" i="5"/>
  <c r="BX37" i="5"/>
  <c r="BY31" i="5" s="1"/>
  <c r="BX32" i="5"/>
  <c r="G96" i="1"/>
  <c r="DB26" i="5"/>
  <c r="DA23" i="5"/>
  <c r="G89" i="1" l="1"/>
  <c r="AF169" i="4"/>
  <c r="AF238" i="4" s="1"/>
  <c r="AF67" i="3"/>
  <c r="AG60" i="3"/>
  <c r="AG158" i="4"/>
  <c r="AG54" i="3"/>
  <c r="AG93" i="3"/>
  <c r="AG218" i="4"/>
  <c r="AG224" i="4"/>
  <c r="AG220" i="4"/>
  <c r="AG222" i="4"/>
  <c r="AG219" i="4"/>
  <c r="AG234" i="4"/>
  <c r="AG230" i="4"/>
  <c r="AG231" i="4"/>
  <c r="AG221" i="4"/>
  <c r="AG229" i="4"/>
  <c r="AG217" i="4"/>
  <c r="AG223" i="4"/>
  <c r="AG233" i="4"/>
  <c r="AG530" i="3"/>
  <c r="AG232" i="4"/>
  <c r="AG228" i="4"/>
  <c r="AG235" i="4"/>
  <c r="AF188" i="3"/>
  <c r="AK110" i="3"/>
  <c r="AK122" i="3" s="1"/>
  <c r="AL128" i="3" s="1"/>
  <c r="AK169" i="4"/>
  <c r="AK238" i="4" s="1"/>
  <c r="AL60" i="3"/>
  <c r="AL168" i="4" s="1"/>
  <c r="AK67" i="3"/>
  <c r="CO77" i="5"/>
  <c r="CP80" i="5"/>
  <c r="CQ75" i="5" s="1"/>
  <c r="CQ76" i="5" s="1"/>
  <c r="AK74" i="3"/>
  <c r="AK149" i="4"/>
  <c r="AK171" i="4" s="1"/>
  <c r="AK75" i="3"/>
  <c r="AJ151" i="3"/>
  <c r="BX35" i="5"/>
  <c r="BY37" i="5"/>
  <c r="BZ31" i="5" s="1"/>
  <c r="BY32" i="5"/>
  <c r="DB70" i="5"/>
  <c r="DA67" i="5"/>
  <c r="G103" i="1"/>
  <c r="AK190" i="3"/>
  <c r="DC26" i="5"/>
  <c r="DB23" i="5"/>
  <c r="CO78" i="5" l="1"/>
  <c r="CP78" i="5" s="1"/>
  <c r="AL63" i="3"/>
  <c r="AL167" i="3" s="1"/>
  <c r="AL176" i="3" s="1"/>
  <c r="H104" i="1" s="1"/>
  <c r="AK531" i="3"/>
  <c r="AL64" i="3"/>
  <c r="AG236" i="4"/>
  <c r="AK244" i="4"/>
  <c r="AK239" i="4"/>
  <c r="AG168" i="4"/>
  <c r="AG64" i="3"/>
  <c r="AK242" i="4"/>
  <c r="AK240" i="4"/>
  <c r="AF241" i="4"/>
  <c r="AF242" i="4"/>
  <c r="AF243" i="4"/>
  <c r="AF239" i="4"/>
  <c r="AF240" i="4"/>
  <c r="AF531" i="3"/>
  <c r="AF244" i="4"/>
  <c r="AG225" i="4"/>
  <c r="AG55" i="3"/>
  <c r="AK243" i="4"/>
  <c r="AK241" i="4"/>
  <c r="CQ80" i="5"/>
  <c r="CR75" i="5" s="1"/>
  <c r="CR76" i="5" s="1"/>
  <c r="AK91" i="3"/>
  <c r="AK80" i="3"/>
  <c r="AK184" i="4"/>
  <c r="AK186" i="4" s="1"/>
  <c r="AK76" i="3"/>
  <c r="BY35" i="5"/>
  <c r="DC23" i="5"/>
  <c r="DD26" i="5"/>
  <c r="DC70" i="5"/>
  <c r="DB67" i="5"/>
  <c r="BZ37" i="5"/>
  <c r="CA31" i="5" s="1"/>
  <c r="BZ32" i="5"/>
  <c r="H97" i="1" l="1"/>
  <c r="AL191" i="3"/>
  <c r="AK245" i="4"/>
  <c r="AK516" i="3" s="1"/>
  <c r="AK523" i="3" s="1"/>
  <c r="AK539" i="3" s="1"/>
  <c r="G158" i="1" s="1"/>
  <c r="AF245" i="4"/>
  <c r="AG56" i="3"/>
  <c r="AG92" i="3"/>
  <c r="AG112" i="4"/>
  <c r="AG515" i="3"/>
  <c r="AG508" i="3"/>
  <c r="CQ78" i="5"/>
  <c r="CR80" i="5"/>
  <c r="CS75" i="5" s="1"/>
  <c r="CS76" i="5" s="1"/>
  <c r="AL69" i="3"/>
  <c r="AK82" i="3"/>
  <c r="AK93" i="3"/>
  <c r="AK188" i="4"/>
  <c r="AK191" i="4"/>
  <c r="AK185" i="4"/>
  <c r="AK190" i="4"/>
  <c r="AK532" i="3"/>
  <c r="AK189" i="4"/>
  <c r="AK187" i="4"/>
  <c r="AK77" i="3"/>
  <c r="BZ35" i="5"/>
  <c r="DD70" i="5"/>
  <c r="DC67" i="5"/>
  <c r="CA37" i="5"/>
  <c r="CB31" i="5" s="1"/>
  <c r="CA32" i="5"/>
  <c r="DD23" i="5"/>
  <c r="DE26" i="5"/>
  <c r="AG522" i="3" l="1"/>
  <c r="AG538" i="3" s="1"/>
  <c r="AG62" i="3"/>
  <c r="AG96" i="3"/>
  <c r="AG57" i="3"/>
  <c r="AG165" i="3"/>
  <c r="AF516" i="3"/>
  <c r="AF114" i="4"/>
  <c r="AF509" i="3"/>
  <c r="CR78" i="5"/>
  <c r="CS80" i="5"/>
  <c r="CT75" i="5" s="1"/>
  <c r="CT76" i="5" s="1"/>
  <c r="G84" i="1"/>
  <c r="AK165" i="4"/>
  <c r="AK176" i="4" s="1"/>
  <c r="AK252" i="4" s="1"/>
  <c r="AK94" i="3"/>
  <c r="G82" i="1"/>
  <c r="G83" i="1"/>
  <c r="AK192" i="4"/>
  <c r="CA35" i="5"/>
  <c r="DE70" i="5"/>
  <c r="DD67" i="5"/>
  <c r="CB32" i="5"/>
  <c r="CB37" i="5"/>
  <c r="CC31" i="5" s="1"/>
  <c r="DF26" i="5"/>
  <c r="DE23" i="5"/>
  <c r="G90" i="1" l="1"/>
  <c r="CS78" i="5"/>
  <c r="AG170" i="3"/>
  <c r="AG174" i="3"/>
  <c r="AG189" i="3" s="1"/>
  <c r="AG58" i="3"/>
  <c r="AG166" i="4"/>
  <c r="AG97" i="3"/>
  <c r="AF523" i="3"/>
  <c r="AF539" i="3" s="1"/>
  <c r="AG66" i="3"/>
  <c r="CT80" i="5"/>
  <c r="CU75" i="5" s="1"/>
  <c r="CU76" i="5" s="1"/>
  <c r="AK95" i="3"/>
  <c r="AK96" i="3" s="1"/>
  <c r="AK256" i="4"/>
  <c r="AK255" i="4"/>
  <c r="AK253" i="4"/>
  <c r="AK254" i="4"/>
  <c r="AK534" i="3"/>
  <c r="AK517" i="3"/>
  <c r="AK524" i="3" s="1"/>
  <c r="AK540" i="3" s="1"/>
  <c r="G159" i="1" s="1"/>
  <c r="CB35" i="5"/>
  <c r="CC32" i="5"/>
  <c r="CC33" i="5" s="1"/>
  <c r="CC37" i="5"/>
  <c r="CD31" i="5" s="1"/>
  <c r="DF70" i="5"/>
  <c r="DE67" i="5"/>
  <c r="DG26" i="5"/>
  <c r="DF23" i="5"/>
  <c r="CT78" i="5" l="1"/>
  <c r="AG169" i="4"/>
  <c r="AG238" i="4" s="1"/>
  <c r="AG67" i="3"/>
  <c r="AG188" i="3"/>
  <c r="CU80" i="5"/>
  <c r="CV75" i="5" s="1"/>
  <c r="CV76" i="5" s="1"/>
  <c r="G77" i="1"/>
  <c r="AL90" i="3"/>
  <c r="AK112" i="3"/>
  <c r="AK166" i="4"/>
  <c r="AL164" i="4" s="1"/>
  <c r="AK97" i="3"/>
  <c r="AK257" i="4"/>
  <c r="AK168" i="3"/>
  <c r="AK177" i="3" s="1"/>
  <c r="AK142" i="3"/>
  <c r="AK156" i="3" s="1"/>
  <c r="AK158" i="3" s="1"/>
  <c r="CD32" i="5"/>
  <c r="CD37" i="5"/>
  <c r="CE31" i="5" s="1"/>
  <c r="DH26" i="5"/>
  <c r="DG23" i="5"/>
  <c r="DG70" i="5"/>
  <c r="DF67" i="5"/>
  <c r="CU78" i="5" l="1"/>
  <c r="AG242" i="4"/>
  <c r="AG243" i="4"/>
  <c r="AG531" i="3"/>
  <c r="AG239" i="4"/>
  <c r="AG244" i="4"/>
  <c r="AG240" i="4"/>
  <c r="AG241" i="4"/>
  <c r="CV80" i="5"/>
  <c r="CW75" i="5" s="1"/>
  <c r="CW76" i="5" s="1"/>
  <c r="AK266" i="4"/>
  <c r="AK268" i="4" s="1"/>
  <c r="AK270" i="4" s="1"/>
  <c r="AK217" i="3"/>
  <c r="AK519" i="3"/>
  <c r="AK526" i="3" s="1"/>
  <c r="AK542" i="3" s="1"/>
  <c r="G161" i="1" s="1"/>
  <c r="AK124" i="3"/>
  <c r="AL130" i="3" s="1"/>
  <c r="AK192" i="3"/>
  <c r="G99" i="1"/>
  <c r="CC35" i="5"/>
  <c r="CD35" i="5" s="1"/>
  <c r="AK143" i="3"/>
  <c r="CE37" i="5"/>
  <c r="CF31" i="5" s="1"/>
  <c r="CE32" i="5"/>
  <c r="DI26" i="5"/>
  <c r="DH23" i="5"/>
  <c r="DG67" i="5"/>
  <c r="DH70" i="5"/>
  <c r="CV78" i="5" l="1"/>
  <c r="AG245" i="4"/>
  <c r="AG114" i="4" s="1"/>
  <c r="CW80" i="5"/>
  <c r="CX75" i="5" s="1"/>
  <c r="CX76" i="5" s="1"/>
  <c r="G106" i="1"/>
  <c r="AK483" i="3"/>
  <c r="AK198" i="3" s="1"/>
  <c r="AK363" i="3"/>
  <c r="AK178" i="3"/>
  <c r="AK193" i="3" s="1"/>
  <c r="AK177" i="4"/>
  <c r="AK259" i="4" s="1"/>
  <c r="AK151" i="3"/>
  <c r="CE35" i="5"/>
  <c r="DI70" i="5"/>
  <c r="DH67" i="5"/>
  <c r="CF37" i="5"/>
  <c r="CG31" i="5" s="1"/>
  <c r="CF32" i="5"/>
  <c r="DJ26" i="5"/>
  <c r="DI23" i="5"/>
  <c r="AG509" i="3" l="1"/>
  <c r="AG516" i="3"/>
  <c r="CW78" i="5"/>
  <c r="CX80" i="5"/>
  <c r="CY75" i="5" s="1"/>
  <c r="CY76" i="5" s="1"/>
  <c r="AK484" i="3"/>
  <c r="AK262" i="4"/>
  <c r="AK263" i="4"/>
  <c r="AK260" i="4"/>
  <c r="AK261" i="4"/>
  <c r="DJ70" i="5"/>
  <c r="DI67" i="5"/>
  <c r="CG37" i="5"/>
  <c r="CH31" i="5" s="1"/>
  <c r="CG32" i="5"/>
  <c r="DK26" i="5"/>
  <c r="DJ23" i="5"/>
  <c r="CF35" i="5"/>
  <c r="AG523" i="3" l="1"/>
  <c r="AG539" i="3" s="1"/>
  <c r="CX78" i="5"/>
  <c r="CY80" i="5"/>
  <c r="CZ75" i="5" s="1"/>
  <c r="CZ76" i="5" s="1"/>
  <c r="AK264" i="4"/>
  <c r="DK23" i="5"/>
  <c r="DL26" i="5"/>
  <c r="DK70" i="5"/>
  <c r="DJ67" i="5"/>
  <c r="CG35" i="5"/>
  <c r="CH37" i="5"/>
  <c r="CI31" i="5" s="1"/>
  <c r="CH32" i="5"/>
  <c r="CY78" i="5" l="1"/>
  <c r="CZ80" i="5"/>
  <c r="DA75" i="5" s="1"/>
  <c r="DA76" i="5" s="1"/>
  <c r="AK218" i="3"/>
  <c r="AK216" i="3" s="1"/>
  <c r="CH35" i="5"/>
  <c r="CI37" i="5"/>
  <c r="CJ31" i="5" s="1"/>
  <c r="CI32" i="5"/>
  <c r="DM26" i="5"/>
  <c r="DL23" i="5"/>
  <c r="DL70" i="5"/>
  <c r="DK67" i="5"/>
  <c r="CZ78" i="5" l="1"/>
  <c r="DA80" i="5"/>
  <c r="DB75" i="5" s="1"/>
  <c r="DB76" i="5" s="1"/>
  <c r="AK364" i="3"/>
  <c r="AK362" i="3" s="1"/>
  <c r="CI35" i="5"/>
  <c r="CJ32" i="5"/>
  <c r="CJ37" i="5"/>
  <c r="CK31" i="5" s="1"/>
  <c r="DM70" i="5"/>
  <c r="DL67" i="5"/>
  <c r="DN26" i="5"/>
  <c r="DM23" i="5"/>
  <c r="DB80" i="5" l="1"/>
  <c r="DC75" i="5" s="1"/>
  <c r="DC76" i="5" s="1"/>
  <c r="DA77" i="5"/>
  <c r="DN70" i="5"/>
  <c r="DM67" i="5"/>
  <c r="CK32" i="5"/>
  <c r="CK37" i="5"/>
  <c r="CL31" i="5" s="1"/>
  <c r="DO26" i="5"/>
  <c r="DN23" i="5"/>
  <c r="CJ35" i="5"/>
  <c r="DA78" i="5" l="1"/>
  <c r="DB78" i="5" s="1"/>
  <c r="DC80" i="5"/>
  <c r="DD75" i="5" s="1"/>
  <c r="DD76" i="5" s="1"/>
  <c r="CL32" i="5"/>
  <c r="CL37" i="5"/>
  <c r="CM31" i="5" s="1"/>
  <c r="DP26" i="5"/>
  <c r="DO23" i="5"/>
  <c r="CK35" i="5"/>
  <c r="DO70" i="5"/>
  <c r="DN67" i="5"/>
  <c r="DC78" i="5" l="1"/>
  <c r="DD80" i="5"/>
  <c r="DE75" i="5" s="1"/>
  <c r="DE76" i="5" s="1"/>
  <c r="CM37" i="5"/>
  <c r="CN31" i="5" s="1"/>
  <c r="CM32" i="5"/>
  <c r="DQ26" i="5"/>
  <c r="DP23" i="5"/>
  <c r="CL35" i="5"/>
  <c r="DP70" i="5"/>
  <c r="DO67" i="5"/>
  <c r="DD78" i="5" l="1"/>
  <c r="DE80" i="5"/>
  <c r="DF75" i="5" s="1"/>
  <c r="DF76" i="5" s="1"/>
  <c r="AL157" i="3"/>
  <c r="AL177" i="4"/>
  <c r="AL259" i="4" s="1"/>
  <c r="AL262" i="4" s="1"/>
  <c r="CM35" i="5"/>
  <c r="DR26" i="5"/>
  <c r="DQ23" i="5"/>
  <c r="CN37" i="5"/>
  <c r="CO31" i="5" s="1"/>
  <c r="CN32" i="5"/>
  <c r="DQ70" i="5"/>
  <c r="DP67" i="5"/>
  <c r="DE78" i="5" l="1"/>
  <c r="DF80" i="5"/>
  <c r="DG75" i="5" s="1"/>
  <c r="DG76" i="5" s="1"/>
  <c r="AL178" i="3"/>
  <c r="AL193" i="3" s="1"/>
  <c r="AL260" i="4"/>
  <c r="AL261" i="4"/>
  <c r="AL263" i="4"/>
  <c r="CN35" i="5"/>
  <c r="DS26" i="5"/>
  <c r="DR23" i="5"/>
  <c r="DR70" i="5"/>
  <c r="DQ67" i="5"/>
  <c r="CO37" i="5"/>
  <c r="CP31" i="5" s="1"/>
  <c r="CO32" i="5"/>
  <c r="CO33" i="5" s="1"/>
  <c r="DF78" i="5" l="1"/>
  <c r="DG80" i="5"/>
  <c r="DH75" i="5" s="1"/>
  <c r="DH76" i="5" s="1"/>
  <c r="AL264" i="4"/>
  <c r="DS70" i="5"/>
  <c r="DR67" i="5"/>
  <c r="DT26" i="5"/>
  <c r="DS23" i="5"/>
  <c r="CP37" i="5"/>
  <c r="CQ31" i="5" s="1"/>
  <c r="CP32" i="5"/>
  <c r="DG78" i="5" l="1"/>
  <c r="DH80" i="5"/>
  <c r="DI75" i="5" s="1"/>
  <c r="DI76" i="5" s="1"/>
  <c r="AL218" i="3"/>
  <c r="AL364" i="3" s="1"/>
  <c r="CO35" i="5"/>
  <c r="CP35" i="5" s="1"/>
  <c r="DU26" i="5"/>
  <c r="DT23" i="5"/>
  <c r="CQ37" i="5"/>
  <c r="CR31" i="5" s="1"/>
  <c r="CQ32" i="5"/>
  <c r="DT70" i="5"/>
  <c r="DS67" i="5"/>
  <c r="DH78" i="5" l="1"/>
  <c r="DI80" i="5"/>
  <c r="DJ75" i="5" s="1"/>
  <c r="DJ76" i="5" s="1"/>
  <c r="CQ35" i="5"/>
  <c r="DV26" i="5"/>
  <c r="DU23" i="5"/>
  <c r="CR32" i="5"/>
  <c r="CR37" i="5"/>
  <c r="CS31" i="5" s="1"/>
  <c r="DU70" i="5"/>
  <c r="DT67" i="5"/>
  <c r="DI78" i="5" l="1"/>
  <c r="DJ80" i="5"/>
  <c r="DK75" i="5" s="1"/>
  <c r="DK76" i="5" s="1"/>
  <c r="CR35" i="5"/>
  <c r="CS32" i="5"/>
  <c r="CS37" i="5"/>
  <c r="CT31" i="5" s="1"/>
  <c r="DW26" i="5"/>
  <c r="DV23" i="5"/>
  <c r="DV70" i="5"/>
  <c r="DU67" i="5"/>
  <c r="DJ78" i="5" l="1"/>
  <c r="DK80" i="5"/>
  <c r="DL75" i="5" s="1"/>
  <c r="DL76" i="5" s="1"/>
  <c r="DW70" i="5"/>
  <c r="DV67" i="5"/>
  <c r="DX26" i="5"/>
  <c r="DW23" i="5"/>
  <c r="CT32" i="5"/>
  <c r="CT37" i="5"/>
  <c r="CU31" i="5" s="1"/>
  <c r="CS35" i="5"/>
  <c r="DK78" i="5" l="1"/>
  <c r="DL80" i="5"/>
  <c r="DM75" i="5" s="1"/>
  <c r="DM76" i="5" s="1"/>
  <c r="CU37" i="5"/>
  <c r="CV31" i="5" s="1"/>
  <c r="CU32" i="5"/>
  <c r="DW67" i="5"/>
  <c r="DX70" i="5"/>
  <c r="DY26" i="5"/>
  <c r="DY23" i="5" s="1"/>
  <c r="DX23" i="5"/>
  <c r="CT35" i="5"/>
  <c r="AL299" i="3" l="1"/>
  <c r="AK299" i="3"/>
  <c r="AJ299" i="3"/>
  <c r="AJ300" i="3" s="1"/>
  <c r="AK295" i="3" s="1"/>
  <c r="AI297" i="3"/>
  <c r="AI299" i="3"/>
  <c r="AJ297" i="3"/>
  <c r="AM299" i="3"/>
  <c r="AN299" i="3"/>
  <c r="AO299" i="3"/>
  <c r="AQ299" i="3"/>
  <c r="AP299" i="3"/>
  <c r="AI296" i="3"/>
  <c r="AR299" i="3"/>
  <c r="AS299" i="3"/>
  <c r="AT299" i="3"/>
  <c r="AT297" i="3"/>
  <c r="AT296" i="3"/>
  <c r="AJ287" i="3"/>
  <c r="AK297" i="3"/>
  <c r="AL297" i="3"/>
  <c r="AM297" i="3"/>
  <c r="AN297" i="3"/>
  <c r="AO297" i="3"/>
  <c r="AP297" i="3"/>
  <c r="AQ297" i="3"/>
  <c r="DL78" i="5"/>
  <c r="DM80" i="5"/>
  <c r="DN75" i="5" s="1"/>
  <c r="DN76" i="5" s="1"/>
  <c r="AT286" i="3"/>
  <c r="AT289" i="3"/>
  <c r="AT287" i="3"/>
  <c r="CU35" i="5"/>
  <c r="CV37" i="5"/>
  <c r="CW31" i="5" s="1"/>
  <c r="CV32" i="5"/>
  <c r="AI289" i="3"/>
  <c r="AI287" i="3"/>
  <c r="AL287" i="3"/>
  <c r="AJ289" i="3"/>
  <c r="AL286" i="3"/>
  <c r="AK287" i="3"/>
  <c r="AN287" i="3"/>
  <c r="AM286" i="3"/>
  <c r="AM289" i="3"/>
  <c r="AK286" i="3"/>
  <c r="AK289" i="3"/>
  <c r="AM287" i="3"/>
  <c r="AL289" i="3"/>
  <c r="AN289" i="3"/>
  <c r="AP286" i="3"/>
  <c r="AN286" i="3"/>
  <c r="AO286" i="3"/>
  <c r="AO289" i="3"/>
  <c r="AP287" i="3"/>
  <c r="AO287" i="3"/>
  <c r="AS289" i="3"/>
  <c r="AQ289" i="3"/>
  <c r="AP289" i="3"/>
  <c r="AR289" i="3"/>
  <c r="DX67" i="5"/>
  <c r="DY70" i="5"/>
  <c r="AK300" i="3" l="1"/>
  <c r="AL295" i="3" s="1"/>
  <c r="AL300" i="3" s="1"/>
  <c r="AM295" i="3" s="1"/>
  <c r="AM300" i="3" s="1"/>
  <c r="AN295" i="3" s="1"/>
  <c r="AN300" i="3" s="1"/>
  <c r="AO295" i="3" s="1"/>
  <c r="AO300" i="3" s="1"/>
  <c r="AP295" i="3" s="1"/>
  <c r="AP300" i="3" s="1"/>
  <c r="AQ295" i="3" s="1"/>
  <c r="AQ300" i="3" s="1"/>
  <c r="AR295" i="3" s="1"/>
  <c r="AR300" i="3" s="1"/>
  <c r="AS295" i="3" s="1"/>
  <c r="AS300" i="3" s="1"/>
  <c r="AT295" i="3" s="1"/>
  <c r="AT300" i="3" s="1"/>
  <c r="DM77" i="5"/>
  <c r="DN80" i="5"/>
  <c r="DO75" i="5" s="1"/>
  <c r="DO76" i="5" s="1"/>
  <c r="AM177" i="4"/>
  <c r="AM259" i="4" s="1"/>
  <c r="DY67" i="5"/>
  <c r="CV35" i="5"/>
  <c r="CW37" i="5"/>
  <c r="CX31" i="5" s="1"/>
  <c r="CW32" i="5"/>
  <c r="AI290" i="3"/>
  <c r="DM78" i="5" l="1"/>
  <c r="DN78" i="5" s="1"/>
  <c r="AR297" i="3"/>
  <c r="DO80" i="5"/>
  <c r="DP75" i="5" s="1"/>
  <c r="DP76" i="5" s="1"/>
  <c r="AJ285" i="3"/>
  <c r="AM263" i="4"/>
  <c r="AM262" i="4"/>
  <c r="AM261" i="4"/>
  <c r="AM260" i="4"/>
  <c r="AM157" i="3"/>
  <c r="CW35" i="5"/>
  <c r="CX37" i="5"/>
  <c r="CY31" i="5" s="1"/>
  <c r="CX32" i="5"/>
  <c r="DO78" i="5" l="1"/>
  <c r="DP80" i="5"/>
  <c r="DQ75" i="5" s="1"/>
  <c r="DQ76" i="5" s="1"/>
  <c r="AM178" i="3"/>
  <c r="AM193" i="3" s="1"/>
  <c r="AM264" i="4"/>
  <c r="CX35" i="5"/>
  <c r="CY37" i="5"/>
  <c r="CZ31" i="5" s="1"/>
  <c r="CY32" i="5"/>
  <c r="AJ290" i="3"/>
  <c r="DP78" i="5" l="1"/>
  <c r="DQ80" i="5"/>
  <c r="DR75" i="5" s="1"/>
  <c r="DR76" i="5" s="1"/>
  <c r="AM218" i="3"/>
  <c r="CY35" i="5"/>
  <c r="CZ32" i="5"/>
  <c r="CZ37" i="5"/>
  <c r="DA31" i="5" s="1"/>
  <c r="AK285" i="3"/>
  <c r="DQ78" i="5" l="1"/>
  <c r="DR80" i="5"/>
  <c r="DS75" i="5" s="1"/>
  <c r="DS76" i="5" s="1"/>
  <c r="AM364" i="3"/>
  <c r="DA32" i="5"/>
  <c r="DA33" i="5" s="1"/>
  <c r="DA37" i="5"/>
  <c r="DB31" i="5" s="1"/>
  <c r="AK290" i="3"/>
  <c r="CZ35" i="5"/>
  <c r="DR78" i="5" l="1"/>
  <c r="DS80" i="5"/>
  <c r="DT75" i="5" s="1"/>
  <c r="DT76" i="5" s="1"/>
  <c r="DB32" i="5"/>
  <c r="DB37" i="5"/>
  <c r="DC31" i="5" s="1"/>
  <c r="AL285" i="3"/>
  <c r="DS78" i="5" l="1"/>
  <c r="DT80" i="5"/>
  <c r="DU75" i="5" s="1"/>
  <c r="DU76" i="5" s="1"/>
  <c r="AQ287" i="3"/>
  <c r="DC37" i="5"/>
  <c r="DD31" i="5" s="1"/>
  <c r="DC32" i="5"/>
  <c r="DA35" i="5"/>
  <c r="DB35" i="5" s="1"/>
  <c r="AL290" i="3"/>
  <c r="DT78" i="5" l="1"/>
  <c r="DU80" i="5"/>
  <c r="DV75" i="5" s="1"/>
  <c r="DV76" i="5" s="1"/>
  <c r="AM285" i="3"/>
  <c r="DC35" i="5"/>
  <c r="DD37" i="5"/>
  <c r="DE31" i="5" s="1"/>
  <c r="DD32" i="5"/>
  <c r="DU78" i="5" l="1"/>
  <c r="DV80" i="5"/>
  <c r="DW75" i="5" s="1"/>
  <c r="DW76" i="5" s="1"/>
  <c r="DD35" i="5"/>
  <c r="DE37" i="5"/>
  <c r="DF31" i="5" s="1"/>
  <c r="DE32" i="5"/>
  <c r="AM290" i="3"/>
  <c r="DV78" i="5" l="1"/>
  <c r="DW80" i="5"/>
  <c r="DX75" i="5" s="1"/>
  <c r="DX76" i="5" s="1"/>
  <c r="AS342" i="3"/>
  <c r="AS340" i="3" s="1"/>
  <c r="AT342" i="3"/>
  <c r="AT340" i="3" s="1"/>
  <c r="AQ342" i="3"/>
  <c r="AQ340" i="3" s="1"/>
  <c r="AR342" i="3"/>
  <c r="AR340" i="3" s="1"/>
  <c r="AO342" i="3"/>
  <c r="AO340" i="3" s="1"/>
  <c r="AP342" i="3"/>
  <c r="AP340" i="3" s="1"/>
  <c r="AM342" i="3"/>
  <c r="AM340" i="3" s="1"/>
  <c r="AN342" i="3"/>
  <c r="AN340" i="3" s="1"/>
  <c r="AK342" i="3"/>
  <c r="AK340" i="3" s="1"/>
  <c r="AL342" i="3"/>
  <c r="AL340" i="3" s="1"/>
  <c r="AJ342" i="3"/>
  <c r="AJ340" i="3" s="1"/>
  <c r="DE35" i="5"/>
  <c r="AN285" i="3"/>
  <c r="DF37" i="5"/>
  <c r="DG31" i="5" s="1"/>
  <c r="DF32" i="5"/>
  <c r="DW78" i="5" l="1"/>
  <c r="DX80" i="5"/>
  <c r="DY75" i="5" s="1"/>
  <c r="DY76" i="5" s="1"/>
  <c r="AI267" i="3"/>
  <c r="AI342" i="3"/>
  <c r="AI340" i="3" s="1"/>
  <c r="AN157" i="3"/>
  <c r="AN177" i="4"/>
  <c r="AN259" i="4" s="1"/>
  <c r="DG37" i="5"/>
  <c r="DH31" i="5" s="1"/>
  <c r="DG32" i="5"/>
  <c r="DF35" i="5"/>
  <c r="AN290" i="3"/>
  <c r="AK296" i="3" l="1"/>
  <c r="AL296" i="3"/>
  <c r="AM296" i="3"/>
  <c r="AN296" i="3"/>
  <c r="AO296" i="3"/>
  <c r="AP296" i="3"/>
  <c r="AQ296" i="3"/>
  <c r="AR296" i="3"/>
  <c r="AS296" i="3"/>
  <c r="AJ296" i="3"/>
  <c r="AJ298" i="3" s="1"/>
  <c r="DX78" i="5"/>
  <c r="DY80" i="5"/>
  <c r="AI432" i="3"/>
  <c r="E131" i="1"/>
  <c r="AJ267" i="3"/>
  <c r="AN178" i="3"/>
  <c r="AN193" i="3" s="1"/>
  <c r="AN261" i="4"/>
  <c r="AN260" i="4"/>
  <c r="AN262" i="4"/>
  <c r="AN263" i="4"/>
  <c r="AO285" i="3"/>
  <c r="DG35" i="5"/>
  <c r="DH32" i="5"/>
  <c r="DH37" i="5"/>
  <c r="DI31" i="5" s="1"/>
  <c r="AK298" i="3" l="1"/>
  <c r="AL298" i="3" s="1"/>
  <c r="AM298" i="3" s="1"/>
  <c r="AN298" i="3" s="1"/>
  <c r="AO298" i="3" s="1"/>
  <c r="AP298" i="3" s="1"/>
  <c r="AQ298" i="3" s="1"/>
  <c r="AR298" i="3" s="1"/>
  <c r="DY77" i="5"/>
  <c r="AS297" i="3" s="1"/>
  <c r="AK267" i="3"/>
  <c r="AJ432" i="3"/>
  <c r="F131" i="1"/>
  <c r="AN264" i="4"/>
  <c r="AO290" i="3"/>
  <c r="DH35" i="5"/>
  <c r="DI32" i="5"/>
  <c r="DI37" i="5"/>
  <c r="DJ31" i="5" s="1"/>
  <c r="AS298" i="3" l="1"/>
  <c r="DY78" i="5"/>
  <c r="AN218" i="3"/>
  <c r="AL267" i="3"/>
  <c r="AK432" i="3"/>
  <c r="G131" i="1"/>
  <c r="G139" i="1" s="1"/>
  <c r="F139" i="1"/>
  <c r="AP285" i="3"/>
  <c r="DI35" i="5"/>
  <c r="DJ32" i="5"/>
  <c r="DJ37" i="5"/>
  <c r="DK31" i="5" s="1"/>
  <c r="AN364" i="3" l="1"/>
  <c r="AM267" i="3"/>
  <c r="AL432" i="3"/>
  <c r="H131" i="1"/>
  <c r="DJ35" i="5"/>
  <c r="DK37" i="5"/>
  <c r="DL31" i="5" s="1"/>
  <c r="DK32" i="5"/>
  <c r="AP290" i="3"/>
  <c r="AN267" i="3" l="1"/>
  <c r="I131" i="1"/>
  <c r="AM432" i="3"/>
  <c r="H139" i="1"/>
  <c r="AQ285" i="3"/>
  <c r="DK35" i="5"/>
  <c r="DL37" i="5"/>
  <c r="DM31" i="5" s="1"/>
  <c r="DL32" i="5"/>
  <c r="AO267" i="3" l="1"/>
  <c r="AN432" i="3"/>
  <c r="J131" i="1"/>
  <c r="I139" i="1"/>
  <c r="DL35" i="5"/>
  <c r="DM37" i="5"/>
  <c r="DN31" i="5" s="1"/>
  <c r="DM32" i="5"/>
  <c r="DM33" i="5" s="1"/>
  <c r="AQ290" i="3"/>
  <c r="AP267" i="3" l="1"/>
  <c r="K131" i="1"/>
  <c r="AO432" i="3"/>
  <c r="J139" i="1"/>
  <c r="AR285" i="3"/>
  <c r="DN37" i="5"/>
  <c r="DO31" i="5" s="1"/>
  <c r="DN32" i="5"/>
  <c r="AQ267" i="3" l="1"/>
  <c r="AP432" i="3"/>
  <c r="L131" i="1"/>
  <c r="L139" i="1" s="1"/>
  <c r="K139" i="1"/>
  <c r="AR287" i="3"/>
  <c r="DM35" i="5"/>
  <c r="DN35" i="5" s="1"/>
  <c r="AR290" i="3"/>
  <c r="AR267" i="3" s="1"/>
  <c r="DO37" i="5"/>
  <c r="DP31" i="5" s="1"/>
  <c r="DO32" i="5"/>
  <c r="M131" i="1" l="1"/>
  <c r="M139" i="1" s="1"/>
  <c r="AQ432" i="3"/>
  <c r="AO157" i="3"/>
  <c r="AO177" i="4"/>
  <c r="AO259" i="4" s="1"/>
  <c r="DP32" i="5"/>
  <c r="DP37" i="5"/>
  <c r="DQ31" i="5" s="1"/>
  <c r="AS285" i="3"/>
  <c r="DO35" i="5"/>
  <c r="AO178" i="3" l="1"/>
  <c r="AO193" i="3" s="1"/>
  <c r="AO263" i="4"/>
  <c r="AO262" i="4"/>
  <c r="AO260" i="4"/>
  <c r="AO261" i="4"/>
  <c r="N131" i="1"/>
  <c r="N139" i="1" s="1"/>
  <c r="AR432" i="3"/>
  <c r="AS290" i="3"/>
  <c r="DQ32" i="5"/>
  <c r="DQ37" i="5"/>
  <c r="DR31" i="5" s="1"/>
  <c r="DP35" i="5"/>
  <c r="AT285" i="3" l="1"/>
  <c r="AT290" i="3" s="1"/>
  <c r="AS267" i="3"/>
  <c r="AO264" i="4"/>
  <c r="DR32" i="5"/>
  <c r="DR37" i="5"/>
  <c r="DS31" i="5" s="1"/>
  <c r="DQ35" i="5"/>
  <c r="AO218" i="3" l="1"/>
  <c r="AT267" i="3"/>
  <c r="O131" i="1"/>
  <c r="O139" i="1" s="1"/>
  <c r="AS432" i="3"/>
  <c r="DS37" i="5"/>
  <c r="DT31" i="5" s="1"/>
  <c r="DS32" i="5"/>
  <c r="DR35" i="5"/>
  <c r="AT432" i="3" l="1"/>
  <c r="AO364" i="3"/>
  <c r="DS35" i="5"/>
  <c r="DT37" i="5"/>
  <c r="DU31" i="5" s="1"/>
  <c r="DT32" i="5"/>
  <c r="DT35" i="5" l="1"/>
  <c r="DU37" i="5"/>
  <c r="DV31" i="5" s="1"/>
  <c r="DU32" i="5"/>
  <c r="DU35" i="5" l="1"/>
  <c r="DV37" i="5"/>
  <c r="DW31" i="5" s="1"/>
  <c r="DV32" i="5"/>
  <c r="DV35" i="5" l="1"/>
  <c r="DW37" i="5"/>
  <c r="DX31" i="5" s="1"/>
  <c r="DW32" i="5"/>
  <c r="DW35" i="5" l="1"/>
  <c r="DX32" i="5"/>
  <c r="DX37" i="5"/>
  <c r="DY31" i="5" s="1"/>
  <c r="AP157" i="3" l="1"/>
  <c r="AP177" i="4"/>
  <c r="AP259" i="4" s="1"/>
  <c r="DX35" i="5"/>
  <c r="DY32" i="5"/>
  <c r="DY33" i="5" s="1"/>
  <c r="DY37" i="5"/>
  <c r="AI286" i="3" l="1"/>
  <c r="AI288" i="3" s="1"/>
  <c r="AP178" i="3"/>
  <c r="AP193" i="3" s="1"/>
  <c r="AP261" i="4"/>
  <c r="AP263" i="4"/>
  <c r="AP260" i="4"/>
  <c r="AP262" i="4"/>
  <c r="AJ286" i="3"/>
  <c r="AQ286" i="3"/>
  <c r="AR286" i="3"/>
  <c r="AS286" i="3"/>
  <c r="AJ288" i="3" l="1"/>
  <c r="AP264" i="4"/>
  <c r="AS287" i="3"/>
  <c r="DY35" i="5"/>
  <c r="AP218" i="3" l="1"/>
  <c r="AK288" i="3"/>
  <c r="AP364" i="3" l="1"/>
  <c r="AL288" i="3"/>
  <c r="AM288" i="3" l="1"/>
  <c r="AN288" i="3" l="1"/>
  <c r="AO288" i="3" l="1"/>
  <c r="AP288" i="3" l="1"/>
  <c r="AQ157" i="3" l="1"/>
  <c r="AQ177" i="4"/>
  <c r="AQ259" i="4" s="1"/>
  <c r="AQ288" i="3"/>
  <c r="AQ178" i="3" l="1"/>
  <c r="AQ193" i="3" s="1"/>
  <c r="AQ263" i="4"/>
  <c r="AQ262" i="4"/>
  <c r="AQ260" i="4"/>
  <c r="AQ261" i="4"/>
  <c r="AR288" i="3"/>
  <c r="AQ264" i="4" l="1"/>
  <c r="AS288" i="3"/>
  <c r="AQ218" i="3" l="1"/>
  <c r="AQ364" i="3" s="1"/>
  <c r="AT288" i="3"/>
  <c r="AR157" i="3" l="1"/>
  <c r="AR177" i="4"/>
  <c r="AR259" i="4" s="1"/>
  <c r="AR178" i="3" l="1"/>
  <c r="AR193" i="3" s="1"/>
  <c r="AR261" i="4"/>
  <c r="AR260" i="4"/>
  <c r="AR262" i="4"/>
  <c r="AR263" i="4"/>
  <c r="AR264" i="4" l="1"/>
  <c r="AR218" i="3" l="1"/>
  <c r="AR364" i="3" s="1"/>
  <c r="AS177" i="4" l="1"/>
  <c r="AS259" i="4" s="1"/>
  <c r="AS263" i="4" l="1"/>
  <c r="AS262" i="4"/>
  <c r="AS260" i="4"/>
  <c r="AS261" i="4"/>
  <c r="AS157" i="3"/>
  <c r="AS178" i="3" l="1"/>
  <c r="AS193" i="3" s="1"/>
  <c r="AS264" i="4"/>
  <c r="AS218" i="3" l="1"/>
  <c r="AS364" i="3" s="1"/>
  <c r="AT157" i="3" l="1"/>
  <c r="AT178" i="3" l="1"/>
  <c r="AT193" i="3" s="1"/>
  <c r="AM448" i="3" l="1"/>
  <c r="AN448" i="3"/>
  <c r="AO448" i="3"/>
  <c r="AP448" i="3"/>
  <c r="AQ448" i="3"/>
  <c r="AR448" i="3"/>
  <c r="AS448" i="3"/>
  <c r="AT448" i="3"/>
  <c r="AM449" i="3"/>
  <c r="AN449" i="3"/>
  <c r="AO449" i="3"/>
  <c r="AP449" i="3"/>
  <c r="AQ449" i="3"/>
  <c r="AR449" i="3"/>
  <c r="AS449" i="3"/>
  <c r="AT449" i="3"/>
  <c r="AM450" i="3"/>
  <c r="AN450" i="3"/>
  <c r="AO450" i="3"/>
  <c r="AP450" i="3"/>
  <c r="AQ450" i="3"/>
  <c r="AR450" i="3"/>
  <c r="AS450" i="3"/>
  <c r="AT450" i="3"/>
  <c r="AM451" i="3"/>
  <c r="AN451" i="3"/>
  <c r="AO451" i="3"/>
  <c r="AP451" i="3"/>
  <c r="AQ451" i="3"/>
  <c r="AR451" i="3"/>
  <c r="AS451" i="3"/>
  <c r="AT451" i="3"/>
  <c r="AM452" i="3"/>
  <c r="AN452" i="3"/>
  <c r="AO452" i="3"/>
  <c r="AP452" i="3"/>
  <c r="AQ452" i="3"/>
  <c r="AR452" i="3"/>
  <c r="AS452" i="3"/>
  <c r="AT452" i="3"/>
  <c r="AM453" i="3"/>
  <c r="AN453" i="3"/>
  <c r="AO453" i="3"/>
  <c r="AP453" i="3"/>
  <c r="AQ453" i="3"/>
  <c r="AR453" i="3"/>
  <c r="AS453" i="3"/>
  <c r="AT453" i="3"/>
  <c r="AM454" i="3"/>
  <c r="AN454" i="3"/>
  <c r="AO454" i="3"/>
  <c r="AP454" i="3"/>
  <c r="AQ454" i="3"/>
  <c r="AR454" i="3"/>
  <c r="AS454" i="3"/>
  <c r="AT454" i="3"/>
  <c r="AM455" i="3"/>
  <c r="AN455" i="3"/>
  <c r="AO455" i="3"/>
  <c r="AP455" i="3"/>
  <c r="AQ455" i="3"/>
  <c r="AR455" i="3"/>
  <c r="AS455" i="3"/>
  <c r="AT455" i="3"/>
  <c r="AM456" i="3"/>
  <c r="AN456" i="3"/>
  <c r="AO456" i="3"/>
  <c r="AP456" i="3"/>
  <c r="AQ456" i="3"/>
  <c r="AR456" i="3"/>
  <c r="AS456" i="3"/>
  <c r="AT456" i="3"/>
  <c r="AM462" i="3"/>
  <c r="AN462" i="3"/>
  <c r="AO462" i="3"/>
  <c r="AP462" i="3"/>
  <c r="AQ462" i="3"/>
  <c r="AR462" i="3"/>
  <c r="AS462" i="3"/>
  <c r="AT462" i="3"/>
  <c r="AM463" i="3"/>
  <c r="AN463" i="3"/>
  <c r="AO463" i="3"/>
  <c r="AP463" i="3"/>
  <c r="AQ463" i="3"/>
  <c r="AR463" i="3"/>
  <c r="AS463" i="3"/>
  <c r="AT463" i="3"/>
  <c r="AM464" i="3"/>
  <c r="AN464" i="3"/>
  <c r="AO464" i="3"/>
  <c r="AP464" i="3"/>
  <c r="AQ464" i="3"/>
  <c r="AR464" i="3"/>
  <c r="AS464" i="3"/>
  <c r="AT464" i="3"/>
  <c r="AM465" i="3"/>
  <c r="AN465" i="3"/>
  <c r="AO465" i="3"/>
  <c r="AP465" i="3"/>
  <c r="AQ465" i="3"/>
  <c r="AR465" i="3"/>
  <c r="AS465" i="3"/>
  <c r="AT465" i="3"/>
  <c r="AM466" i="3"/>
  <c r="AN466" i="3"/>
  <c r="AO466" i="3"/>
  <c r="AP466" i="3"/>
  <c r="AQ466" i="3"/>
  <c r="AR466" i="3"/>
  <c r="AS466" i="3"/>
  <c r="AT466" i="3"/>
  <c r="AM467" i="3"/>
  <c r="AN467" i="3"/>
  <c r="AO467" i="3"/>
  <c r="AP467" i="3"/>
  <c r="AQ467" i="3"/>
  <c r="AR467" i="3"/>
  <c r="AS467" i="3"/>
  <c r="AT467" i="3"/>
  <c r="AM468" i="3"/>
  <c r="AN468" i="3"/>
  <c r="AO468" i="3"/>
  <c r="AP468" i="3"/>
  <c r="AQ468" i="3"/>
  <c r="AR468" i="3"/>
  <c r="AS468" i="3"/>
  <c r="AT468" i="3"/>
  <c r="AM469" i="3"/>
  <c r="AN469" i="3"/>
  <c r="AO469" i="3"/>
  <c r="AP469" i="3"/>
  <c r="AQ469" i="3"/>
  <c r="AR469" i="3"/>
  <c r="AS469" i="3"/>
  <c r="AT469" i="3"/>
  <c r="AM470" i="3"/>
  <c r="AN470" i="3"/>
  <c r="AO470" i="3"/>
  <c r="AP470" i="3"/>
  <c r="AP471" i="3" s="1"/>
  <c r="AP232" i="3" s="1"/>
  <c r="AQ470" i="3"/>
  <c r="AR470" i="3"/>
  <c r="AS470" i="3"/>
  <c r="AT470" i="3"/>
  <c r="AM471" i="3"/>
  <c r="AM232" i="3" s="1"/>
  <c r="AT471" i="3" l="1"/>
  <c r="AT232" i="3" s="1"/>
  <c r="AN457" i="3"/>
  <c r="AN233" i="3" s="1"/>
  <c r="AN471" i="3"/>
  <c r="AN232" i="3" s="1"/>
  <c r="AO471" i="3"/>
  <c r="AO232" i="3" s="1"/>
  <c r="AT457" i="3"/>
  <c r="AT233" i="3" s="1"/>
  <c r="AQ457" i="3"/>
  <c r="AQ233" i="3" s="1"/>
  <c r="AS457" i="3"/>
  <c r="AS233" i="3" s="1"/>
  <c r="AR457" i="3"/>
  <c r="AR233" i="3" s="1"/>
  <c r="AM457" i="3"/>
  <c r="AM233" i="3" s="1"/>
  <c r="AP457" i="3"/>
  <c r="AP233" i="3" s="1"/>
  <c r="AP321" i="3" s="1"/>
  <c r="AQ471" i="3"/>
  <c r="AQ232" i="3" s="1"/>
  <c r="AS471" i="3"/>
  <c r="AR471" i="3"/>
  <c r="AR232" i="3" s="1"/>
  <c r="AO457" i="3"/>
  <c r="AO473" i="3" l="1"/>
  <c r="AT321" i="3"/>
  <c r="AN321" i="3"/>
  <c r="AT473" i="3"/>
  <c r="AN473" i="3"/>
  <c r="AS473" i="3"/>
  <c r="AP473" i="3"/>
  <c r="AQ321" i="3"/>
  <c r="AQ473" i="3"/>
  <c r="AM321" i="3"/>
  <c r="AS232" i="3"/>
  <c r="AM473" i="3"/>
  <c r="AM257" i="3" s="1"/>
  <c r="AO233" i="3"/>
  <c r="AO321" i="3" s="1"/>
  <c r="AR321" i="3"/>
  <c r="AR473" i="3"/>
  <c r="AS321" i="3" l="1"/>
  <c r="AN257" i="3"/>
  <c r="AM230" i="3"/>
  <c r="AN230" i="3" l="1"/>
  <c r="AO257" i="3"/>
  <c r="AP257" i="3" l="1"/>
  <c r="AO230" i="3"/>
  <c r="AP230" i="3" l="1"/>
  <c r="AQ257" i="3"/>
  <c r="AQ230" i="3" l="1"/>
  <c r="AR257" i="3"/>
  <c r="AR230" i="3" l="1"/>
  <c r="AS257" i="3"/>
  <c r="AT257" i="3" l="1"/>
  <c r="AS230" i="3"/>
  <c r="AT230" i="3" l="1"/>
  <c r="AJ313" i="3" l="1"/>
  <c r="AJ339" i="3" l="1"/>
  <c r="AT312" i="3" l="1"/>
  <c r="AT338" i="3" s="1"/>
  <c r="AS312" i="3"/>
  <c r="O46" i="1"/>
  <c r="O29" i="1" s="1"/>
  <c r="AS338" i="3" l="1"/>
  <c r="AQ307" i="3" l="1"/>
  <c r="AR307" i="3"/>
  <c r="AQ312" i="3"/>
  <c r="AR312" i="3"/>
  <c r="M46" i="1"/>
  <c r="M29" i="1" s="1"/>
  <c r="N46" i="1"/>
  <c r="N29" i="1" s="1"/>
  <c r="AQ338" i="3" l="1"/>
  <c r="AR338" i="3"/>
  <c r="J86" i="3" l="1"/>
  <c r="J87" i="3" s="1"/>
  <c r="AI86" i="3"/>
  <c r="AI87" i="3" s="1"/>
  <c r="K152" i="3" a="1"/>
  <c r="K152" i="3" s="1"/>
  <c r="L152" i="3" a="1"/>
  <c r="L152" i="3" s="1"/>
  <c r="M152" i="3" a="1"/>
  <c r="M152" i="3" s="1"/>
  <c r="N152" i="3" a="1"/>
  <c r="N152" i="3" s="1"/>
  <c r="O152" i="3" a="1"/>
  <c r="O152" i="3" s="1"/>
  <c r="P152" i="3" a="1"/>
  <c r="P152" i="3" s="1"/>
  <c r="AI152" i="3" a="1"/>
  <c r="AI152" i="3" s="1"/>
  <c r="AI153" i="3" s="1"/>
  <c r="AJ150" i="3" s="1"/>
  <c r="AJ152" i="3" a="1"/>
  <c r="AJ152" i="3" s="1"/>
  <c r="AK152" i="3" a="1"/>
  <c r="AK152" i="3" s="1"/>
  <c r="AS313" i="3" a="1"/>
  <c r="AS313" i="3" s="1"/>
  <c r="AT313" i="3" a="1"/>
  <c r="AT313" i="3" s="1"/>
  <c r="AT339" i="3" s="1"/>
  <c r="AT337" i="3" s="1"/>
  <c r="K357" i="3"/>
  <c r="L357" i="3"/>
  <c r="M357" i="3"/>
  <c r="N357" i="3"/>
  <c r="O357" i="3"/>
  <c r="P357" i="3"/>
  <c r="Q357" i="3"/>
  <c r="R357" i="3"/>
  <c r="S357" i="3"/>
  <c r="T357" i="3"/>
  <c r="U357" i="3"/>
  <c r="W357" i="3"/>
  <c r="X357" i="3"/>
  <c r="Y357" i="3"/>
  <c r="Z357" i="3"/>
  <c r="AA357" i="3"/>
  <c r="AB357" i="3"/>
  <c r="AC357" i="3"/>
  <c r="AD357" i="3"/>
  <c r="AE357" i="3"/>
  <c r="AF357" i="3"/>
  <c r="AG357" i="3"/>
  <c r="K358" i="3"/>
  <c r="L358" i="3"/>
  <c r="M358" i="3"/>
  <c r="N358" i="3"/>
  <c r="O358" i="3"/>
  <c r="Q358" i="3"/>
  <c r="R358" i="3"/>
  <c r="S358" i="3"/>
  <c r="T358" i="3"/>
  <c r="U358" i="3"/>
  <c r="W358" i="3"/>
  <c r="X358" i="3"/>
  <c r="Y358" i="3"/>
  <c r="Z358" i="3"/>
  <c r="AA358" i="3"/>
  <c r="AC358" i="3"/>
  <c r="AD358" i="3"/>
  <c r="AE358" i="3"/>
  <c r="AF358" i="3"/>
  <c r="AG358" i="3"/>
  <c r="K359" i="3"/>
  <c r="L359" i="3"/>
  <c r="M359" i="3"/>
  <c r="N359" i="3"/>
  <c r="O359" i="3"/>
  <c r="Q359" i="3"/>
  <c r="R359" i="3"/>
  <c r="S359" i="3"/>
  <c r="T359" i="3"/>
  <c r="U359" i="3"/>
  <c r="W359" i="3"/>
  <c r="X359" i="3"/>
  <c r="Y359" i="3"/>
  <c r="Z359" i="3"/>
  <c r="AA359" i="3"/>
  <c r="AC359" i="3"/>
  <c r="AD359" i="3"/>
  <c r="AE359" i="3"/>
  <c r="AF359" i="3"/>
  <c r="AG359" i="3"/>
  <c r="K360" i="3"/>
  <c r="L360" i="3"/>
  <c r="M360" i="3"/>
  <c r="N360" i="3"/>
  <c r="O360" i="3"/>
  <c r="Q360" i="3"/>
  <c r="R360" i="3"/>
  <c r="S360" i="3"/>
  <c r="T360" i="3"/>
  <c r="U360" i="3"/>
  <c r="W360" i="3"/>
  <c r="X360" i="3"/>
  <c r="Y360" i="3"/>
  <c r="Z360" i="3"/>
  <c r="AA360" i="3"/>
  <c r="AC360" i="3"/>
  <c r="AD360" i="3"/>
  <c r="AE360" i="3"/>
  <c r="AF360" i="3"/>
  <c r="AG360" i="3"/>
  <c r="J363" i="3"/>
  <c r="K363" i="3"/>
  <c r="L363" i="3"/>
  <c r="M363" i="3"/>
  <c r="N363" i="3"/>
  <c r="O363" i="3"/>
  <c r="P363" i="3"/>
  <c r="Q363" i="3"/>
  <c r="R363" i="3"/>
  <c r="S363" i="3"/>
  <c r="T363" i="3"/>
  <c r="U363" i="3"/>
  <c r="V363" i="3"/>
  <c r="W363" i="3"/>
  <c r="X363" i="3"/>
  <c r="Y363" i="3"/>
  <c r="Z363" i="3"/>
  <c r="AA363" i="3"/>
  <c r="AB363" i="3"/>
  <c r="AC363" i="3"/>
  <c r="AD363" i="3"/>
  <c r="AE363" i="3"/>
  <c r="AF363" i="3"/>
  <c r="AG363" i="3"/>
  <c r="K364" i="3"/>
  <c r="L364" i="3"/>
  <c r="M364" i="3"/>
  <c r="N364" i="3"/>
  <c r="O364" i="3"/>
  <c r="P364" i="3"/>
  <c r="Q364" i="3"/>
  <c r="R364" i="3"/>
  <c r="S364" i="3"/>
  <c r="T364" i="3"/>
  <c r="U364" i="3"/>
  <c r="W364" i="3"/>
  <c r="X364" i="3"/>
  <c r="Y364" i="3"/>
  <c r="Z364" i="3"/>
  <c r="AA364" i="3"/>
  <c r="AB364" i="3"/>
  <c r="AC364" i="3"/>
  <c r="AD364" i="3"/>
  <c r="AE364" i="3"/>
  <c r="AF364" i="3"/>
  <c r="AG364" i="3"/>
  <c r="J367" i="3"/>
  <c r="K367" i="3"/>
  <c r="L367" i="3"/>
  <c r="M367" i="3"/>
  <c r="N367" i="3"/>
  <c r="O367" i="3"/>
  <c r="P367" i="3"/>
  <c r="Q367" i="3"/>
  <c r="R367" i="3"/>
  <c r="S367" i="3"/>
  <c r="T367" i="3"/>
  <c r="U367" i="3"/>
  <c r="V367" i="3"/>
  <c r="W367" i="3"/>
  <c r="X367" i="3"/>
  <c r="Y367" i="3"/>
  <c r="Z367" i="3"/>
  <c r="AA367" i="3"/>
  <c r="AB367" i="3"/>
  <c r="AC367" i="3"/>
  <c r="AD367" i="3"/>
  <c r="AE367" i="3"/>
  <c r="AF367" i="3"/>
  <c r="AG367" i="3"/>
  <c r="J368" i="3"/>
  <c r="K368" i="3"/>
  <c r="L368" i="3"/>
  <c r="M368" i="3"/>
  <c r="N368" i="3"/>
  <c r="O368" i="3"/>
  <c r="P368" i="3"/>
  <c r="Q368" i="3"/>
  <c r="R368" i="3"/>
  <c r="S368" i="3"/>
  <c r="T368" i="3"/>
  <c r="U368" i="3"/>
  <c r="V368" i="3"/>
  <c r="W368" i="3"/>
  <c r="X368" i="3"/>
  <c r="Y368" i="3"/>
  <c r="Z368" i="3"/>
  <c r="AA368" i="3"/>
  <c r="AB368" i="3"/>
  <c r="AC368" i="3"/>
  <c r="AD368" i="3"/>
  <c r="AE368" i="3"/>
  <c r="AF368" i="3"/>
  <c r="AG368" i="3"/>
  <c r="J369" i="3"/>
  <c r="K369" i="3"/>
  <c r="L369" i="3"/>
  <c r="M369" i="3"/>
  <c r="N369" i="3"/>
  <c r="O369" i="3"/>
  <c r="P369" i="3"/>
  <c r="Q369" i="3"/>
  <c r="R369" i="3"/>
  <c r="S369" i="3"/>
  <c r="T369" i="3"/>
  <c r="U369" i="3"/>
  <c r="V369" i="3"/>
  <c r="W369" i="3"/>
  <c r="X369" i="3"/>
  <c r="Y369" i="3"/>
  <c r="Z369" i="3"/>
  <c r="AA369" i="3"/>
  <c r="AB369" i="3"/>
  <c r="AC369" i="3"/>
  <c r="AD369" i="3"/>
  <c r="AE369" i="3"/>
  <c r="AF369" i="3"/>
  <c r="AG369" i="3"/>
  <c r="J370" i="3"/>
  <c r="K370" i="3"/>
  <c r="L370" i="3"/>
  <c r="M370" i="3"/>
  <c r="N370" i="3"/>
  <c r="O370" i="3"/>
  <c r="P370" i="3"/>
  <c r="Q370" i="3"/>
  <c r="R370" i="3"/>
  <c r="S370" i="3"/>
  <c r="T370" i="3"/>
  <c r="U370" i="3"/>
  <c r="V370" i="3"/>
  <c r="W370" i="3"/>
  <c r="X370" i="3"/>
  <c r="Y370" i="3"/>
  <c r="Z370" i="3"/>
  <c r="AA370" i="3"/>
  <c r="AB370" i="3"/>
  <c r="AC370" i="3"/>
  <c r="AD370" i="3"/>
  <c r="AE370" i="3"/>
  <c r="AF370" i="3"/>
  <c r="AG370" i="3"/>
  <c r="J372" i="3"/>
  <c r="K372" i="3"/>
  <c r="L372" i="3"/>
  <c r="M372" i="3"/>
  <c r="N372" i="3"/>
  <c r="O372" i="3"/>
  <c r="P372" i="3"/>
  <c r="Q372" i="3"/>
  <c r="R372" i="3"/>
  <c r="S372" i="3"/>
  <c r="T372" i="3"/>
  <c r="U372" i="3"/>
  <c r="V372" i="3"/>
  <c r="W372" i="3"/>
  <c r="X372" i="3"/>
  <c r="Y372" i="3"/>
  <c r="Z372" i="3"/>
  <c r="AA372" i="3"/>
  <c r="AB372" i="3"/>
  <c r="AC372" i="3"/>
  <c r="AD372" i="3"/>
  <c r="AE372" i="3"/>
  <c r="AF372" i="3"/>
  <c r="AG372" i="3"/>
  <c r="N362" i="3" l="1"/>
  <c r="AI369" i="3"/>
  <c r="R362" i="3"/>
  <c r="AJ363" i="3"/>
  <c r="J375" i="3"/>
  <c r="J256" i="3" s="1"/>
  <c r="AJ367" i="3"/>
  <c r="AI367" i="3"/>
  <c r="AJ368" i="3"/>
  <c r="AJ372" i="3"/>
  <c r="AI368" i="3"/>
  <c r="AJ79" i="3"/>
  <c r="AJ104" i="3" s="1"/>
  <c r="AI88" i="3"/>
  <c r="AI102" i="3" s="1"/>
  <c r="AI105" i="3"/>
  <c r="AI111" i="3"/>
  <c r="E76" i="1"/>
  <c r="AI391" i="3"/>
  <c r="O366" i="3"/>
  <c r="AG366" i="3"/>
  <c r="Y366" i="3"/>
  <c r="Q366" i="3"/>
  <c r="AF362" i="3"/>
  <c r="X362" i="3"/>
  <c r="P362" i="3"/>
  <c r="Z356" i="3"/>
  <c r="Q356" i="3"/>
  <c r="AF366" i="3"/>
  <c r="X366" i="3"/>
  <c r="P366" i="3"/>
  <c r="AE362" i="3"/>
  <c r="W362" i="3"/>
  <c r="O362" i="3"/>
  <c r="AG356" i="3"/>
  <c r="Y356" i="3"/>
  <c r="AJ153" i="3"/>
  <c r="AK150" i="3" s="1"/>
  <c r="AK153" i="3" s="1"/>
  <c r="AL150" i="3" s="1"/>
  <c r="AI370" i="3"/>
  <c r="AE366" i="3"/>
  <c r="W366" i="3"/>
  <c r="AD362" i="3"/>
  <c r="AF356" i="3"/>
  <c r="X356" i="3"/>
  <c r="O356" i="3"/>
  <c r="AD366" i="3"/>
  <c r="V366" i="3"/>
  <c r="N366" i="3"/>
  <c r="AC362" i="3"/>
  <c r="U362" i="3"/>
  <c r="M362" i="3"/>
  <c r="AE356" i="3"/>
  <c r="W356" i="3"/>
  <c r="N356" i="3"/>
  <c r="AC366" i="3"/>
  <c r="U366" i="3"/>
  <c r="M366" i="3"/>
  <c r="AB362" i="3"/>
  <c r="T362" i="3"/>
  <c r="L362" i="3"/>
  <c r="AD356" i="3"/>
  <c r="U356" i="3"/>
  <c r="M356" i="3"/>
  <c r="AJ370" i="3"/>
  <c r="AJ369" i="3"/>
  <c r="AB366" i="3"/>
  <c r="T366" i="3"/>
  <c r="L366" i="3"/>
  <c r="AA362" i="3"/>
  <c r="S362" i="3"/>
  <c r="K362" i="3"/>
  <c r="AC356" i="3"/>
  <c r="T356" i="3"/>
  <c r="L356" i="3"/>
  <c r="AA366" i="3"/>
  <c r="S366" i="3"/>
  <c r="K366" i="3"/>
  <c r="Z362" i="3"/>
  <c r="S356" i="3"/>
  <c r="K356" i="3"/>
  <c r="Z366" i="3"/>
  <c r="R366" i="3"/>
  <c r="AG362" i="3"/>
  <c r="Y362" i="3"/>
  <c r="Q362" i="3"/>
  <c r="AA356" i="3"/>
  <c r="R356" i="3"/>
  <c r="AS339" i="3"/>
  <c r="AS337" i="3" s="1"/>
  <c r="K79" i="3"/>
  <c r="J105" i="3"/>
  <c r="J208" i="3" s="1"/>
  <c r="J88" i="3"/>
  <c r="J102" i="3" s="1"/>
  <c r="P157" i="3"/>
  <c r="P169" i="3"/>
  <c r="AI372" i="3"/>
  <c r="AI363" i="3"/>
  <c r="O169" i="3"/>
  <c r="O157" i="3"/>
  <c r="N169" i="3"/>
  <c r="N157" i="3"/>
  <c r="M169" i="3"/>
  <c r="M157" i="3"/>
  <c r="L157" i="3"/>
  <c r="L169" i="3"/>
  <c r="K157" i="3"/>
  <c r="K169" i="3"/>
  <c r="K153" i="3"/>
  <c r="J206" i="3" l="1"/>
  <c r="J207" i="3"/>
  <c r="AI366" i="3"/>
  <c r="AG308" i="3"/>
  <c r="AG312" i="3" s="1"/>
  <c r="AG337" i="3" s="1"/>
  <c r="AG344" i="3" s="1"/>
  <c r="J380" i="3"/>
  <c r="J325" i="3" s="1"/>
  <c r="K375" i="3"/>
  <c r="L375" i="3" s="1"/>
  <c r="L380" i="3" s="1"/>
  <c r="L325" i="3" s="1"/>
  <c r="AE308" i="3"/>
  <c r="AE312" i="3" s="1"/>
  <c r="AE337" i="3" s="1"/>
  <c r="AE344" i="3" s="1"/>
  <c r="AA308" i="3"/>
  <c r="AA312" i="3" s="1"/>
  <c r="AA337" i="3" s="1"/>
  <c r="AA344" i="3" s="1"/>
  <c r="S308" i="3"/>
  <c r="S312" i="3" s="1"/>
  <c r="S337" i="3" s="1"/>
  <c r="S344" i="3" s="1"/>
  <c r="AF308" i="3"/>
  <c r="AF312" i="3" s="1"/>
  <c r="AF337" i="3" s="1"/>
  <c r="AF344" i="3" s="1"/>
  <c r="N308" i="3"/>
  <c r="N312" i="3" s="1"/>
  <c r="N337" i="3" s="1"/>
  <c r="N344" i="3" s="1"/>
  <c r="Q308" i="3"/>
  <c r="Q312" i="3" s="1"/>
  <c r="Q337" i="3" s="1"/>
  <c r="Q344" i="3" s="1"/>
  <c r="AJ366" i="3"/>
  <c r="O308" i="3"/>
  <c r="O312" i="3" s="1"/>
  <c r="O337" i="3" s="1"/>
  <c r="O344" i="3" s="1"/>
  <c r="AJ84" i="3"/>
  <c r="AJ87" i="3" s="1"/>
  <c r="AJ88" i="3" s="1"/>
  <c r="AJ102" i="3" s="1"/>
  <c r="Y308" i="3"/>
  <c r="Y312" i="3" s="1"/>
  <c r="Y337" i="3" s="1"/>
  <c r="Y344" i="3" s="1"/>
  <c r="M308" i="3"/>
  <c r="M312" i="3" s="1"/>
  <c r="M337" i="3" s="1"/>
  <c r="M344" i="3" s="1"/>
  <c r="L308" i="3"/>
  <c r="L312" i="3" s="1"/>
  <c r="L337" i="3" s="1"/>
  <c r="L344" i="3" s="1"/>
  <c r="U308" i="3"/>
  <c r="U312" i="3" s="1"/>
  <c r="U337" i="3" s="1"/>
  <c r="U344" i="3" s="1"/>
  <c r="K308" i="3"/>
  <c r="K312" i="3" s="1"/>
  <c r="K337" i="3" s="1"/>
  <c r="K344" i="3" s="1"/>
  <c r="AC308" i="3"/>
  <c r="AC312" i="3" s="1"/>
  <c r="AC337" i="3" s="1"/>
  <c r="AC344" i="3" s="1"/>
  <c r="R308" i="3"/>
  <c r="R312" i="3" s="1"/>
  <c r="R337" i="3" s="1"/>
  <c r="R344" i="3" s="1"/>
  <c r="W308" i="3"/>
  <c r="W312" i="3" s="1"/>
  <c r="W337" i="3" s="1"/>
  <c r="W344" i="3" s="1"/>
  <c r="Z308" i="3"/>
  <c r="Z312" i="3" s="1"/>
  <c r="Z337" i="3" s="1"/>
  <c r="Z344" i="3" s="1"/>
  <c r="T308" i="3"/>
  <c r="T312" i="3" s="1"/>
  <c r="T337" i="3" s="1"/>
  <c r="T344" i="3" s="1"/>
  <c r="AD308" i="3"/>
  <c r="AD312" i="3" s="1"/>
  <c r="AD337" i="3" s="1"/>
  <c r="AD344" i="3" s="1"/>
  <c r="X308" i="3"/>
  <c r="X312" i="3" s="1"/>
  <c r="X337" i="3" s="1"/>
  <c r="X344" i="3" s="1"/>
  <c r="AI108" i="3"/>
  <c r="AI123" i="3"/>
  <c r="AI179" i="4"/>
  <c r="AI488" i="3"/>
  <c r="E87" i="1"/>
  <c r="L178" i="3"/>
  <c r="L193" i="3" s="1"/>
  <c r="L158" i="3"/>
  <c r="K177" i="4"/>
  <c r="K259" i="4" s="1"/>
  <c r="L150" i="3"/>
  <c r="L153" i="3" s="1"/>
  <c r="O178" i="3"/>
  <c r="O158" i="3"/>
  <c r="AI169" i="3"/>
  <c r="AI170" i="3" s="1"/>
  <c r="E100" i="1" s="1"/>
  <c r="M178" i="3"/>
  <c r="M193" i="3" s="1"/>
  <c r="M158" i="3"/>
  <c r="K158" i="3"/>
  <c r="K178" i="3"/>
  <c r="N178" i="3"/>
  <c r="N193" i="3" s="1"/>
  <c r="N158" i="3"/>
  <c r="AJ178" i="4"/>
  <c r="F86" i="1"/>
  <c r="P178" i="3"/>
  <c r="P193" i="3" s="1"/>
  <c r="P158" i="3"/>
  <c r="K104" i="3"/>
  <c r="K84" i="3"/>
  <c r="M375" i="3" l="1"/>
  <c r="M380" i="3" s="1"/>
  <c r="M325" i="3" s="1"/>
  <c r="K380" i="3"/>
  <c r="K325" i="3" s="1"/>
  <c r="AK79" i="3"/>
  <c r="AK104" i="3" s="1"/>
  <c r="F76" i="1"/>
  <c r="AJ391" i="3"/>
  <c r="AJ105" i="3"/>
  <c r="AJ106" i="3" s="1"/>
  <c r="AJ111" i="3"/>
  <c r="AJ108" i="3" s="1"/>
  <c r="AI120" i="3"/>
  <c r="AI229" i="3" s="1"/>
  <c r="AJ129" i="3"/>
  <c r="AJ258" i="3" s="1"/>
  <c r="K149" i="4"/>
  <c r="K184" i="4" s="1"/>
  <c r="K87" i="3"/>
  <c r="K479" i="3"/>
  <c r="K195" i="3" s="1"/>
  <c r="K193" i="3"/>
  <c r="AI178" i="3"/>
  <c r="J204" i="3"/>
  <c r="J222" i="3" s="1"/>
  <c r="J231" i="3" s="1"/>
  <c r="F91" i="1"/>
  <c r="F92" i="1"/>
  <c r="O193" i="3"/>
  <c r="L177" i="4"/>
  <c r="L259" i="4" s="1"/>
  <c r="M150" i="3"/>
  <c r="M153" i="3" s="1"/>
  <c r="K260" i="4"/>
  <c r="K262" i="4"/>
  <c r="K263" i="4"/>
  <c r="N375" i="3" l="1"/>
  <c r="N380" i="3" s="1"/>
  <c r="N325" i="3" s="1"/>
  <c r="AK84" i="3"/>
  <c r="AK85" i="3" s="1"/>
  <c r="AK52" i="3" s="1"/>
  <c r="AK55" i="3" s="1"/>
  <c r="AJ123" i="3"/>
  <c r="AJ120" i="3" s="1"/>
  <c r="AJ229" i="3" s="1"/>
  <c r="AJ488" i="3"/>
  <c r="F87" i="1"/>
  <c r="AJ179" i="4"/>
  <c r="AI131" i="3"/>
  <c r="AK178" i="4"/>
  <c r="G86" i="1"/>
  <c r="G91" i="1" s="1"/>
  <c r="L79" i="3"/>
  <c r="K105" i="3"/>
  <c r="K208" i="3" s="1"/>
  <c r="K88" i="3"/>
  <c r="K102" i="3" s="1"/>
  <c r="K264" i="4"/>
  <c r="K218" i="3" s="1"/>
  <c r="K187" i="4"/>
  <c r="K191" i="4"/>
  <c r="K188" i="4"/>
  <c r="K185" i="4"/>
  <c r="K189" i="4"/>
  <c r="K186" i="4"/>
  <c r="K190" i="4"/>
  <c r="K532" i="3"/>
  <c r="K535" i="3" s="1"/>
  <c r="J243" i="3"/>
  <c r="J234" i="3"/>
  <c r="J246" i="3"/>
  <c r="M177" i="4"/>
  <c r="M259" i="4" s="1"/>
  <c r="N150" i="3"/>
  <c r="N153" i="3" s="1"/>
  <c r="L260" i="4"/>
  <c r="L262" i="4"/>
  <c r="L263" i="4"/>
  <c r="K188" i="3"/>
  <c r="AI193" i="3"/>
  <c r="K206" i="3" l="1"/>
  <c r="K207" i="3"/>
  <c r="AI322" i="3"/>
  <c r="AK129" i="3"/>
  <c r="AK258" i="3" s="1"/>
  <c r="O375" i="3"/>
  <c r="O380" i="3" s="1"/>
  <c r="O325" i="3" s="1"/>
  <c r="AI375" i="3"/>
  <c r="AI380" i="3" s="1"/>
  <c r="AI325" i="3" s="1"/>
  <c r="AK152" i="4"/>
  <c r="AK153" i="4" s="1"/>
  <c r="AK172" i="4" s="1"/>
  <c r="AI126" i="3"/>
  <c r="AI429" i="3" s="1"/>
  <c r="AI260" i="3"/>
  <c r="M260" i="4"/>
  <c r="M262" i="4"/>
  <c r="M263" i="4"/>
  <c r="AK99" i="3"/>
  <c r="AK100" i="3" s="1"/>
  <c r="AK56" i="3"/>
  <c r="AK165" i="3" s="1"/>
  <c r="L264" i="4"/>
  <c r="L218" i="3" s="1"/>
  <c r="AK87" i="3"/>
  <c r="G92" i="1"/>
  <c r="L104" i="3"/>
  <c r="L84" i="3"/>
  <c r="AJ131" i="3"/>
  <c r="AJ322" i="3" s="1"/>
  <c r="N177" i="4"/>
  <c r="N259" i="4" s="1"/>
  <c r="O150" i="3"/>
  <c r="O153" i="3" s="1"/>
  <c r="K192" i="4"/>
  <c r="AJ260" i="3" l="1"/>
  <c r="AK205" i="4"/>
  <c r="AK212" i="4" s="1"/>
  <c r="AI256" i="3"/>
  <c r="AL151" i="4"/>
  <c r="P375" i="3"/>
  <c r="P380" i="3" s="1"/>
  <c r="P325" i="3" s="1"/>
  <c r="AI250" i="3"/>
  <c r="E128" i="1"/>
  <c r="D282" i="1"/>
  <c r="D270" i="1"/>
  <c r="AJ126" i="3"/>
  <c r="AJ429" i="3" s="1"/>
  <c r="O177" i="4"/>
  <c r="O259" i="4" s="1"/>
  <c r="P150" i="3"/>
  <c r="P153" i="3" s="1"/>
  <c r="K115" i="4"/>
  <c r="K247" i="4"/>
  <c r="K205" i="3" s="1"/>
  <c r="K517" i="3"/>
  <c r="K510" i="3"/>
  <c r="N260" i="4"/>
  <c r="N262" i="4"/>
  <c r="N263" i="4"/>
  <c r="AL79" i="3"/>
  <c r="AK111" i="3"/>
  <c r="AK123" i="3" s="1"/>
  <c r="AL129" i="3" s="1"/>
  <c r="G76" i="1"/>
  <c r="AK88" i="3"/>
  <c r="M264" i="4"/>
  <c r="M218" i="3" s="1"/>
  <c r="L149" i="4"/>
  <c r="L184" i="4" s="1"/>
  <c r="L87" i="3"/>
  <c r="L479" i="3"/>
  <c r="L195" i="3" s="1"/>
  <c r="AK57" i="3"/>
  <c r="AK391" i="3" s="1"/>
  <c r="AK170" i="3"/>
  <c r="G100" i="1" s="1"/>
  <c r="AK174" i="3"/>
  <c r="G98" i="1"/>
  <c r="AK207" i="4" l="1"/>
  <c r="AK211" i="4"/>
  <c r="AK206" i="4"/>
  <c r="AK210" i="4"/>
  <c r="AK213" i="4"/>
  <c r="AK533" i="3"/>
  <c r="AK209" i="4"/>
  <c r="Q375" i="3"/>
  <c r="Q380" i="3" s="1"/>
  <c r="Q325" i="3" s="1"/>
  <c r="N264" i="4"/>
  <c r="N218" i="3" s="1"/>
  <c r="AI260" i="4"/>
  <c r="P177" i="4"/>
  <c r="P259" i="4" s="1"/>
  <c r="Q150" i="3"/>
  <c r="Q153" i="3" s="1"/>
  <c r="L188" i="3"/>
  <c r="O260" i="4"/>
  <c r="O262" i="4"/>
  <c r="O263" i="4"/>
  <c r="M79" i="3"/>
  <c r="L105" i="3"/>
  <c r="L208" i="3" s="1"/>
  <c r="L88" i="3"/>
  <c r="L102" i="3" s="1"/>
  <c r="E270" i="1"/>
  <c r="E282" i="1"/>
  <c r="AK189" i="3"/>
  <c r="G105" i="1"/>
  <c r="G107" i="1" s="1"/>
  <c r="AK162" i="4"/>
  <c r="AK209" i="3"/>
  <c r="AL50" i="3"/>
  <c r="AK105" i="3"/>
  <c r="AK58" i="3"/>
  <c r="AK102" i="3" s="1"/>
  <c r="AK109" i="3"/>
  <c r="G74" i="1"/>
  <c r="AK420" i="3"/>
  <c r="AK421" i="3"/>
  <c r="L186" i="4"/>
  <c r="L190" i="4"/>
  <c r="L187" i="4"/>
  <c r="L191" i="4"/>
  <c r="L188" i="4"/>
  <c r="L185" i="4"/>
  <c r="L189" i="4"/>
  <c r="L532" i="3"/>
  <c r="L535" i="3" s="1"/>
  <c r="K524" i="3"/>
  <c r="F128" i="1"/>
  <c r="F136" i="1" s="1"/>
  <c r="AJ250" i="3"/>
  <c r="K204" i="3"/>
  <c r="K222" i="3" s="1"/>
  <c r="K231" i="3" s="1"/>
  <c r="L206" i="3" l="1"/>
  <c r="L207" i="3"/>
  <c r="AK214" i="4"/>
  <c r="R375" i="3"/>
  <c r="R380" i="3" s="1"/>
  <c r="R325" i="3" s="1"/>
  <c r="K527" i="3"/>
  <c r="K543" i="3" s="1"/>
  <c r="K540" i="3"/>
  <c r="AK216" i="4"/>
  <c r="AL161" i="4"/>
  <c r="Q177" i="4"/>
  <c r="Q259" i="4" s="1"/>
  <c r="R150" i="3"/>
  <c r="R153" i="3" s="1"/>
  <c r="L192" i="4"/>
  <c r="M104" i="3"/>
  <c r="M84" i="3"/>
  <c r="P260" i="4"/>
  <c r="P262" i="4"/>
  <c r="P263" i="4"/>
  <c r="AK121" i="3"/>
  <c r="AK108" i="3"/>
  <c r="AK207" i="3"/>
  <c r="AK206" i="3"/>
  <c r="AK208" i="3"/>
  <c r="AK179" i="4"/>
  <c r="AK106" i="3"/>
  <c r="G87" i="1"/>
  <c r="AK488" i="3"/>
  <c r="AL104" i="3"/>
  <c r="AL70" i="3"/>
  <c r="AL92" i="3"/>
  <c r="AL62" i="3" s="1"/>
  <c r="AL66" i="3" s="1"/>
  <c r="AL53" i="3"/>
  <c r="AL54" i="3"/>
  <c r="K234" i="3"/>
  <c r="K246" i="3"/>
  <c r="AK367" i="3"/>
  <c r="O264" i="4"/>
  <c r="O218" i="3" s="1"/>
  <c r="AK518" i="3" l="1"/>
  <c r="AK525" i="3" s="1"/>
  <c r="AK541" i="3" s="1"/>
  <c r="G160" i="1" s="1"/>
  <c r="S375" i="3"/>
  <c r="S380" i="3" s="1"/>
  <c r="S325" i="3" s="1"/>
  <c r="AL178" i="4"/>
  <c r="H86" i="1"/>
  <c r="P264" i="4"/>
  <c r="P218" i="3" s="1"/>
  <c r="R177" i="4"/>
  <c r="R259" i="4" s="1"/>
  <c r="S150" i="3"/>
  <c r="S153" i="3" s="1"/>
  <c r="AK218" i="4"/>
  <c r="AK222" i="4"/>
  <c r="AK219" i="4"/>
  <c r="AK223" i="4"/>
  <c r="AK220" i="4"/>
  <c r="AK224" i="4"/>
  <c r="AK217" i="4"/>
  <c r="AK221" i="4"/>
  <c r="AK530" i="3"/>
  <c r="AK535" i="3" s="1"/>
  <c r="AK120" i="3"/>
  <c r="AK229" i="3" s="1"/>
  <c r="AL127" i="3"/>
  <c r="Q263" i="4"/>
  <c r="Q260" i="4"/>
  <c r="Q262" i="4"/>
  <c r="L115" i="4"/>
  <c r="L247" i="4"/>
  <c r="L205" i="3" s="1"/>
  <c r="L517" i="3"/>
  <c r="L510" i="3"/>
  <c r="AK360" i="3"/>
  <c r="AL169" i="4"/>
  <c r="AL238" i="4" s="1"/>
  <c r="AM60" i="3"/>
  <c r="AL110" i="3"/>
  <c r="AL122" i="3" s="1"/>
  <c r="AM128" i="3" s="1"/>
  <c r="AL67" i="3"/>
  <c r="H75" i="1"/>
  <c r="AK358" i="3"/>
  <c r="AL166" i="3"/>
  <c r="H81" i="1"/>
  <c r="AL73" i="3"/>
  <c r="H80" i="1"/>
  <c r="AK359" i="3"/>
  <c r="M149" i="4"/>
  <c r="M184" i="4" s="1"/>
  <c r="M87" i="3"/>
  <c r="M479" i="3"/>
  <c r="M195" i="3" s="1"/>
  <c r="T375" i="3" l="1"/>
  <c r="T380" i="3" s="1"/>
  <c r="T325" i="3" s="1"/>
  <c r="L524" i="3"/>
  <c r="L540" i="3" s="1"/>
  <c r="AL175" i="3"/>
  <c r="H96" i="1"/>
  <c r="AK131" i="3"/>
  <c r="AK225" i="4"/>
  <c r="R262" i="4"/>
  <c r="R263" i="4"/>
  <c r="R260" i="4"/>
  <c r="AM168" i="4"/>
  <c r="AM63" i="3"/>
  <c r="AM167" i="3" s="1"/>
  <c r="AM64" i="3"/>
  <c r="S177" i="4"/>
  <c r="S259" i="4" s="1"/>
  <c r="T150" i="3"/>
  <c r="T153" i="3" s="1"/>
  <c r="AL240" i="4"/>
  <c r="AL241" i="4"/>
  <c r="AL242" i="4"/>
  <c r="AL243" i="4"/>
  <c r="AL244" i="4"/>
  <c r="AL239" i="4"/>
  <c r="AL531" i="3"/>
  <c r="AL258" i="3"/>
  <c r="M188" i="3"/>
  <c r="N79" i="3"/>
  <c r="M105" i="3"/>
  <c r="M208" i="3" s="1"/>
  <c r="M88" i="3"/>
  <c r="M102" i="3" s="1"/>
  <c r="M186" i="4"/>
  <c r="M190" i="4"/>
  <c r="M187" i="4"/>
  <c r="M191" i="4"/>
  <c r="M188" i="4"/>
  <c r="M185" i="4"/>
  <c r="M189" i="4"/>
  <c r="M532" i="3"/>
  <c r="M535" i="3" s="1"/>
  <c r="AL149" i="4"/>
  <c r="AL74" i="3"/>
  <c r="AL80" i="3" s="1"/>
  <c r="AL75" i="3"/>
  <c r="AL91" i="3" s="1"/>
  <c r="Q264" i="4"/>
  <c r="Q218" i="3" s="1"/>
  <c r="H89" i="1"/>
  <c r="L204" i="3"/>
  <c r="L222" i="3" s="1"/>
  <c r="L231" i="3" s="1"/>
  <c r="M206" i="3" l="1"/>
  <c r="M207" i="3"/>
  <c r="AK260" i="3"/>
  <c r="U375" i="3"/>
  <c r="U380" i="3" s="1"/>
  <c r="U325" i="3" s="1"/>
  <c r="L527" i="3"/>
  <c r="L543" i="3" s="1"/>
  <c r="R264" i="4"/>
  <c r="R218" i="3" s="1"/>
  <c r="AM176" i="3"/>
  <c r="I97" i="1"/>
  <c r="L234" i="3"/>
  <c r="L246" i="3"/>
  <c r="AL76" i="3"/>
  <c r="M192" i="4"/>
  <c r="AL190" i="3"/>
  <c r="H103" i="1"/>
  <c r="AL93" i="3"/>
  <c r="H84" i="1" s="1"/>
  <c r="AL82" i="3"/>
  <c r="AL84" i="3" s="1"/>
  <c r="AK247" i="4"/>
  <c r="AK515" i="3"/>
  <c r="AK522" i="3" s="1"/>
  <c r="AL184" i="4"/>
  <c r="AL171" i="4"/>
  <c r="T177" i="4"/>
  <c r="T259" i="4" s="1"/>
  <c r="U150" i="3"/>
  <c r="U153" i="3" s="1"/>
  <c r="AK126" i="3"/>
  <c r="AK429" i="3" s="1"/>
  <c r="S260" i="4"/>
  <c r="S262" i="4"/>
  <c r="S263" i="4"/>
  <c r="AK322" i="3"/>
  <c r="AL245" i="4"/>
  <c r="N104" i="3"/>
  <c r="N84" i="3"/>
  <c r="V375" i="3" l="1"/>
  <c r="V380" i="3" s="1"/>
  <c r="V325" i="3" s="1"/>
  <c r="AL94" i="3"/>
  <c r="AL95" i="3" s="1"/>
  <c r="AL96" i="3" s="1"/>
  <c r="AK538" i="3"/>
  <c r="G157" i="1" s="1"/>
  <c r="AK527" i="3"/>
  <c r="AK543" i="3" s="1"/>
  <c r="H83" i="1"/>
  <c r="H90" i="1" s="1"/>
  <c r="H82" i="1"/>
  <c r="AL77" i="3"/>
  <c r="AM69" i="3"/>
  <c r="F270" i="1"/>
  <c r="F282" i="1"/>
  <c r="T260" i="4"/>
  <c r="T262" i="4"/>
  <c r="T263" i="4"/>
  <c r="AK246" i="4"/>
  <c r="AK205" i="3"/>
  <c r="N149" i="4"/>
  <c r="N87" i="3"/>
  <c r="N479" i="3"/>
  <c r="N195" i="3" s="1"/>
  <c r="AM191" i="3"/>
  <c r="I104" i="1"/>
  <c r="AL186" i="4"/>
  <c r="AL190" i="4"/>
  <c r="AL187" i="4"/>
  <c r="AL191" i="4"/>
  <c r="AL188" i="4"/>
  <c r="AL185" i="4"/>
  <c r="AL189" i="4"/>
  <c r="AL532" i="3"/>
  <c r="AL152" i="4"/>
  <c r="AL153" i="4" s="1"/>
  <c r="AL85" i="3"/>
  <c r="AL52" i="3" s="1"/>
  <c r="G128" i="1"/>
  <c r="G136" i="1" s="1"/>
  <c r="AK250" i="3"/>
  <c r="AL516" i="3"/>
  <c r="AL523" i="3" s="1"/>
  <c r="AL539" i="3" s="1"/>
  <c r="H158" i="1" s="1"/>
  <c r="S264" i="4"/>
  <c r="S218" i="3" s="1"/>
  <c r="U177" i="4"/>
  <c r="U259" i="4" s="1"/>
  <c r="V150" i="3"/>
  <c r="V153" i="3" s="1"/>
  <c r="AL165" i="4"/>
  <c r="AL176" i="4" s="1"/>
  <c r="AL252" i="4" s="1"/>
  <c r="M115" i="4"/>
  <c r="M247" i="4"/>
  <c r="M205" i="3" s="1"/>
  <c r="M517" i="3"/>
  <c r="M510" i="3"/>
  <c r="W375" i="3" l="1"/>
  <c r="W380" i="3" s="1"/>
  <c r="W325" i="3" s="1"/>
  <c r="AL87" i="3"/>
  <c r="AM79" i="3" s="1"/>
  <c r="T264" i="4"/>
  <c r="T218" i="3" s="1"/>
  <c r="M524" i="3"/>
  <c r="M527" i="3" s="1"/>
  <c r="M543" i="3" s="1"/>
  <c r="AL166" i="4"/>
  <c r="AM164" i="4" s="1"/>
  <c r="AM90" i="3"/>
  <c r="AL112" i="3"/>
  <c r="AL124" i="3" s="1"/>
  <c r="AM130" i="3" s="1"/>
  <c r="H77" i="1"/>
  <c r="AL97" i="3"/>
  <c r="AK544" i="3"/>
  <c r="G162" i="1"/>
  <c r="G163" i="1" s="1"/>
  <c r="AL168" i="3"/>
  <c r="AL142" i="3"/>
  <c r="M204" i="3"/>
  <c r="M222" i="3" s="1"/>
  <c r="M231" i="3" s="1"/>
  <c r="AK497" i="3"/>
  <c r="AK357" i="3"/>
  <c r="AK490" i="3"/>
  <c r="AL159" i="4"/>
  <c r="AL55" i="3"/>
  <c r="N188" i="3"/>
  <c r="AI195" i="3"/>
  <c r="AI188" i="3" s="1"/>
  <c r="O79" i="3"/>
  <c r="N105" i="3"/>
  <c r="N208" i="3" s="1"/>
  <c r="N88" i="3"/>
  <c r="N102" i="3" s="1"/>
  <c r="AL253" i="4"/>
  <c r="AL254" i="4"/>
  <c r="AL255" i="4"/>
  <c r="AL256" i="4"/>
  <c r="AL534" i="3"/>
  <c r="AL192" i="4"/>
  <c r="AM151" i="4"/>
  <c r="AL205" i="4"/>
  <c r="V177" i="4"/>
  <c r="V259" i="4" s="1"/>
  <c r="W150" i="3"/>
  <c r="W153" i="3" s="1"/>
  <c r="AI149" i="4"/>
  <c r="N184" i="4"/>
  <c r="U260" i="4"/>
  <c r="U262" i="4"/>
  <c r="U263" i="4"/>
  <c r="H91" i="1"/>
  <c r="H92" i="1"/>
  <c r="N206" i="3" l="1"/>
  <c r="N207" i="3"/>
  <c r="X375" i="3"/>
  <c r="X380" i="3" s="1"/>
  <c r="X325" i="3" s="1"/>
  <c r="H76" i="1"/>
  <c r="AL111" i="3"/>
  <c r="AL123" i="3" s="1"/>
  <c r="AM129" i="3" s="1"/>
  <c r="AL88" i="3"/>
  <c r="M540" i="3"/>
  <c r="AL172" i="4"/>
  <c r="AL209" i="4"/>
  <c r="AL213" i="4"/>
  <c r="AL210" i="4"/>
  <c r="AL206" i="4"/>
  <c r="AL211" i="4"/>
  <c r="AL207" i="4"/>
  <c r="AL208" i="4"/>
  <c r="AL212" i="4"/>
  <c r="AL257" i="4"/>
  <c r="AL151" i="3"/>
  <c r="AL156" i="3"/>
  <c r="AL158" i="3" s="1"/>
  <c r="AL143" i="3"/>
  <c r="N185" i="4"/>
  <c r="N189" i="4"/>
  <c r="N186" i="4"/>
  <c r="N190" i="4"/>
  <c r="N187" i="4"/>
  <c r="N191" i="4"/>
  <c r="N188" i="4"/>
  <c r="N532" i="3"/>
  <c r="N535" i="3" s="1"/>
  <c r="O84" i="3"/>
  <c r="O104" i="3"/>
  <c r="AL177" i="3"/>
  <c r="H99" i="1"/>
  <c r="AL517" i="3"/>
  <c r="AL524" i="3" s="1"/>
  <c r="AL540" i="3" s="1"/>
  <c r="H159" i="1" s="1"/>
  <c r="AI172" i="4"/>
  <c r="AI184" i="4"/>
  <c r="AI171" i="4"/>
  <c r="V260" i="4"/>
  <c r="V262" i="4"/>
  <c r="V263" i="4"/>
  <c r="AI208" i="3"/>
  <c r="E113" i="1"/>
  <c r="AK374" i="3"/>
  <c r="AK356" i="3"/>
  <c r="AL99" i="3"/>
  <c r="AL100" i="3" s="1"/>
  <c r="AL56" i="3"/>
  <c r="AL165" i="3" s="1"/>
  <c r="M234" i="3"/>
  <c r="M246" i="3"/>
  <c r="U264" i="4"/>
  <c r="U218" i="3" s="1"/>
  <c r="J364" i="3" s="1"/>
  <c r="W177" i="4"/>
  <c r="W259" i="4" s="1"/>
  <c r="X150" i="3"/>
  <c r="AL227" i="4"/>
  <c r="AL156" i="4"/>
  <c r="AL194" i="4" s="1"/>
  <c r="Y375" i="3" l="1"/>
  <c r="Y380" i="3" s="1"/>
  <c r="Y325" i="3" s="1"/>
  <c r="V264" i="4"/>
  <c r="V218" i="3" s="1"/>
  <c r="AL170" i="3"/>
  <c r="H100" i="1" s="1"/>
  <c r="AL174" i="3"/>
  <c r="H98" i="1"/>
  <c r="AL196" i="4"/>
  <c r="AL197" i="4"/>
  <c r="AL198" i="4"/>
  <c r="AL199" i="4"/>
  <c r="AL200" i="4"/>
  <c r="AL201" i="4"/>
  <c r="AL202" i="4"/>
  <c r="AL195" i="4"/>
  <c r="AL533" i="3"/>
  <c r="AL228" i="4"/>
  <c r="AL232" i="4"/>
  <c r="AL233" i="4"/>
  <c r="AL234" i="4"/>
  <c r="AL235" i="4"/>
  <c r="AL229" i="4"/>
  <c r="AL230" i="4"/>
  <c r="AL231" i="4"/>
  <c r="O149" i="4"/>
  <c r="O184" i="4" s="1"/>
  <c r="O87" i="3"/>
  <c r="O479" i="3"/>
  <c r="O195" i="3" s="1"/>
  <c r="AL266" i="4"/>
  <c r="AL268" i="4" s="1"/>
  <c r="AL217" i="3"/>
  <c r="AL519" i="3"/>
  <c r="AL526" i="3" s="1"/>
  <c r="AL542" i="3" s="1"/>
  <c r="H161" i="1" s="1"/>
  <c r="AL214" i="4"/>
  <c r="J362" i="3"/>
  <c r="AI362" i="3" s="1"/>
  <c r="AI364" i="3"/>
  <c r="AI206" i="3"/>
  <c r="AK255" i="3"/>
  <c r="AI532" i="3"/>
  <c r="AI535" i="3" s="1"/>
  <c r="AL152" i="3" a="1"/>
  <c r="AL152" i="3" s="1"/>
  <c r="AL153" i="3" s="1"/>
  <c r="AM150" i="3" s="1"/>
  <c r="W260" i="4"/>
  <c r="W262" i="4"/>
  <c r="W263" i="4"/>
  <c r="AI207" i="3"/>
  <c r="AL57" i="3"/>
  <c r="N192" i="4"/>
  <c r="AI185" i="4"/>
  <c r="X152" i="3"/>
  <c r="X153" i="3" s="1"/>
  <c r="AL192" i="3"/>
  <c r="H106" i="1"/>
  <c r="AL483" i="3"/>
  <c r="AL484" i="3" l="1"/>
  <c r="AL198" i="3"/>
  <c r="Z375" i="3"/>
  <c r="Z380" i="3" s="1"/>
  <c r="Z325" i="3" s="1"/>
  <c r="W264" i="4"/>
  <c r="W218" i="3" s="1"/>
  <c r="N115" i="4"/>
  <c r="N247" i="4"/>
  <c r="N205" i="3" s="1"/>
  <c r="N517" i="3"/>
  <c r="N510" i="3"/>
  <c r="AI192" i="4"/>
  <c r="AL270" i="4"/>
  <c r="AL236" i="4"/>
  <c r="X157" i="3"/>
  <c r="X169" i="3"/>
  <c r="AJ169" i="3" s="1"/>
  <c r="AJ170" i="3" s="1"/>
  <c r="F100" i="1" s="1"/>
  <c r="AL203" i="4"/>
  <c r="X177" i="4"/>
  <c r="X259" i="4" s="1"/>
  <c r="Y150" i="3"/>
  <c r="Y153" i="3" s="1"/>
  <c r="AL162" i="4"/>
  <c r="AL209" i="3"/>
  <c r="AM50" i="3"/>
  <c r="AL105" i="3"/>
  <c r="AL109" i="3"/>
  <c r="H74" i="1"/>
  <c r="AL58" i="3"/>
  <c r="AL102" i="3" s="1"/>
  <c r="AL391" i="3"/>
  <c r="AL420" i="3" s="1"/>
  <c r="O188" i="3"/>
  <c r="AL216" i="3"/>
  <c r="AL363" i="3"/>
  <c r="AL362" i="3" s="1"/>
  <c r="O105" i="3"/>
  <c r="O208" i="3" s="1"/>
  <c r="P79" i="3"/>
  <c r="O88" i="3"/>
  <c r="O102" i="3" s="1"/>
  <c r="AL189" i="3"/>
  <c r="H105" i="1"/>
  <c r="H107" i="1" s="1"/>
  <c r="O185" i="4"/>
  <c r="O189" i="4"/>
  <c r="O186" i="4"/>
  <c r="O190" i="4"/>
  <c r="O187" i="4"/>
  <c r="O191" i="4"/>
  <c r="O188" i="4"/>
  <c r="O532" i="3"/>
  <c r="O535" i="3" s="1"/>
  <c r="O206" i="3" l="1"/>
  <c r="O207" i="3"/>
  <c r="AJ375" i="3"/>
  <c r="AJ380" i="3" s="1"/>
  <c r="AJ325" i="3" s="1"/>
  <c r="AA375" i="3"/>
  <c r="AB375" i="3" s="1"/>
  <c r="AB380" i="3" s="1"/>
  <c r="AB325" i="3" s="1"/>
  <c r="O192" i="4"/>
  <c r="AM54" i="3"/>
  <c r="AM104" i="3"/>
  <c r="AM70" i="3"/>
  <c r="AM92" i="3"/>
  <c r="AM62" i="3" s="1"/>
  <c r="AM66" i="3" s="1"/>
  <c r="AM53" i="3"/>
  <c r="N204" i="3"/>
  <c r="N222" i="3" s="1"/>
  <c r="N231" i="3" s="1"/>
  <c r="AI205" i="3"/>
  <c r="AL367" i="3"/>
  <c r="AL207" i="3"/>
  <c r="AL206" i="3"/>
  <c r="AL208" i="3"/>
  <c r="AM161" i="4"/>
  <c r="AL216" i="4"/>
  <c r="X260" i="4"/>
  <c r="X262" i="4"/>
  <c r="X263" i="4"/>
  <c r="P84" i="3"/>
  <c r="P104" i="3"/>
  <c r="AI247" i="4"/>
  <c r="AI246" i="4" s="1"/>
  <c r="AI517" i="3"/>
  <c r="AL518" i="3"/>
  <c r="AL525" i="3" s="1"/>
  <c r="AL541" i="3" s="1"/>
  <c r="H160" i="1" s="1"/>
  <c r="Y177" i="4"/>
  <c r="Y259" i="4" s="1"/>
  <c r="Z150" i="3"/>
  <c r="Z153" i="3" s="1"/>
  <c r="AL121" i="3"/>
  <c r="AL108" i="3"/>
  <c r="N524" i="3"/>
  <c r="AL179" i="4"/>
  <c r="AL106" i="3"/>
  <c r="H87" i="1"/>
  <c r="AL488" i="3"/>
  <c r="X158" i="3"/>
  <c r="X178" i="3"/>
  <c r="AJ256" i="3" l="1"/>
  <c r="AA380" i="3"/>
  <c r="AA325" i="3" s="1"/>
  <c r="X264" i="4"/>
  <c r="X218" i="3" s="1"/>
  <c r="Z177" i="4"/>
  <c r="Z259" i="4" s="1"/>
  <c r="AA150" i="3"/>
  <c r="AA153" i="3" s="1"/>
  <c r="AL217" i="4"/>
  <c r="AL221" i="4"/>
  <c r="AL218" i="4"/>
  <c r="AL222" i="4"/>
  <c r="AL219" i="4"/>
  <c r="AL223" i="4"/>
  <c r="AL220" i="4"/>
  <c r="AL224" i="4"/>
  <c r="AL530" i="3"/>
  <c r="AL535" i="3" s="1"/>
  <c r="N246" i="3"/>
  <c r="N234" i="3"/>
  <c r="AM166" i="3"/>
  <c r="I81" i="1"/>
  <c r="P149" i="4"/>
  <c r="P184" i="4" s="1"/>
  <c r="P87" i="3"/>
  <c r="P479" i="3"/>
  <c r="P195" i="3" s="1"/>
  <c r="AM169" i="4"/>
  <c r="AM238" i="4" s="1"/>
  <c r="AN60" i="3"/>
  <c r="AM110" i="3"/>
  <c r="AM122" i="3" s="1"/>
  <c r="AN128" i="3" s="1"/>
  <c r="I75" i="1"/>
  <c r="AM67" i="3"/>
  <c r="O115" i="4"/>
  <c r="O247" i="4"/>
  <c r="O205" i="3" s="1"/>
  <c r="O510" i="3"/>
  <c r="O517" i="3"/>
  <c r="AL360" i="3"/>
  <c r="I80" i="1"/>
  <c r="AM73" i="3"/>
  <c r="X193" i="3"/>
  <c r="AJ178" i="3"/>
  <c r="AC375" i="3"/>
  <c r="AC380" i="3" s="1"/>
  <c r="AC325" i="3" s="1"/>
  <c r="N527" i="3"/>
  <c r="N543" i="3" s="1"/>
  <c r="N540" i="3"/>
  <c r="AL120" i="3"/>
  <c r="AL229" i="3" s="1"/>
  <c r="AM127" i="3"/>
  <c r="AL358" i="3"/>
  <c r="AM178" i="4"/>
  <c r="I86" i="1"/>
  <c r="AL359" i="3"/>
  <c r="Y263" i="4"/>
  <c r="Y260" i="4"/>
  <c r="Y262" i="4"/>
  <c r="AI204" i="3"/>
  <c r="AI497" i="3"/>
  <c r="AI490" i="3"/>
  <c r="AM258" i="3" l="1"/>
  <c r="AD375" i="3"/>
  <c r="AD380" i="3" s="1"/>
  <c r="AD325" i="3" s="1"/>
  <c r="AM149" i="4"/>
  <c r="AM74" i="3"/>
  <c r="AM80" i="3" s="1"/>
  <c r="AM75" i="3"/>
  <c r="AM91" i="3" s="1"/>
  <c r="P188" i="3"/>
  <c r="AM175" i="3"/>
  <c r="I96" i="1"/>
  <c r="AL225" i="4"/>
  <c r="Z262" i="4"/>
  <c r="Z263" i="4"/>
  <c r="Z260" i="4"/>
  <c r="I89" i="1"/>
  <c r="AN168" i="4"/>
  <c r="AN63" i="3"/>
  <c r="AN167" i="3" s="1"/>
  <c r="AN64" i="3"/>
  <c r="P105" i="3"/>
  <c r="P208" i="3" s="1"/>
  <c r="Q79" i="3"/>
  <c r="P88" i="3"/>
  <c r="P102" i="3" s="1"/>
  <c r="O204" i="3"/>
  <c r="O222" i="3" s="1"/>
  <c r="O231" i="3" s="1"/>
  <c r="AM239" i="4"/>
  <c r="AM240" i="4"/>
  <c r="AM241" i="4"/>
  <c r="AM242" i="4"/>
  <c r="AM243" i="4"/>
  <c r="AM244" i="4"/>
  <c r="AM531" i="3"/>
  <c r="P188" i="4"/>
  <c r="P185" i="4"/>
  <c r="P189" i="4"/>
  <c r="P186" i="4"/>
  <c r="P190" i="4"/>
  <c r="P187" i="4"/>
  <c r="P191" i="4"/>
  <c r="P532" i="3"/>
  <c r="P535" i="3" s="1"/>
  <c r="Y264" i="4"/>
  <c r="Y218" i="3" s="1"/>
  <c r="AL131" i="3"/>
  <c r="O524" i="3"/>
  <c r="AJ193" i="3"/>
  <c r="AA177" i="4"/>
  <c r="AA259" i="4" s="1"/>
  <c r="AB150" i="3"/>
  <c r="AB153" i="3" s="1"/>
  <c r="P206" i="3" l="1"/>
  <c r="P207" i="3"/>
  <c r="AL260" i="3"/>
  <c r="AL126" i="3"/>
  <c r="AL429" i="3" s="1"/>
  <c r="AM76" i="3"/>
  <c r="AM171" i="4"/>
  <c r="AM184" i="4"/>
  <c r="Z264" i="4"/>
  <c r="Z218" i="3" s="1"/>
  <c r="AE375" i="3"/>
  <c r="AE380" i="3" s="1"/>
  <c r="AE325" i="3" s="1"/>
  <c r="P192" i="4"/>
  <c r="AN176" i="3"/>
  <c r="J97" i="1"/>
  <c r="AL322" i="3"/>
  <c r="AB177" i="4"/>
  <c r="AB259" i="4" s="1"/>
  <c r="AC150" i="3"/>
  <c r="AC153" i="3" s="1"/>
  <c r="AM245" i="4"/>
  <c r="Q84" i="3"/>
  <c r="Q104" i="3"/>
  <c r="AL515" i="3"/>
  <c r="AL522" i="3" s="1"/>
  <c r="AL247" i="4"/>
  <c r="AA260" i="4"/>
  <c r="AA262" i="4"/>
  <c r="AA263" i="4"/>
  <c r="O527" i="3"/>
  <c r="O543" i="3" s="1"/>
  <c r="O540" i="3"/>
  <c r="AM93" i="3"/>
  <c r="I84" i="1" s="1"/>
  <c r="O234" i="3"/>
  <c r="AM190" i="3"/>
  <c r="I103" i="1"/>
  <c r="AM82" i="3"/>
  <c r="AM84" i="3" s="1"/>
  <c r="AM94" i="3" l="1"/>
  <c r="AM95" i="3" s="1"/>
  <c r="AM96" i="3" s="1"/>
  <c r="AM165" i="4"/>
  <c r="AM176" i="4" s="1"/>
  <c r="AM252" i="4" s="1"/>
  <c r="AM253" i="4" s="1"/>
  <c r="AA264" i="4"/>
  <c r="AA218" i="3" s="1"/>
  <c r="AM152" i="4"/>
  <c r="AM153" i="4" s="1"/>
  <c r="AM85" i="3"/>
  <c r="AM52" i="3" s="1"/>
  <c r="AM516" i="3"/>
  <c r="AM523" i="3" s="1"/>
  <c r="AM539" i="3" s="1"/>
  <c r="I158" i="1" s="1"/>
  <c r="AM77" i="3"/>
  <c r="AN69" i="3"/>
  <c r="AL246" i="4"/>
  <c r="AL248" i="4"/>
  <c r="AL205" i="3"/>
  <c r="AU245" i="4"/>
  <c r="AU192" i="4"/>
  <c r="AU214" i="4"/>
  <c r="AU236" i="4"/>
  <c r="AU203" i="4"/>
  <c r="P115" i="4"/>
  <c r="P247" i="4"/>
  <c r="P205" i="3" s="1"/>
  <c r="P510" i="3"/>
  <c r="P517" i="3"/>
  <c r="I83" i="1"/>
  <c r="I90" i="1" s="1"/>
  <c r="I82" i="1"/>
  <c r="AL538" i="3"/>
  <c r="H157" i="1" s="1"/>
  <c r="AL527" i="3"/>
  <c r="AL543" i="3" s="1"/>
  <c r="AF375" i="3"/>
  <c r="AF380" i="3" s="1"/>
  <c r="AF325" i="3" s="1"/>
  <c r="AC177" i="4"/>
  <c r="AC259" i="4" s="1"/>
  <c r="AD150" i="3"/>
  <c r="AD153" i="3" s="1"/>
  <c r="AM186" i="4"/>
  <c r="AM190" i="4"/>
  <c r="AM187" i="4"/>
  <c r="AM191" i="4"/>
  <c r="AM188" i="4"/>
  <c r="AM185" i="4"/>
  <c r="AM189" i="4"/>
  <c r="AM532" i="3"/>
  <c r="AU225" i="4"/>
  <c r="AB260" i="4"/>
  <c r="AB262" i="4"/>
  <c r="AB263" i="4"/>
  <c r="AN191" i="3"/>
  <c r="J104" i="1"/>
  <c r="G270" i="1"/>
  <c r="G282" i="1"/>
  <c r="H128" i="1"/>
  <c r="H136" i="1" s="1"/>
  <c r="AL250" i="3"/>
  <c r="Q149" i="4"/>
  <c r="Q184" i="4" s="1"/>
  <c r="Q87" i="3"/>
  <c r="Q479" i="3"/>
  <c r="Q195" i="3" s="1"/>
  <c r="AM534" i="3" l="1"/>
  <c r="AM256" i="4"/>
  <c r="AM255" i="4"/>
  <c r="AM254" i="4"/>
  <c r="AB264" i="4"/>
  <c r="AB218" i="3" s="1"/>
  <c r="AM87" i="3"/>
  <c r="AD177" i="4"/>
  <c r="AD259" i="4" s="1"/>
  <c r="AE150" i="3"/>
  <c r="AE153" i="3" s="1"/>
  <c r="AM159" i="4"/>
  <c r="AM55" i="3"/>
  <c r="AM192" i="4"/>
  <c r="AC260" i="4"/>
  <c r="AC262" i="4"/>
  <c r="AC263" i="4"/>
  <c r="AN151" i="4"/>
  <c r="AM205" i="4"/>
  <c r="AG375" i="3"/>
  <c r="AG380" i="3" s="1"/>
  <c r="AG325" i="3" s="1"/>
  <c r="I91" i="1"/>
  <c r="I92" i="1"/>
  <c r="P204" i="3"/>
  <c r="P222" i="3" s="1"/>
  <c r="P231" i="3" s="1"/>
  <c r="AM168" i="3"/>
  <c r="AM142" i="3"/>
  <c r="AL544" i="3"/>
  <c r="H162" i="1"/>
  <c r="H163" i="1" s="1"/>
  <c r="Q188" i="4"/>
  <c r="Q185" i="4"/>
  <c r="Q189" i="4"/>
  <c r="Q186" i="4"/>
  <c r="Q190" i="4"/>
  <c r="Q187" i="4"/>
  <c r="Q191" i="4"/>
  <c r="Q532" i="3"/>
  <c r="Q535" i="3" s="1"/>
  <c r="AM166" i="4"/>
  <c r="AN164" i="4" s="1"/>
  <c r="AN90" i="3"/>
  <c r="AM112" i="3"/>
  <c r="AM124" i="3" s="1"/>
  <c r="AN130" i="3" s="1"/>
  <c r="I77" i="1"/>
  <c r="AM97" i="3"/>
  <c r="Q188" i="3"/>
  <c r="R79" i="3"/>
  <c r="Q105" i="3"/>
  <c r="Q208" i="3" s="1"/>
  <c r="Q88" i="3"/>
  <c r="Q102" i="3" s="1"/>
  <c r="P524" i="3"/>
  <c r="AL497" i="3"/>
  <c r="AL490" i="3"/>
  <c r="Q206" i="3" l="1"/>
  <c r="Q207" i="3"/>
  <c r="AM257" i="4"/>
  <c r="AM266" i="4" s="1"/>
  <c r="AM268" i="4" s="1"/>
  <c r="P234" i="3"/>
  <c r="P246" i="3"/>
  <c r="AM227" i="4"/>
  <c r="AM156" i="4"/>
  <c r="AM194" i="4" s="1"/>
  <c r="AM517" i="3"/>
  <c r="AM524" i="3" s="1"/>
  <c r="AM540" i="3" s="1"/>
  <c r="I159" i="1" s="1"/>
  <c r="AM172" i="4"/>
  <c r="R104" i="3"/>
  <c r="R84" i="3"/>
  <c r="Q192" i="4"/>
  <c r="AM208" i="4"/>
  <c r="AM212" i="4"/>
  <c r="AM209" i="4"/>
  <c r="AM213" i="4"/>
  <c r="AM210" i="4"/>
  <c r="AM206" i="4"/>
  <c r="AM211" i="4"/>
  <c r="AM207" i="4"/>
  <c r="AN79" i="3"/>
  <c r="AM111" i="3"/>
  <c r="AM123" i="3" s="1"/>
  <c r="AN129" i="3" s="1"/>
  <c r="I76" i="1"/>
  <c r="AM88" i="3"/>
  <c r="AM143" i="3"/>
  <c r="AM151" i="3"/>
  <c r="AM156" i="3"/>
  <c r="AM158" i="3" s="1"/>
  <c r="P527" i="3"/>
  <c r="P543" i="3" s="1"/>
  <c r="P540" i="3"/>
  <c r="AE177" i="4"/>
  <c r="AE259" i="4" s="1"/>
  <c r="AF150" i="3"/>
  <c r="AF153" i="3" s="1"/>
  <c r="AD260" i="4"/>
  <c r="AD262" i="4"/>
  <c r="AD263" i="4"/>
  <c r="AM177" i="3"/>
  <c r="I99" i="1"/>
  <c r="AC264" i="4"/>
  <c r="AC218" i="3" s="1"/>
  <c r="AM99" i="3"/>
  <c r="AM100" i="3" s="1"/>
  <c r="AM56" i="3"/>
  <c r="AM165" i="3" s="1"/>
  <c r="AM519" i="3" l="1"/>
  <c r="AM526" i="3" s="1"/>
  <c r="AM542" i="3" s="1"/>
  <c r="I161" i="1" s="1"/>
  <c r="AM217" i="3"/>
  <c r="AM214" i="4"/>
  <c r="AF177" i="4"/>
  <c r="AF259" i="4" s="1"/>
  <c r="AG150" i="3"/>
  <c r="AG153" i="3" s="1"/>
  <c r="AG177" i="4" s="1"/>
  <c r="AG259" i="4" s="1"/>
  <c r="AM192" i="3"/>
  <c r="I106" i="1"/>
  <c r="AM483" i="3"/>
  <c r="AM57" i="3"/>
  <c r="AE260" i="4"/>
  <c r="AE262" i="4"/>
  <c r="AE263" i="4"/>
  <c r="AM170" i="3"/>
  <c r="I100" i="1" s="1"/>
  <c r="AM174" i="3"/>
  <c r="I98" i="1"/>
  <c r="AM270" i="4"/>
  <c r="R149" i="4"/>
  <c r="R184" i="4" s="1"/>
  <c r="R87" i="3"/>
  <c r="R479" i="3"/>
  <c r="R195" i="3" s="1"/>
  <c r="AD264" i="4"/>
  <c r="AD218" i="3" s="1"/>
  <c r="Q115" i="4"/>
  <c r="Q247" i="4"/>
  <c r="Q205" i="3" s="1"/>
  <c r="Q510" i="3"/>
  <c r="Q517" i="3"/>
  <c r="AM195" i="4"/>
  <c r="AM196" i="4"/>
  <c r="AM197" i="4"/>
  <c r="AM198" i="4"/>
  <c r="AM199" i="4"/>
  <c r="AM200" i="4"/>
  <c r="AM201" i="4"/>
  <c r="AM202" i="4"/>
  <c r="AM533" i="3"/>
  <c r="AM152" i="3" a="1"/>
  <c r="AM152" i="3" s="1"/>
  <c r="AM153" i="3" s="1"/>
  <c r="AN150" i="3" s="1"/>
  <c r="AM228" i="4"/>
  <c r="AM231" i="4"/>
  <c r="AM232" i="4"/>
  <c r="AM233" i="4"/>
  <c r="AM234" i="4"/>
  <c r="AM235" i="4"/>
  <c r="AM229" i="4"/>
  <c r="AM230" i="4"/>
  <c r="AM484" i="3" l="1"/>
  <c r="AM198" i="3"/>
  <c r="AM363" i="3"/>
  <c r="AM362" i="3" s="1"/>
  <c r="AM216" i="3"/>
  <c r="AM203" i="4"/>
  <c r="AM518" i="3" s="1"/>
  <c r="AM525" i="3" s="1"/>
  <c r="AM541" i="3" s="1"/>
  <c r="I160" i="1" s="1"/>
  <c r="AE264" i="4"/>
  <c r="AE218" i="3" s="1"/>
  <c r="AM236" i="4"/>
  <c r="R187" i="4"/>
  <c r="R191" i="4"/>
  <c r="R188" i="4"/>
  <c r="R185" i="4"/>
  <c r="R189" i="4"/>
  <c r="R186" i="4"/>
  <c r="R190" i="4"/>
  <c r="R532" i="3"/>
  <c r="R535" i="3" s="1"/>
  <c r="AM189" i="3"/>
  <c r="I105" i="1"/>
  <c r="I107" i="1" s="1"/>
  <c r="AM162" i="4"/>
  <c r="AM109" i="3"/>
  <c r="AM209" i="3"/>
  <c r="AN50" i="3"/>
  <c r="AM105" i="3"/>
  <c r="I74" i="1"/>
  <c r="AM58" i="3"/>
  <c r="AM102" i="3" s="1"/>
  <c r="AM391" i="3"/>
  <c r="AM420" i="3" s="1"/>
  <c r="Q524" i="3"/>
  <c r="S79" i="3"/>
  <c r="R105" i="3"/>
  <c r="R208" i="3" s="1"/>
  <c r="R88" i="3"/>
  <c r="R102" i="3" s="1"/>
  <c r="Q204" i="3"/>
  <c r="Q222" i="3" s="1"/>
  <c r="Q231" i="3" s="1"/>
  <c r="AG263" i="4"/>
  <c r="AG260" i="4"/>
  <c r="AG262" i="4"/>
  <c r="R188" i="3"/>
  <c r="AF260" i="4"/>
  <c r="AF262" i="4"/>
  <c r="AF263" i="4"/>
  <c r="R206" i="3" l="1"/>
  <c r="R207" i="3"/>
  <c r="AG264" i="4"/>
  <c r="AG218" i="3" s="1"/>
  <c r="R192" i="4"/>
  <c r="AF264" i="4"/>
  <c r="AF218" i="3" s="1"/>
  <c r="AJ260" i="4"/>
  <c r="AM179" i="4"/>
  <c r="AM106" i="3"/>
  <c r="I87" i="1"/>
  <c r="AM488" i="3"/>
  <c r="S104" i="3"/>
  <c r="S84" i="3"/>
  <c r="AN53" i="3"/>
  <c r="AN54" i="3"/>
  <c r="AN104" i="3"/>
  <c r="AN70" i="3"/>
  <c r="AN92" i="3"/>
  <c r="AN62" i="3" s="1"/>
  <c r="AN66" i="3" s="1"/>
  <c r="Q234" i="3"/>
  <c r="Q246" i="3"/>
  <c r="AM367" i="3"/>
  <c r="AI262" i="4"/>
  <c r="AJ262" i="4"/>
  <c r="Q527" i="3"/>
  <c r="Q543" i="3" s="1"/>
  <c r="Q540" i="3"/>
  <c r="AM121" i="3"/>
  <c r="AM108" i="3"/>
  <c r="AM206" i="3"/>
  <c r="AM208" i="3"/>
  <c r="AM207" i="3"/>
  <c r="AN161" i="4"/>
  <c r="AM216" i="4"/>
  <c r="AI263" i="4"/>
  <c r="AJ263" i="4"/>
  <c r="V364" i="3" l="1"/>
  <c r="V362" i="3" s="1"/>
  <c r="AJ362" i="3" s="1"/>
  <c r="AI264" i="4"/>
  <c r="AI218" i="3" s="1"/>
  <c r="AI216" i="3" s="1"/>
  <c r="AI489" i="3" s="1"/>
  <c r="AI491" i="3" s="1"/>
  <c r="AN166" i="3"/>
  <c r="J81" i="1"/>
  <c r="AM359" i="3"/>
  <c r="S149" i="4"/>
  <c r="S184" i="4" s="1"/>
  <c r="S87" i="3"/>
  <c r="S479" i="3"/>
  <c r="S195" i="3" s="1"/>
  <c r="R115" i="4"/>
  <c r="R247" i="4"/>
  <c r="R205" i="3" s="1"/>
  <c r="R510" i="3"/>
  <c r="R517" i="3"/>
  <c r="AN169" i="4"/>
  <c r="AN238" i="4" s="1"/>
  <c r="AO60" i="3"/>
  <c r="AN110" i="3"/>
  <c r="AN122" i="3" s="1"/>
  <c r="AO128" i="3" s="1"/>
  <c r="J75" i="1"/>
  <c r="AN67" i="3"/>
  <c r="AM358" i="3"/>
  <c r="J80" i="1"/>
  <c r="AN73" i="3"/>
  <c r="AM360" i="3"/>
  <c r="AN178" i="4"/>
  <c r="J86" i="1"/>
  <c r="AJ264" i="4"/>
  <c r="AJ218" i="3" s="1"/>
  <c r="AJ216" i="3" s="1"/>
  <c r="AM120" i="3"/>
  <c r="AM229" i="3" s="1"/>
  <c r="AN127" i="3"/>
  <c r="AM217" i="4"/>
  <c r="AM221" i="4"/>
  <c r="AM218" i="4"/>
  <c r="AM222" i="4"/>
  <c r="AM219" i="4"/>
  <c r="AM223" i="4"/>
  <c r="AM220" i="4"/>
  <c r="AM224" i="4"/>
  <c r="AM530" i="3"/>
  <c r="AM535" i="3" s="1"/>
  <c r="AJ364" i="3" l="1"/>
  <c r="AI492" i="3"/>
  <c r="E154" i="1" s="1"/>
  <c r="AI222" i="3"/>
  <c r="AI223" i="3" s="1"/>
  <c r="R524" i="3"/>
  <c r="R527" i="3" s="1"/>
  <c r="R543" i="3" s="1"/>
  <c r="AN175" i="3"/>
  <c r="J96" i="1"/>
  <c r="S188" i="3"/>
  <c r="AM131" i="3"/>
  <c r="AO168" i="4"/>
  <c r="AO63" i="3"/>
  <c r="AO167" i="3" s="1"/>
  <c r="AO64" i="3"/>
  <c r="T79" i="3"/>
  <c r="S105" i="3"/>
  <c r="S208" i="3" s="1"/>
  <c r="S88" i="3"/>
  <c r="S102" i="3" s="1"/>
  <c r="AM225" i="4"/>
  <c r="AN258" i="3"/>
  <c r="AN149" i="4"/>
  <c r="AN75" i="3"/>
  <c r="AN91" i="3" s="1"/>
  <c r="AN74" i="3"/>
  <c r="AN80" i="3" s="1"/>
  <c r="AN239" i="4"/>
  <c r="AN240" i="4"/>
  <c r="AN241" i="4"/>
  <c r="AN242" i="4"/>
  <c r="AN243" i="4"/>
  <c r="AN244" i="4"/>
  <c r="AN531" i="3"/>
  <c r="S187" i="4"/>
  <c r="S191" i="4"/>
  <c r="S188" i="4"/>
  <c r="S185" i="4"/>
  <c r="S189" i="4"/>
  <c r="S186" i="4"/>
  <c r="S190" i="4"/>
  <c r="S532" i="3"/>
  <c r="S535" i="3" s="1"/>
  <c r="J89" i="1"/>
  <c r="R204" i="3"/>
  <c r="R222" i="3" s="1"/>
  <c r="R231" i="3" s="1"/>
  <c r="S206" i="3" l="1"/>
  <c r="S207" i="3"/>
  <c r="AM260" i="3"/>
  <c r="E114" i="1"/>
  <c r="E121" i="1" s="1"/>
  <c r="AI231" i="3"/>
  <c r="R540" i="3"/>
  <c r="AN76" i="3"/>
  <c r="AN77" i="3" s="1"/>
  <c r="T104" i="3"/>
  <c r="T84" i="3"/>
  <c r="AN190" i="3"/>
  <c r="J103" i="1"/>
  <c r="AN171" i="4"/>
  <c r="AN184" i="4"/>
  <c r="AO176" i="3"/>
  <c r="K97" i="1"/>
  <c r="AN82" i="3"/>
  <c r="AM515" i="3"/>
  <c r="AM522" i="3" s="1"/>
  <c r="AM247" i="4"/>
  <c r="R234" i="3"/>
  <c r="R246" i="3"/>
  <c r="AN93" i="3"/>
  <c r="J84" i="1" s="1"/>
  <c r="AM126" i="3"/>
  <c r="AM429" i="3" s="1"/>
  <c r="S192" i="4"/>
  <c r="AN245" i="4"/>
  <c r="AM322" i="3"/>
  <c r="AI234" i="3" l="1"/>
  <c r="AI243" i="3"/>
  <c r="AI244" i="3" s="1"/>
  <c r="E115" i="1"/>
  <c r="E122" i="1" s="1"/>
  <c r="AO69" i="3"/>
  <c r="AN165" i="4"/>
  <c r="AN176" i="4" s="1"/>
  <c r="AN252" i="4" s="1"/>
  <c r="AN254" i="4" s="1"/>
  <c r="AN94" i="3"/>
  <c r="AN95" i="3" s="1"/>
  <c r="AN96" i="3" s="1"/>
  <c r="J83" i="1"/>
  <c r="J90" i="1" s="1"/>
  <c r="J82" i="1"/>
  <c r="AN185" i="4"/>
  <c r="AN189" i="4"/>
  <c r="AN186" i="4"/>
  <c r="AN190" i="4"/>
  <c r="AN187" i="4"/>
  <c r="AN191" i="4"/>
  <c r="AN188" i="4"/>
  <c r="AN532" i="3"/>
  <c r="AO191" i="3"/>
  <c r="K104" i="1"/>
  <c r="S115" i="4"/>
  <c r="S247" i="4"/>
  <c r="S205" i="3" s="1"/>
  <c r="S517" i="3"/>
  <c r="S510" i="3"/>
  <c r="AM246" i="4"/>
  <c r="AM248" i="4"/>
  <c r="AM205" i="3"/>
  <c r="AM527" i="3"/>
  <c r="AM543" i="3" s="1"/>
  <c r="AM538" i="3"/>
  <c r="I157" i="1" s="1"/>
  <c r="T149" i="4"/>
  <c r="T184" i="4" s="1"/>
  <c r="T87" i="3"/>
  <c r="T479" i="3"/>
  <c r="T195" i="3" s="1"/>
  <c r="AN516" i="3"/>
  <c r="AN523" i="3" s="1"/>
  <c r="AN539" i="3" s="1"/>
  <c r="J158" i="1" s="1"/>
  <c r="H282" i="1"/>
  <c r="H270" i="1"/>
  <c r="I128" i="1"/>
  <c r="I136" i="1" s="1"/>
  <c r="AM250" i="3"/>
  <c r="AN84" i="3"/>
  <c r="AI427" i="3" l="1"/>
  <c r="AI430" i="3" s="1"/>
  <c r="E116" i="1"/>
  <c r="E123" i="1" s="1"/>
  <c r="AN534" i="3"/>
  <c r="AN253" i="4"/>
  <c r="AN256" i="4"/>
  <c r="AN255" i="4"/>
  <c r="S524" i="3"/>
  <c r="S540" i="3" s="1"/>
  <c r="AN166" i="4"/>
  <c r="AO164" i="4" s="1"/>
  <c r="AO90" i="3"/>
  <c r="AN112" i="3"/>
  <c r="AN124" i="3" s="1"/>
  <c r="AO130" i="3" s="1"/>
  <c r="J77" i="1"/>
  <c r="AN97" i="3"/>
  <c r="AM544" i="3"/>
  <c r="I162" i="1"/>
  <c r="I163" i="1" s="1"/>
  <c r="S204" i="3"/>
  <c r="S222" i="3" s="1"/>
  <c r="S231" i="3" s="1"/>
  <c r="AN152" i="4"/>
  <c r="AN153" i="4" s="1"/>
  <c r="AN85" i="3"/>
  <c r="AN52" i="3" s="1"/>
  <c r="AN142" i="3"/>
  <c r="AN168" i="3"/>
  <c r="AM490" i="3"/>
  <c r="AM497" i="3"/>
  <c r="AN192" i="4"/>
  <c r="T188" i="3"/>
  <c r="J91" i="1"/>
  <c r="J92" i="1"/>
  <c r="U79" i="3"/>
  <c r="T105" i="3"/>
  <c r="T208" i="3" s="1"/>
  <c r="T88" i="3"/>
  <c r="T102" i="3" s="1"/>
  <c r="T186" i="4"/>
  <c r="T190" i="4"/>
  <c r="T187" i="4"/>
  <c r="T191" i="4"/>
  <c r="T188" i="4"/>
  <c r="T185" i="4"/>
  <c r="T189" i="4"/>
  <c r="T532" i="3"/>
  <c r="T535" i="3" s="1"/>
  <c r="T206" i="3" l="1"/>
  <c r="T207" i="3"/>
  <c r="D269" i="1"/>
  <c r="D281" i="1"/>
  <c r="S527" i="3"/>
  <c r="S543" i="3" s="1"/>
  <c r="AN257" i="4"/>
  <c r="AN266" i="4" s="1"/>
  <c r="AN268" i="4" s="1"/>
  <c r="AN87" i="3"/>
  <c r="AO79" i="3" s="1"/>
  <c r="S234" i="3"/>
  <c r="S246" i="3"/>
  <c r="U104" i="3"/>
  <c r="U84" i="3"/>
  <c r="AN159" i="4"/>
  <c r="AN172" i="4" s="1"/>
  <c r="AN55" i="3"/>
  <c r="AN177" i="3"/>
  <c r="J99" i="1"/>
  <c r="AO151" i="4"/>
  <c r="AN205" i="4"/>
  <c r="AN517" i="3"/>
  <c r="AN524" i="3" s="1"/>
  <c r="AN540" i="3" s="1"/>
  <c r="J159" i="1" s="1"/>
  <c r="T192" i="4"/>
  <c r="AN143" i="3"/>
  <c r="AN151" i="3"/>
  <c r="AN156" i="3"/>
  <c r="AN158" i="3" s="1"/>
  <c r="AN519" i="3" l="1"/>
  <c r="AN526" i="3" s="1"/>
  <c r="AN542" i="3" s="1"/>
  <c r="J161" i="1" s="1"/>
  <c r="AN217" i="3"/>
  <c r="AN88" i="3"/>
  <c r="J76" i="1"/>
  <c r="AN111" i="3"/>
  <c r="AN123" i="3" s="1"/>
  <c r="AO129" i="3" s="1"/>
  <c r="AN270" i="4"/>
  <c r="T115" i="4"/>
  <c r="T247" i="4"/>
  <c r="T205" i="3" s="1"/>
  <c r="T517" i="3"/>
  <c r="T510" i="3"/>
  <c r="AN192" i="3"/>
  <c r="J106" i="1"/>
  <c r="AN483" i="3"/>
  <c r="U149" i="4"/>
  <c r="U184" i="4" s="1"/>
  <c r="U87" i="3"/>
  <c r="U479" i="3"/>
  <c r="U195" i="3" s="1"/>
  <c r="AN207" i="4"/>
  <c r="AN208" i="4"/>
  <c r="AN212" i="4"/>
  <c r="AN209" i="4"/>
  <c r="AN213" i="4"/>
  <c r="AN210" i="4"/>
  <c r="AN206" i="4"/>
  <c r="AN211" i="4"/>
  <c r="AN99" i="3"/>
  <c r="AN100" i="3" s="1"/>
  <c r="AN56" i="3"/>
  <c r="AN165" i="3" s="1"/>
  <c r="AN227" i="4"/>
  <c r="AN156" i="4"/>
  <c r="AN194" i="4" s="1"/>
  <c r="AN152" i="3" a="1"/>
  <c r="AN152" i="3" s="1"/>
  <c r="AN153" i="3" s="1"/>
  <c r="AO150" i="3" s="1"/>
  <c r="AN484" i="3" l="1"/>
  <c r="AN198" i="3"/>
  <c r="AN363" i="3"/>
  <c r="AN362" i="3" s="1"/>
  <c r="AN216" i="3"/>
  <c r="V79" i="3"/>
  <c r="U105" i="3"/>
  <c r="U208" i="3" s="1"/>
  <c r="U88" i="3"/>
  <c r="U102" i="3" s="1"/>
  <c r="AN170" i="3"/>
  <c r="J100" i="1" s="1"/>
  <c r="AN174" i="3"/>
  <c r="J98" i="1"/>
  <c r="T524" i="3"/>
  <c r="AN228" i="4"/>
  <c r="AN230" i="4"/>
  <c r="AN231" i="4"/>
  <c r="AN232" i="4"/>
  <c r="AN233" i="4"/>
  <c r="AN234" i="4"/>
  <c r="AN235" i="4"/>
  <c r="AN229" i="4"/>
  <c r="AN202" i="4"/>
  <c r="AN195" i="4"/>
  <c r="AN196" i="4"/>
  <c r="AN197" i="4"/>
  <c r="AN198" i="4"/>
  <c r="AN199" i="4"/>
  <c r="AN200" i="4"/>
  <c r="AN201" i="4"/>
  <c r="AN533" i="3"/>
  <c r="U188" i="3"/>
  <c r="U186" i="4"/>
  <c r="U190" i="4"/>
  <c r="U187" i="4"/>
  <c r="U191" i="4"/>
  <c r="U188" i="4"/>
  <c r="U185" i="4"/>
  <c r="U189" i="4"/>
  <c r="U532" i="3"/>
  <c r="U535" i="3" s="1"/>
  <c r="T204" i="3"/>
  <c r="T222" i="3" s="1"/>
  <c r="T231" i="3" s="1"/>
  <c r="AN57" i="3"/>
  <c r="AN214" i="4"/>
  <c r="U206" i="3" l="1"/>
  <c r="P358" i="3" s="1"/>
  <c r="U207" i="3"/>
  <c r="P359" i="3" s="1"/>
  <c r="P360" i="3"/>
  <c r="U192" i="4"/>
  <c r="T527" i="3"/>
  <c r="T543" i="3" s="1"/>
  <c r="T540" i="3"/>
  <c r="AN162" i="4"/>
  <c r="AN105" i="3"/>
  <c r="AN109" i="3"/>
  <c r="AN209" i="3"/>
  <c r="AO50" i="3"/>
  <c r="J74" i="1"/>
  <c r="AN58" i="3"/>
  <c r="AN102" i="3" s="1"/>
  <c r="AN391" i="3"/>
  <c r="AN420" i="3" s="1"/>
  <c r="J360" i="3"/>
  <c r="AI360" i="3" s="1"/>
  <c r="AN189" i="3"/>
  <c r="J105" i="1"/>
  <c r="J107" i="1" s="1"/>
  <c r="V104" i="3"/>
  <c r="V84" i="3"/>
  <c r="T234" i="3"/>
  <c r="T246" i="3"/>
  <c r="AN203" i="4"/>
  <c r="AN236" i="4"/>
  <c r="P356" i="3" l="1"/>
  <c r="P308" i="3" s="1"/>
  <c r="P312" i="3" s="1"/>
  <c r="P337" i="3" s="1"/>
  <c r="P344" i="3" s="1"/>
  <c r="AN518" i="3"/>
  <c r="AN525" i="3" s="1"/>
  <c r="AN541" i="3" s="1"/>
  <c r="J160" i="1" s="1"/>
  <c r="AO53" i="3"/>
  <c r="AO54" i="3"/>
  <c r="AO104" i="3"/>
  <c r="AO70" i="3"/>
  <c r="AO92" i="3"/>
  <c r="AO62" i="3" s="1"/>
  <c r="AO66" i="3" s="1"/>
  <c r="AN367" i="3"/>
  <c r="J358" i="3"/>
  <c r="AI358" i="3" s="1"/>
  <c r="AN179" i="4"/>
  <c r="AN106" i="3"/>
  <c r="J87" i="1"/>
  <c r="AN488" i="3"/>
  <c r="U115" i="4"/>
  <c r="U247" i="4"/>
  <c r="U205" i="3" s="1"/>
  <c r="U517" i="3"/>
  <c r="U510" i="3"/>
  <c r="J366" i="3"/>
  <c r="AN121" i="3"/>
  <c r="AN108" i="3"/>
  <c r="V149" i="4"/>
  <c r="V184" i="4" s="1"/>
  <c r="V87" i="3"/>
  <c r="V479" i="3"/>
  <c r="V195" i="3" s="1"/>
  <c r="J359" i="3"/>
  <c r="AI359" i="3" s="1"/>
  <c r="AN206" i="3"/>
  <c r="AN208" i="3"/>
  <c r="AN207" i="3"/>
  <c r="AN216" i="4"/>
  <c r="AO161" i="4"/>
  <c r="U524" i="3" l="1"/>
  <c r="U540" i="3" s="1"/>
  <c r="K80" i="1"/>
  <c r="AO73" i="3"/>
  <c r="AO178" i="4"/>
  <c r="K86" i="1"/>
  <c r="U204" i="3"/>
  <c r="U222" i="3" s="1"/>
  <c r="U231" i="3" s="1"/>
  <c r="J357" i="3"/>
  <c r="AN220" i="4"/>
  <c r="AN224" i="4"/>
  <c r="AN217" i="4"/>
  <c r="AN221" i="4"/>
  <c r="AN218" i="4"/>
  <c r="AN222" i="4"/>
  <c r="AN219" i="4"/>
  <c r="AN223" i="4"/>
  <c r="AN530" i="3"/>
  <c r="AN535" i="3" s="1"/>
  <c r="AN120" i="3"/>
  <c r="AN229" i="3" s="1"/>
  <c r="AO127" i="3"/>
  <c r="AN359" i="3"/>
  <c r="V188" i="3"/>
  <c r="AO166" i="3"/>
  <c r="K81" i="1"/>
  <c r="AN360" i="3"/>
  <c r="W79" i="3"/>
  <c r="V105" i="3"/>
  <c r="V208" i="3" s="1"/>
  <c r="V88" i="3"/>
  <c r="V102" i="3" s="1"/>
  <c r="AN358" i="3"/>
  <c r="V185" i="4"/>
  <c r="V189" i="4"/>
  <c r="V186" i="4"/>
  <c r="V190" i="4"/>
  <c r="V187" i="4"/>
  <c r="V191" i="4"/>
  <c r="V188" i="4"/>
  <c r="V532" i="3"/>
  <c r="V535" i="3" s="1"/>
  <c r="AO169" i="4"/>
  <c r="AO238" i="4" s="1"/>
  <c r="AP60" i="3"/>
  <c r="AO110" i="3"/>
  <c r="AO122" i="3" s="1"/>
  <c r="AP128" i="3" s="1"/>
  <c r="K75" i="1"/>
  <c r="AO67" i="3"/>
  <c r="V206" i="3" l="1"/>
  <c r="V207" i="3"/>
  <c r="U527" i="3"/>
  <c r="U543" i="3" s="1"/>
  <c r="AN225" i="4"/>
  <c r="AO149" i="4"/>
  <c r="AO74" i="3"/>
  <c r="AO80" i="3" s="1"/>
  <c r="AO75" i="3"/>
  <c r="AO91" i="3" s="1"/>
  <c r="K89" i="1"/>
  <c r="AP168" i="4"/>
  <c r="AP63" i="3"/>
  <c r="AP167" i="3" s="1"/>
  <c r="AP64" i="3"/>
  <c r="V192" i="4"/>
  <c r="AO175" i="3"/>
  <c r="K96" i="1"/>
  <c r="AI357" i="3"/>
  <c r="AI356" i="3" s="1"/>
  <c r="J356" i="3"/>
  <c r="J308" i="3" s="1"/>
  <c r="J374" i="3"/>
  <c r="AO239" i="4"/>
  <c r="AO240" i="4"/>
  <c r="AO241" i="4"/>
  <c r="AO242" i="4"/>
  <c r="AO243" i="4"/>
  <c r="AO244" i="4"/>
  <c r="AO531" i="3"/>
  <c r="U234" i="3"/>
  <c r="U246" i="3"/>
  <c r="W84" i="3"/>
  <c r="W104" i="3"/>
  <c r="AO258" i="3"/>
  <c r="AN131" i="3"/>
  <c r="AN260" i="3" l="1"/>
  <c r="AO76" i="3"/>
  <c r="AO77" i="3" s="1"/>
  <c r="J255" i="3"/>
  <c r="J379" i="3"/>
  <c r="J324" i="3" s="1"/>
  <c r="J323" i="3" s="1"/>
  <c r="K374" i="3"/>
  <c r="K379" i="3" s="1"/>
  <c r="K324" i="3" s="1"/>
  <c r="K323" i="3" s="1"/>
  <c r="AP176" i="3"/>
  <c r="L97" i="1"/>
  <c r="AN515" i="3"/>
  <c r="AN522" i="3" s="1"/>
  <c r="AN247" i="4"/>
  <c r="W149" i="4"/>
  <c r="W184" i="4" s="1"/>
  <c r="W87" i="3"/>
  <c r="W479" i="3"/>
  <c r="W195" i="3" s="1"/>
  <c r="AI308" i="3"/>
  <c r="J312" i="3"/>
  <c r="AO93" i="3"/>
  <c r="K84" i="1" s="1"/>
  <c r="AN322" i="3"/>
  <c r="AO82" i="3"/>
  <c r="AO84" i="3" s="1"/>
  <c r="V115" i="4"/>
  <c r="V247" i="4"/>
  <c r="V205" i="3" s="1"/>
  <c r="V517" i="3"/>
  <c r="V510" i="3"/>
  <c r="AO171" i="4"/>
  <c r="AO184" i="4"/>
  <c r="AO190" i="3"/>
  <c r="K103" i="1"/>
  <c r="AN126" i="3"/>
  <c r="AN429" i="3" s="1"/>
  <c r="AO245" i="4"/>
  <c r="AP69" i="3" l="1"/>
  <c r="I282" i="1"/>
  <c r="I270" i="1"/>
  <c r="AN250" i="3"/>
  <c r="J128" i="1"/>
  <c r="J136" i="1" s="1"/>
  <c r="AN527" i="3"/>
  <c r="AN543" i="3" s="1"/>
  <c r="AN538" i="3"/>
  <c r="J157" i="1" s="1"/>
  <c r="AO152" i="4"/>
  <c r="AO153" i="4" s="1"/>
  <c r="AO85" i="3"/>
  <c r="AO52" i="3" s="1"/>
  <c r="V524" i="3"/>
  <c r="K83" i="1"/>
  <c r="K90" i="1" s="1"/>
  <c r="K82" i="1"/>
  <c r="AO516" i="3"/>
  <c r="AO523" i="3" s="1"/>
  <c r="AO539" i="3" s="1"/>
  <c r="K158" i="1" s="1"/>
  <c r="AP191" i="3"/>
  <c r="L104" i="1"/>
  <c r="W188" i="3"/>
  <c r="AO185" i="4"/>
  <c r="AO189" i="4"/>
  <c r="AO186" i="4"/>
  <c r="AO190" i="4"/>
  <c r="AO187" i="4"/>
  <c r="AO191" i="4"/>
  <c r="AO188" i="4"/>
  <c r="AO532" i="3"/>
  <c r="V204" i="3"/>
  <c r="V222" i="3" s="1"/>
  <c r="V231" i="3" s="1"/>
  <c r="J314" i="3"/>
  <c r="J337" i="3"/>
  <c r="J344" i="3" s="1"/>
  <c r="W105" i="3"/>
  <c r="W208" i="3" s="1"/>
  <c r="X79" i="3"/>
  <c r="W88" i="3"/>
  <c r="W102" i="3" s="1"/>
  <c r="L374" i="3"/>
  <c r="L379" i="3" s="1"/>
  <c r="L324" i="3" s="1"/>
  <c r="L323" i="3" s="1"/>
  <c r="AO94" i="3"/>
  <c r="E46" i="1"/>
  <c r="AI307" i="3"/>
  <c r="AI312" i="3"/>
  <c r="W185" i="4"/>
  <c r="W189" i="4"/>
  <c r="W186" i="4"/>
  <c r="W190" i="4"/>
  <c r="W187" i="4"/>
  <c r="W191" i="4"/>
  <c r="W188" i="4"/>
  <c r="W532" i="3"/>
  <c r="W535" i="3" s="1"/>
  <c r="AO165" i="4"/>
  <c r="AO176" i="4" s="1"/>
  <c r="AO252" i="4" s="1"/>
  <c r="AN246" i="4"/>
  <c r="AN248" i="4"/>
  <c r="AN205" i="3"/>
  <c r="W207" i="3" l="1"/>
  <c r="W206" i="3"/>
  <c r="W192" i="4"/>
  <c r="AI314" i="3"/>
  <c r="AK313" i="3" a="1"/>
  <c r="AK313" i="3" s="1"/>
  <c r="AI338" i="3"/>
  <c r="AI337" i="3" s="1"/>
  <c r="V527" i="3"/>
  <c r="V543" i="3" s="1"/>
  <c r="V540" i="3"/>
  <c r="X84" i="3"/>
  <c r="X104" i="3"/>
  <c r="J266" i="3"/>
  <c r="J268" i="3" s="1"/>
  <c r="J305" i="3"/>
  <c r="K311" i="3"/>
  <c r="K314" i="3" s="1"/>
  <c r="J316" i="3"/>
  <c r="E50" i="1"/>
  <c r="E49" i="1"/>
  <c r="E29" i="1"/>
  <c r="V246" i="3"/>
  <c r="V234" i="3"/>
  <c r="AN490" i="3"/>
  <c r="AN497" i="3"/>
  <c r="AO159" i="4"/>
  <c r="AO55" i="3"/>
  <c r="AN544" i="3"/>
  <c r="J162" i="1"/>
  <c r="J163" i="1" s="1"/>
  <c r="M374" i="3"/>
  <c r="M379" i="3" s="1"/>
  <c r="M324" i="3" s="1"/>
  <c r="M323" i="3" s="1"/>
  <c r="AO192" i="4"/>
  <c r="AO87" i="3"/>
  <c r="AO254" i="4"/>
  <c r="AO255" i="4"/>
  <c r="AO256" i="4"/>
  <c r="AO253" i="4"/>
  <c r="AO534" i="3"/>
  <c r="AO95" i="3"/>
  <c r="AO96" i="3" s="1"/>
  <c r="K91" i="1"/>
  <c r="K92" i="1"/>
  <c r="AP151" i="4"/>
  <c r="AO205" i="4"/>
  <c r="AO257" i="4" l="1"/>
  <c r="AO266" i="4" s="1"/>
  <c r="AO268" i="4" s="1"/>
  <c r="AO211" i="4"/>
  <c r="AO207" i="4"/>
  <c r="AO208" i="4"/>
  <c r="AO212" i="4"/>
  <c r="AO209" i="4"/>
  <c r="AO213" i="4"/>
  <c r="AO210" i="4"/>
  <c r="AO206" i="4"/>
  <c r="X149" i="4"/>
  <c r="X184" i="4" s="1"/>
  <c r="X87" i="3"/>
  <c r="X479" i="3"/>
  <c r="X195" i="3" s="1"/>
  <c r="W115" i="4"/>
  <c r="W247" i="4"/>
  <c r="W205" i="3" s="1"/>
  <c r="W510" i="3"/>
  <c r="W517" i="3"/>
  <c r="K305" i="3"/>
  <c r="K235" i="3" s="1"/>
  <c r="L311" i="3"/>
  <c r="L314" i="3" s="1"/>
  <c r="K316" i="3"/>
  <c r="AO99" i="3"/>
  <c r="AO100" i="3" s="1"/>
  <c r="AO56" i="3"/>
  <c r="AO165" i="3" s="1"/>
  <c r="AO156" i="4"/>
  <c r="AO194" i="4" s="1"/>
  <c r="AO227" i="4"/>
  <c r="J235" i="3"/>
  <c r="AO517" i="3"/>
  <c r="AO524" i="3" s="1"/>
  <c r="AO540" i="3" s="1"/>
  <c r="K159" i="1" s="1"/>
  <c r="N374" i="3"/>
  <c r="N379" i="3" s="1"/>
  <c r="N324" i="3" s="1"/>
  <c r="N323" i="3" s="1"/>
  <c r="AO166" i="4"/>
  <c r="AO112" i="3"/>
  <c r="AO124" i="3" s="1"/>
  <c r="AP130" i="3" s="1"/>
  <c r="AP90" i="3"/>
  <c r="K77" i="1"/>
  <c r="AO97" i="3"/>
  <c r="AP79" i="3"/>
  <c r="AO111" i="3"/>
  <c r="AO123" i="3" s="1"/>
  <c r="AP129" i="3" s="1"/>
  <c r="K76" i="1"/>
  <c r="AO88" i="3"/>
  <c r="AK339" i="3"/>
  <c r="AO168" i="3"/>
  <c r="AO142" i="3"/>
  <c r="AI266" i="3"/>
  <c r="AJ311" i="3"/>
  <c r="AI398" i="3"/>
  <c r="AI316" i="3"/>
  <c r="AO519" i="3" l="1"/>
  <c r="AO526" i="3" s="1"/>
  <c r="AO542" i="3" s="1"/>
  <c r="K161" i="1" s="1"/>
  <c r="AO217" i="3"/>
  <c r="AO57" i="3"/>
  <c r="AO391" i="3" s="1"/>
  <c r="W524" i="3"/>
  <c r="W527" i="3" s="1"/>
  <c r="W543" i="3" s="1"/>
  <c r="AO201" i="4"/>
  <c r="AO202" i="4"/>
  <c r="AO195" i="4"/>
  <c r="AO196" i="4"/>
  <c r="AO197" i="4"/>
  <c r="AO198" i="4"/>
  <c r="AO199" i="4"/>
  <c r="AO200" i="4"/>
  <c r="AO533" i="3"/>
  <c r="K236" i="3"/>
  <c r="K240" i="3" s="1"/>
  <c r="K320" i="3" s="1"/>
  <c r="K327" i="3" s="1"/>
  <c r="K347" i="3" s="1"/>
  <c r="O374" i="3"/>
  <c r="O379" i="3" s="1"/>
  <c r="O324" i="3" s="1"/>
  <c r="O323" i="3" s="1"/>
  <c r="AI374" i="3"/>
  <c r="AO214" i="4"/>
  <c r="AO170" i="3"/>
  <c r="K100" i="1" s="1"/>
  <c r="AO174" i="3"/>
  <c r="K98" i="1"/>
  <c r="AO270" i="4"/>
  <c r="J236" i="3"/>
  <c r="J240" i="3" s="1"/>
  <c r="AP164" i="4"/>
  <c r="AO172" i="4"/>
  <c r="AO229" i="4"/>
  <c r="AO228" i="4"/>
  <c r="AO230" i="4"/>
  <c r="AO231" i="4"/>
  <c r="AO232" i="4"/>
  <c r="AO233" i="4"/>
  <c r="AO234" i="4"/>
  <c r="AO235" i="4"/>
  <c r="L316" i="3"/>
  <c r="L305" i="3"/>
  <c r="L235" i="3" s="1"/>
  <c r="M311" i="3"/>
  <c r="M314" i="3" s="1"/>
  <c r="AI268" i="3"/>
  <c r="E130" i="1"/>
  <c r="AI433" i="3"/>
  <c r="X188" i="3"/>
  <c r="AO143" i="3"/>
  <c r="AO151" i="3"/>
  <c r="AO156" i="3"/>
  <c r="AO158" i="3" s="1"/>
  <c r="W204" i="3"/>
  <c r="W222" i="3" s="1"/>
  <c r="W231" i="3" s="1"/>
  <c r="X105" i="3"/>
  <c r="X208" i="3" s="1"/>
  <c r="Y79" i="3"/>
  <c r="X88" i="3"/>
  <c r="X102" i="3" s="1"/>
  <c r="AO177" i="3"/>
  <c r="K99" i="1"/>
  <c r="X188" i="4"/>
  <c r="X185" i="4"/>
  <c r="X189" i="4"/>
  <c r="X186" i="4"/>
  <c r="X190" i="4"/>
  <c r="X187" i="4"/>
  <c r="X191" i="4"/>
  <c r="X532" i="3"/>
  <c r="X535" i="3" s="1"/>
  <c r="X206" i="3" l="1"/>
  <c r="X207" i="3"/>
  <c r="AO363" i="3"/>
  <c r="AO362" i="3" s="1"/>
  <c r="AO216" i="3"/>
  <c r="W540" i="3"/>
  <c r="AO420" i="3"/>
  <c r="K74" i="1"/>
  <c r="AP50" i="3"/>
  <c r="AP70" i="3" s="1"/>
  <c r="AO209" i="3"/>
  <c r="AO109" i="3"/>
  <c r="AO108" i="3" s="1"/>
  <c r="AO105" i="3"/>
  <c r="AO179" i="4" s="1"/>
  <c r="AO162" i="4"/>
  <c r="AO216" i="4" s="1"/>
  <c r="AO58" i="3"/>
  <c r="AO102" i="3" s="1"/>
  <c r="AO206" i="3" s="1"/>
  <c r="AO192" i="3"/>
  <c r="K106" i="1"/>
  <c r="AO483" i="3"/>
  <c r="Y84" i="3"/>
  <c r="Y104" i="3"/>
  <c r="AO152" i="3" a="1"/>
  <c r="AO152" i="3" s="1"/>
  <c r="AO153" i="3" s="1"/>
  <c r="AP150" i="3" s="1"/>
  <c r="AO236" i="4"/>
  <c r="AO203" i="4"/>
  <c r="AI255" i="3"/>
  <c r="AI379" i="3"/>
  <c r="AI324" i="3" s="1"/>
  <c r="AI323" i="3" s="1"/>
  <c r="AI385" i="3" s="1"/>
  <c r="W246" i="3"/>
  <c r="W234" i="3"/>
  <c r="P374" i="3"/>
  <c r="P379" i="3" s="1"/>
  <c r="P324" i="3" s="1"/>
  <c r="P323" i="3" s="1"/>
  <c r="E129" i="1"/>
  <c r="N311" i="3"/>
  <c r="N314" i="3" s="1"/>
  <c r="M316" i="3"/>
  <c r="M305" i="3"/>
  <c r="M235" i="3" s="1"/>
  <c r="J273" i="3"/>
  <c r="J274" i="3" s="1"/>
  <c r="J320" i="3"/>
  <c r="J327" i="3" s="1"/>
  <c r="J347" i="3" s="1"/>
  <c r="J348" i="3" s="1"/>
  <c r="L236" i="3"/>
  <c r="L240" i="3" s="1"/>
  <c r="L320" i="3" s="1"/>
  <c r="L327" i="3" s="1"/>
  <c r="L347" i="3" s="1"/>
  <c r="X192" i="4"/>
  <c r="AO189" i="3"/>
  <c r="K105" i="1"/>
  <c r="AO484" i="3" l="1"/>
  <c r="AO198" i="3"/>
  <c r="K107" i="1"/>
  <c r="K87" i="1"/>
  <c r="AP104" i="3"/>
  <c r="L86" i="1" s="1"/>
  <c r="AP54" i="3"/>
  <c r="AP53" i="3"/>
  <c r="AP166" i="3" s="1"/>
  <c r="AP92" i="3"/>
  <c r="AP62" i="3" s="1"/>
  <c r="AP66" i="3" s="1"/>
  <c r="L75" i="1" s="1"/>
  <c r="AO488" i="3"/>
  <c r="AO106" i="3"/>
  <c r="AO121" i="3"/>
  <c r="AO120" i="3" s="1"/>
  <c r="AO229" i="3" s="1"/>
  <c r="AO208" i="3"/>
  <c r="AO360" i="3" s="1"/>
  <c r="AO207" i="3"/>
  <c r="AO367" i="3"/>
  <c r="AP161" i="4"/>
  <c r="J275" i="3"/>
  <c r="M236" i="3"/>
  <c r="M240" i="3" s="1"/>
  <c r="M320" i="3" s="1"/>
  <c r="M327" i="3" s="1"/>
  <c r="M347" i="3" s="1"/>
  <c r="AI386" i="3"/>
  <c r="AI388" i="3"/>
  <c r="AO220" i="4"/>
  <c r="AO224" i="4"/>
  <c r="AO217" i="4"/>
  <c r="AO221" i="4"/>
  <c r="AO218" i="4"/>
  <c r="AO222" i="4"/>
  <c r="AO219" i="4"/>
  <c r="AO223" i="4"/>
  <c r="AO530" i="3"/>
  <c r="AO535" i="3" s="1"/>
  <c r="Q374" i="3"/>
  <c r="Q379" i="3" s="1"/>
  <c r="Q324" i="3" s="1"/>
  <c r="Q323" i="3" s="1"/>
  <c r="X115" i="4"/>
  <c r="X247" i="4"/>
  <c r="X205" i="3" s="1"/>
  <c r="X510" i="3"/>
  <c r="X517" i="3"/>
  <c r="Y149" i="4"/>
  <c r="Y184" i="4" s="1"/>
  <c r="Y87" i="3"/>
  <c r="Y479" i="3"/>
  <c r="Y195" i="3" s="1"/>
  <c r="O311" i="3"/>
  <c r="O314" i="3" s="1"/>
  <c r="N316" i="3"/>
  <c r="N305" i="3"/>
  <c r="N235" i="3" s="1"/>
  <c r="AO518" i="3"/>
  <c r="AO525" i="3" s="1"/>
  <c r="AO541" i="3" s="1"/>
  <c r="K160" i="1" s="1"/>
  <c r="AO358" i="3"/>
  <c r="L80" i="1"/>
  <c r="AP73" i="3"/>
  <c r="J253" i="3"/>
  <c r="J261" i="3" s="1"/>
  <c r="K346" i="3"/>
  <c r="K348" i="3" s="1"/>
  <c r="L346" i="3" s="1"/>
  <c r="L348" i="3" s="1"/>
  <c r="M346" i="3" s="1"/>
  <c r="AP178" i="4" l="1"/>
  <c r="L81" i="1"/>
  <c r="AP169" i="4"/>
  <c r="AP238" i="4" s="1"/>
  <c r="AP239" i="4" s="1"/>
  <c r="AP110" i="3"/>
  <c r="AP122" i="3" s="1"/>
  <c r="AQ128" i="3" s="1"/>
  <c r="AP67" i="3"/>
  <c r="AQ60" i="3"/>
  <c r="AQ64" i="3" s="1"/>
  <c r="AP127" i="3"/>
  <c r="AP258" i="3" s="1"/>
  <c r="AO359" i="3"/>
  <c r="J277" i="3"/>
  <c r="AI305" i="3"/>
  <c r="M348" i="3"/>
  <c r="N346" i="3" s="1"/>
  <c r="X524" i="3"/>
  <c r="X540" i="3" s="1"/>
  <c r="Z79" i="3"/>
  <c r="Y105" i="3"/>
  <c r="Y208" i="3" s="1"/>
  <c r="Y88" i="3"/>
  <c r="Y102" i="3" s="1"/>
  <c r="N236" i="3"/>
  <c r="N240" i="3" s="1"/>
  <c r="N320" i="3" s="1"/>
  <c r="N327" i="3" s="1"/>
  <c r="N347" i="3" s="1"/>
  <c r="Y188" i="4"/>
  <c r="Y185" i="4"/>
  <c r="Y189" i="4"/>
  <c r="Y186" i="4"/>
  <c r="Y190" i="4"/>
  <c r="Y187" i="4"/>
  <c r="Y191" i="4"/>
  <c r="Y532" i="3"/>
  <c r="Y535" i="3" s="1"/>
  <c r="X204" i="3"/>
  <c r="X222" i="3" s="1"/>
  <c r="X231" i="3" s="1"/>
  <c r="AO225" i="4"/>
  <c r="J260" i="3"/>
  <c r="O305" i="3"/>
  <c r="P311" i="3"/>
  <c r="P314" i="3" s="1"/>
  <c r="O316" i="3"/>
  <c r="AP175" i="3"/>
  <c r="L96" i="1"/>
  <c r="L89" i="1"/>
  <c r="R374" i="3"/>
  <c r="AP149" i="4"/>
  <c r="AP74" i="3"/>
  <c r="AP80" i="3" s="1"/>
  <c r="AP75" i="3"/>
  <c r="AP91" i="3" s="1"/>
  <c r="AO131" i="3"/>
  <c r="Y188" i="3"/>
  <c r="AJ195" i="3"/>
  <c r="AJ188" i="3" s="1"/>
  <c r="AI389" i="3"/>
  <c r="Y206" i="3" l="1"/>
  <c r="Y207" i="3"/>
  <c r="AO260" i="3"/>
  <c r="AP241" i="4"/>
  <c r="AP531" i="3"/>
  <c r="AQ168" i="4"/>
  <c r="AP240" i="4"/>
  <c r="AP244" i="4"/>
  <c r="AQ63" i="3"/>
  <c r="AQ167" i="3" s="1"/>
  <c r="AQ176" i="3" s="1"/>
  <c r="AP243" i="4"/>
  <c r="AP242" i="4"/>
  <c r="X527" i="3"/>
  <c r="X543" i="3" s="1"/>
  <c r="N348" i="3"/>
  <c r="O346" i="3" s="1"/>
  <c r="AI235" i="3"/>
  <c r="P305" i="3"/>
  <c r="P235" i="3" s="1"/>
  <c r="Q311" i="3"/>
  <c r="Q314" i="3" s="1"/>
  <c r="P316" i="3"/>
  <c r="O235" i="3"/>
  <c r="AP93" i="3"/>
  <c r="L84" i="1" s="1"/>
  <c r="AP82" i="3"/>
  <c r="AP84" i="3" s="1"/>
  <c r="AP184" i="4"/>
  <c r="AP171" i="4"/>
  <c r="AO515" i="3"/>
  <c r="AO522" i="3" s="1"/>
  <c r="AO247" i="4"/>
  <c r="S374" i="3"/>
  <c r="S379" i="3" s="1"/>
  <c r="S324" i="3" s="1"/>
  <c r="S323" i="3" s="1"/>
  <c r="AO322" i="3"/>
  <c r="AP190" i="3"/>
  <c r="L103" i="1"/>
  <c r="AO126" i="3"/>
  <c r="AO429" i="3" s="1"/>
  <c r="X234" i="3"/>
  <c r="X246" i="3"/>
  <c r="Z104" i="3"/>
  <c r="Z84" i="3"/>
  <c r="F113" i="1"/>
  <c r="AP76" i="3"/>
  <c r="R379" i="3"/>
  <c r="R324" i="3" s="1"/>
  <c r="R323" i="3" s="1"/>
  <c r="Y192" i="4"/>
  <c r="M97" i="1" l="1"/>
  <c r="AP245" i="4"/>
  <c r="AI236" i="3"/>
  <c r="AI238" i="3" s="1"/>
  <c r="AP94" i="3"/>
  <c r="AP95" i="3" s="1"/>
  <c r="AP96" i="3" s="1"/>
  <c r="AP152" i="4"/>
  <c r="AP153" i="4" s="1"/>
  <c r="AP85" i="3"/>
  <c r="AP52" i="3" s="1"/>
  <c r="AP188" i="4"/>
  <c r="AP185" i="4"/>
  <c r="AP189" i="4"/>
  <c r="AP186" i="4"/>
  <c r="AP190" i="4"/>
  <c r="AP187" i="4"/>
  <c r="AP191" i="4"/>
  <c r="AP532" i="3"/>
  <c r="AP77" i="3"/>
  <c r="AQ69" i="3"/>
  <c r="J282" i="1"/>
  <c r="J270" i="1"/>
  <c r="AQ191" i="3"/>
  <c r="M104" i="1"/>
  <c r="Y115" i="4"/>
  <c r="Y247" i="4"/>
  <c r="Y205" i="3" s="1"/>
  <c r="Y510" i="3"/>
  <c r="Y517" i="3"/>
  <c r="Z149" i="4"/>
  <c r="Z87" i="3"/>
  <c r="AO250" i="3"/>
  <c r="K128" i="1"/>
  <c r="K136" i="1" s="1"/>
  <c r="AO246" i="4"/>
  <c r="AO248" i="4"/>
  <c r="AO205" i="3"/>
  <c r="Q305" i="3"/>
  <c r="R311" i="3"/>
  <c r="R314" i="3" s="1"/>
  <c r="Q316" i="3"/>
  <c r="T374" i="3"/>
  <c r="T379" i="3" s="1"/>
  <c r="T324" i="3" s="1"/>
  <c r="T323" i="3" s="1"/>
  <c r="AO527" i="3"/>
  <c r="AO543" i="3" s="1"/>
  <c r="AO538" i="3"/>
  <c r="K157" i="1" s="1"/>
  <c r="P236" i="3"/>
  <c r="P240" i="3" s="1"/>
  <c r="P320" i="3" s="1"/>
  <c r="P327" i="3" s="1"/>
  <c r="P347" i="3" s="1"/>
  <c r="L83" i="1"/>
  <c r="L90" i="1" s="1"/>
  <c r="L82" i="1"/>
  <c r="AP165" i="4"/>
  <c r="AP176" i="4" s="1"/>
  <c r="AP252" i="4" s="1"/>
  <c r="O236" i="3"/>
  <c r="AI240" i="3" l="1"/>
  <c r="AI320" i="3" s="1"/>
  <c r="AI281" i="3"/>
  <c r="AI302" i="3" s="1"/>
  <c r="AP516" i="3"/>
  <c r="AP523" i="3" s="1"/>
  <c r="AP539" i="3" s="1"/>
  <c r="L158" i="1" s="1"/>
  <c r="AP87" i="3"/>
  <c r="AQ79" i="3" s="1"/>
  <c r="Y524" i="3"/>
  <c r="Y540" i="3" s="1"/>
  <c r="AP192" i="4"/>
  <c r="O238" i="3"/>
  <c r="O246" i="3" s="1"/>
  <c r="AI246" i="3"/>
  <c r="AQ151" i="4"/>
  <c r="AP205" i="4"/>
  <c r="AO490" i="3"/>
  <c r="AO497" i="3"/>
  <c r="R305" i="3"/>
  <c r="R235" i="3" s="1"/>
  <c r="S311" i="3"/>
  <c r="S314" i="3" s="1"/>
  <c r="R316" i="3"/>
  <c r="U374" i="3"/>
  <c r="U379" i="3" s="1"/>
  <c r="U324" i="3" s="1"/>
  <c r="U323" i="3" s="1"/>
  <c r="Q235" i="3"/>
  <c r="Y204" i="3"/>
  <c r="Y222" i="3" s="1"/>
  <c r="Y231" i="3" s="1"/>
  <c r="AO544" i="3"/>
  <c r="K162" i="1"/>
  <c r="K163" i="1" s="1"/>
  <c r="AP166" i="4"/>
  <c r="AQ164" i="4" s="1"/>
  <c r="AP112" i="3"/>
  <c r="AP124" i="3" s="1"/>
  <c r="AQ130" i="3" s="1"/>
  <c r="AQ90" i="3"/>
  <c r="L77" i="1"/>
  <c r="AP97" i="3"/>
  <c r="AP253" i="4"/>
  <c r="AP254" i="4"/>
  <c r="AP255" i="4"/>
  <c r="AP256" i="4"/>
  <c r="AP534" i="3"/>
  <c r="AA79" i="3"/>
  <c r="Z105" i="3"/>
  <c r="Z208" i="3" s="1"/>
  <c r="Z88" i="3"/>
  <c r="Z102" i="3" s="1"/>
  <c r="AP168" i="3"/>
  <c r="AP142" i="3"/>
  <c r="L91" i="1"/>
  <c r="L92" i="1"/>
  <c r="Z184" i="4"/>
  <c r="AJ149" i="4"/>
  <c r="AP159" i="4"/>
  <c r="AP55" i="3"/>
  <c r="Z207" i="3" l="1"/>
  <c r="Z206" i="3"/>
  <c r="AI272" i="3"/>
  <c r="AJ273" i="3" s="1"/>
  <c r="AI241" i="3"/>
  <c r="E117" i="1"/>
  <c r="E124" i="1" s="1"/>
  <c r="Y527" i="3"/>
  <c r="Y543" i="3" s="1"/>
  <c r="AP88" i="3"/>
  <c r="L76" i="1"/>
  <c r="AP111" i="3"/>
  <c r="AP123" i="3" s="1"/>
  <c r="AQ129" i="3" s="1"/>
  <c r="AP517" i="3"/>
  <c r="AP524" i="3" s="1"/>
  <c r="AP540" i="3" s="1"/>
  <c r="L159" i="1" s="1"/>
  <c r="R236" i="3"/>
  <c r="R240" i="3" s="1"/>
  <c r="R320" i="3" s="1"/>
  <c r="R327" i="3" s="1"/>
  <c r="R347" i="3" s="1"/>
  <c r="AI327" i="3"/>
  <c r="AP143" i="3"/>
  <c r="AP151" i="3"/>
  <c r="AP156" i="3"/>
  <c r="AP158" i="3" s="1"/>
  <c r="AP177" i="3"/>
  <c r="L99" i="1"/>
  <c r="Q236" i="3"/>
  <c r="Q240" i="3" s="1"/>
  <c r="Q320" i="3" s="1"/>
  <c r="Q327" i="3" s="1"/>
  <c r="Q347" i="3" s="1"/>
  <c r="AP257" i="4"/>
  <c r="AP99" i="3"/>
  <c r="AP100" i="3" s="1"/>
  <c r="AP56" i="3"/>
  <c r="AP165" i="3" s="1"/>
  <c r="AA104" i="3"/>
  <c r="AA82" i="3"/>
  <c r="AA84" i="3" s="1"/>
  <c r="AP156" i="4"/>
  <c r="AP194" i="4" s="1"/>
  <c r="AP227" i="4"/>
  <c r="O240" i="3"/>
  <c r="O320" i="3" s="1"/>
  <c r="O327" i="3" s="1"/>
  <c r="O347" i="3" s="1"/>
  <c r="O348" i="3" s="1"/>
  <c r="P346" i="3" s="1"/>
  <c r="P348" i="3" s="1"/>
  <c r="Q346" i="3" s="1"/>
  <c r="AJ172" i="4"/>
  <c r="AJ184" i="4"/>
  <c r="AJ171" i="4"/>
  <c r="AP172" i="4"/>
  <c r="Z187" i="4"/>
  <c r="Z191" i="4"/>
  <c r="Z188" i="4"/>
  <c r="Z185" i="4"/>
  <c r="Z189" i="4"/>
  <c r="Z186" i="4"/>
  <c r="Z190" i="4"/>
  <c r="Z532" i="3"/>
  <c r="Z535" i="3" s="1"/>
  <c r="Y234" i="3"/>
  <c r="Y246" i="3"/>
  <c r="S305" i="3"/>
  <c r="S235" i="3" s="1"/>
  <c r="T311" i="3"/>
  <c r="T314" i="3" s="1"/>
  <c r="S316" i="3"/>
  <c r="AP206" i="4"/>
  <c r="AP211" i="4"/>
  <c r="AP207" i="4"/>
  <c r="AP208" i="4"/>
  <c r="AP212" i="4"/>
  <c r="AP209" i="4"/>
  <c r="AP213" i="4"/>
  <c r="AP210" i="4"/>
  <c r="AI274" i="3" l="1"/>
  <c r="E132" i="1" s="1"/>
  <c r="Q348" i="3"/>
  <c r="R346" i="3" s="1"/>
  <c r="R348" i="3" s="1"/>
  <c r="S346" i="3" s="1"/>
  <c r="AP57" i="3"/>
  <c r="AP109" i="3" s="1"/>
  <c r="AA149" i="4"/>
  <c r="AA184" i="4" s="1"/>
  <c r="AA87" i="3"/>
  <c r="AP214" i="4"/>
  <c r="AP174" i="3"/>
  <c r="AP170" i="3"/>
  <c r="L100" i="1" s="1"/>
  <c r="L98" i="1"/>
  <c r="T316" i="3"/>
  <c r="T305" i="3"/>
  <c r="T235" i="3" s="1"/>
  <c r="U311" i="3"/>
  <c r="U314" i="3" s="1"/>
  <c r="AP266" i="4"/>
  <c r="AP268" i="4" s="1"/>
  <c r="AP217" i="3"/>
  <c r="AP519" i="3"/>
  <c r="AP526" i="3" s="1"/>
  <c r="AP542" i="3" s="1"/>
  <c r="L161" i="1" s="1"/>
  <c r="AP192" i="3"/>
  <c r="L106" i="1"/>
  <c r="AP483" i="3"/>
  <c r="S236" i="3"/>
  <c r="S240" i="3" s="1"/>
  <c r="S320" i="3" s="1"/>
  <c r="S327" i="3" s="1"/>
  <c r="S347" i="3" s="1"/>
  <c r="Z192" i="4"/>
  <c r="AP152" i="3" a="1"/>
  <c r="AP152" i="3" s="1"/>
  <c r="AP153" i="3" s="1"/>
  <c r="AQ150" i="3" s="1"/>
  <c r="AP228" i="4"/>
  <c r="AP229" i="4"/>
  <c r="AP230" i="4"/>
  <c r="AP231" i="4"/>
  <c r="AP232" i="4"/>
  <c r="AP233" i="4"/>
  <c r="AP234" i="4"/>
  <c r="AP235" i="4"/>
  <c r="AJ532" i="3"/>
  <c r="AJ535" i="3" s="1"/>
  <c r="AP200" i="4"/>
  <c r="AP201" i="4"/>
  <c r="AP202" i="4"/>
  <c r="AP195" i="4"/>
  <c r="AP196" i="4"/>
  <c r="AP197" i="4"/>
  <c r="AP198" i="4"/>
  <c r="AP199" i="4"/>
  <c r="AP533" i="3"/>
  <c r="AI351" i="3"/>
  <c r="AI275" i="3" l="1"/>
  <c r="AP484" i="3"/>
  <c r="AP198" i="3"/>
  <c r="S348" i="3"/>
  <c r="T346" i="3" s="1"/>
  <c r="AP209" i="3"/>
  <c r="AP367" i="3" s="1"/>
  <c r="AP162" i="4"/>
  <c r="AQ161" i="4" s="1"/>
  <c r="AP391" i="3"/>
  <c r="AP420" i="3" s="1"/>
  <c r="AP58" i="3"/>
  <c r="AP102" i="3" s="1"/>
  <c r="AP208" i="3" s="1"/>
  <c r="L74" i="1"/>
  <c r="AQ50" i="3"/>
  <c r="AQ53" i="3" s="1"/>
  <c r="AP105" i="3"/>
  <c r="AP179" i="4" s="1"/>
  <c r="T236" i="3"/>
  <c r="T240" i="3" s="1"/>
  <c r="T320" i="3" s="1"/>
  <c r="T327" i="3" s="1"/>
  <c r="T347" i="3" s="1"/>
  <c r="AP203" i="4"/>
  <c r="AB79" i="3"/>
  <c r="AA105" i="3"/>
  <c r="AA208" i="3" s="1"/>
  <c r="AA88" i="3"/>
  <c r="AA102" i="3" s="1"/>
  <c r="V311" i="3"/>
  <c r="U316" i="3"/>
  <c r="U305" i="3"/>
  <c r="AP216" i="3"/>
  <c r="AP363" i="3"/>
  <c r="AP362" i="3" s="1"/>
  <c r="AA187" i="4"/>
  <c r="AA191" i="4"/>
  <c r="AA188" i="4"/>
  <c r="AA185" i="4"/>
  <c r="AA189" i="4"/>
  <c r="AA186" i="4"/>
  <c r="AA190" i="4"/>
  <c r="AA532" i="3"/>
  <c r="AA535" i="3" s="1"/>
  <c r="Z115" i="4"/>
  <c r="Z247" i="4"/>
  <c r="Z205" i="3" s="1"/>
  <c r="Z510" i="3"/>
  <c r="Z517" i="3"/>
  <c r="AP108" i="3"/>
  <c r="AP121" i="3"/>
  <c r="AP270" i="4"/>
  <c r="AP236" i="4"/>
  <c r="AP189" i="3"/>
  <c r="L105" i="1"/>
  <c r="L107" i="1" s="1"/>
  <c r="AA206" i="3" l="1"/>
  <c r="AA207" i="3"/>
  <c r="T348" i="3"/>
  <c r="U346" i="3" s="1"/>
  <c r="AP207" i="3"/>
  <c r="AP359" i="3" s="1"/>
  <c r="AP206" i="3"/>
  <c r="AP358" i="3" s="1"/>
  <c r="AP488" i="3"/>
  <c r="L87" i="1"/>
  <c r="AP106" i="3"/>
  <c r="AP216" i="4"/>
  <c r="AP224" i="4" s="1"/>
  <c r="AQ92" i="3"/>
  <c r="AQ62" i="3" s="1"/>
  <c r="AQ66" i="3" s="1"/>
  <c r="M75" i="1" s="1"/>
  <c r="AQ70" i="3"/>
  <c r="AQ73" i="3" s="1"/>
  <c r="AQ104" i="3"/>
  <c r="AQ178" i="4" s="1"/>
  <c r="AQ54" i="3"/>
  <c r="Z524" i="3"/>
  <c r="Z540" i="3" s="1"/>
  <c r="AP360" i="3"/>
  <c r="U235" i="3"/>
  <c r="AP518" i="3"/>
  <c r="AP525" i="3" s="1"/>
  <c r="AP541" i="3" s="1"/>
  <c r="L160" i="1" s="1"/>
  <c r="AB104" i="3"/>
  <c r="AB82" i="3"/>
  <c r="AB84" i="3" s="1"/>
  <c r="AQ166" i="3"/>
  <c r="M81" i="1"/>
  <c r="AP120" i="3"/>
  <c r="AP229" i="3" s="1"/>
  <c r="AQ127" i="3"/>
  <c r="Z204" i="3"/>
  <c r="Z222" i="3" s="1"/>
  <c r="Z231" i="3" s="1"/>
  <c r="AA192" i="4"/>
  <c r="M80" i="1" l="1"/>
  <c r="M89" i="1" s="1"/>
  <c r="Z527" i="3"/>
  <c r="Z543" i="3" s="1"/>
  <c r="AQ110" i="3"/>
  <c r="AQ122" i="3" s="1"/>
  <c r="AR128" i="3" s="1"/>
  <c r="AQ169" i="4"/>
  <c r="AQ238" i="4" s="1"/>
  <c r="AQ244" i="4" s="1"/>
  <c r="AQ67" i="3"/>
  <c r="AR60" i="3"/>
  <c r="AR64" i="3" s="1"/>
  <c r="M86" i="1"/>
  <c r="AP218" i="4"/>
  <c r="AP220" i="4"/>
  <c r="AP530" i="3"/>
  <c r="AP535" i="3" s="1"/>
  <c r="AP223" i="4"/>
  <c r="AP219" i="4"/>
  <c r="AP222" i="4"/>
  <c r="AP221" i="4"/>
  <c r="AP217" i="4"/>
  <c r="AQ258" i="3"/>
  <c r="AP131" i="3"/>
  <c r="AQ175" i="3"/>
  <c r="M96" i="1"/>
  <c r="U236" i="3"/>
  <c r="U240" i="3" s="1"/>
  <c r="U320" i="3" s="1"/>
  <c r="U327" i="3" s="1"/>
  <c r="U347" i="3" s="1"/>
  <c r="U348" i="3" s="1"/>
  <c r="V346" i="3" s="1"/>
  <c r="AQ149" i="4"/>
  <c r="AQ74" i="3"/>
  <c r="AQ80" i="3" s="1"/>
  <c r="AQ75" i="3"/>
  <c r="AQ91" i="3" s="1"/>
  <c r="AA115" i="4"/>
  <c r="AA247" i="4"/>
  <c r="AA205" i="3" s="1"/>
  <c r="AA517" i="3"/>
  <c r="AA510" i="3"/>
  <c r="Z234" i="3"/>
  <c r="AB149" i="4"/>
  <c r="AB184" i="4" s="1"/>
  <c r="AB87" i="3"/>
  <c r="AP260" i="3" l="1"/>
  <c r="AQ240" i="4"/>
  <c r="AQ241" i="4"/>
  <c r="AQ243" i="4"/>
  <c r="AR168" i="4"/>
  <c r="AQ531" i="3"/>
  <c r="AQ242" i="4"/>
  <c r="AQ239" i="4"/>
  <c r="AR63" i="3"/>
  <c r="AR167" i="3" s="1"/>
  <c r="N97" i="1" s="1"/>
  <c r="AP225" i="4"/>
  <c r="AP515" i="3" s="1"/>
  <c r="AP522" i="3" s="1"/>
  <c r="AQ76" i="3"/>
  <c r="AR69" i="3" s="1"/>
  <c r="AB186" i="4"/>
  <c r="AB190" i="4"/>
  <c r="AB187" i="4"/>
  <c r="AB191" i="4"/>
  <c r="AB188" i="4"/>
  <c r="AB185" i="4"/>
  <c r="AB189" i="4"/>
  <c r="AB532" i="3"/>
  <c r="AB535" i="3" s="1"/>
  <c r="AQ190" i="3"/>
  <c r="M103" i="1"/>
  <c r="AP322" i="3"/>
  <c r="AA524" i="3"/>
  <c r="AQ93" i="3"/>
  <c r="M84" i="1" s="1"/>
  <c r="AQ82" i="3"/>
  <c r="AQ84" i="3" s="1"/>
  <c r="AQ184" i="4"/>
  <c r="AQ171" i="4"/>
  <c r="AA204" i="3"/>
  <c r="AA222" i="3" s="1"/>
  <c r="AA231" i="3" s="1"/>
  <c r="AC79" i="3"/>
  <c r="AB105" i="3"/>
  <c r="AB208" i="3" s="1"/>
  <c r="AB88" i="3"/>
  <c r="AB102" i="3" s="1"/>
  <c r="AP126" i="3"/>
  <c r="AP429" i="3" s="1"/>
  <c r="AB206" i="3" l="1"/>
  <c r="AB207" i="3"/>
  <c r="AQ77" i="3"/>
  <c r="AR176" i="3"/>
  <c r="AR191" i="3" s="1"/>
  <c r="AQ245" i="4"/>
  <c r="AP247" i="4"/>
  <c r="AP248" i="4" s="1"/>
  <c r="AQ165" i="4"/>
  <c r="AQ176" i="4" s="1"/>
  <c r="AQ252" i="4" s="1"/>
  <c r="AQ254" i="4" s="1"/>
  <c r="AQ94" i="3"/>
  <c r="AQ95" i="3" s="1"/>
  <c r="AQ96" i="3" s="1"/>
  <c r="AQ152" i="4"/>
  <c r="AQ153" i="4" s="1"/>
  <c r="AQ85" i="3"/>
  <c r="AQ52" i="3" s="1"/>
  <c r="AP250" i="3"/>
  <c r="L128" i="1"/>
  <c r="L136" i="1" s="1"/>
  <c r="AA527" i="3"/>
  <c r="AA543" i="3" s="1"/>
  <c r="AA540" i="3"/>
  <c r="M83" i="1"/>
  <c r="M90" i="1" s="1"/>
  <c r="M82" i="1"/>
  <c r="AA234" i="3"/>
  <c r="AA246" i="3"/>
  <c r="K282" i="1"/>
  <c r="K270" i="1"/>
  <c r="AB192" i="4"/>
  <c r="AQ188" i="4"/>
  <c r="AQ185" i="4"/>
  <c r="AQ189" i="4"/>
  <c r="AQ186" i="4"/>
  <c r="AQ190" i="4"/>
  <c r="AQ187" i="4"/>
  <c r="AQ191" i="4"/>
  <c r="AQ532" i="3"/>
  <c r="AP538" i="3"/>
  <c r="L157" i="1" s="1"/>
  <c r="AP527" i="3"/>
  <c r="AP543" i="3" s="1"/>
  <c r="AC104" i="3"/>
  <c r="AC82" i="3"/>
  <c r="AC84" i="3" s="1"/>
  <c r="N104" i="1" l="1"/>
  <c r="AP205" i="3"/>
  <c r="AP497" i="3" s="1"/>
  <c r="AQ516" i="3"/>
  <c r="AQ523" i="3" s="1"/>
  <c r="AQ539" i="3" s="1"/>
  <c r="M158" i="1" s="1"/>
  <c r="AQ253" i="4"/>
  <c r="AQ534" i="3"/>
  <c r="AQ256" i="4"/>
  <c r="AQ255" i="4"/>
  <c r="AC149" i="4"/>
  <c r="AC184" i="4" s="1"/>
  <c r="AC87" i="3"/>
  <c r="AQ166" i="4"/>
  <c r="AR164" i="4" s="1"/>
  <c r="AQ112" i="3"/>
  <c r="AQ124" i="3" s="1"/>
  <c r="AR130" i="3" s="1"/>
  <c r="AR90" i="3"/>
  <c r="M77" i="1"/>
  <c r="AQ97" i="3"/>
  <c r="AQ168" i="3"/>
  <c r="AQ142" i="3"/>
  <c r="AB115" i="4"/>
  <c r="AB247" i="4"/>
  <c r="AB205" i="3" s="1"/>
  <c r="AB517" i="3"/>
  <c r="AB510" i="3"/>
  <c r="M91" i="1"/>
  <c r="M92" i="1"/>
  <c r="AQ159" i="4"/>
  <c r="AQ55" i="3"/>
  <c r="AQ192" i="4"/>
  <c r="AQ87" i="3"/>
  <c r="AP544" i="3"/>
  <c r="L162" i="1"/>
  <c r="L163" i="1" s="1"/>
  <c r="AR151" i="4"/>
  <c r="AQ205" i="4"/>
  <c r="AP490" i="3" l="1"/>
  <c r="AQ257" i="4"/>
  <c r="AQ172" i="4"/>
  <c r="AQ143" i="3"/>
  <c r="AQ151" i="3"/>
  <c r="AQ156" i="3"/>
  <c r="AQ158" i="3" s="1"/>
  <c r="AQ177" i="3"/>
  <c r="M99" i="1"/>
  <c r="AQ210" i="4"/>
  <c r="AQ206" i="4"/>
  <c r="AQ211" i="4"/>
  <c r="AQ207" i="4"/>
  <c r="AQ208" i="4"/>
  <c r="AQ212" i="4"/>
  <c r="AQ209" i="4"/>
  <c r="AQ213" i="4"/>
  <c r="AR79" i="3"/>
  <c r="AQ111" i="3"/>
  <c r="AQ123" i="3" s="1"/>
  <c r="AR129" i="3" s="1"/>
  <c r="M76" i="1"/>
  <c r="AQ88" i="3"/>
  <c r="AQ56" i="3"/>
  <c r="AQ165" i="3" s="1"/>
  <c r="AQ99" i="3"/>
  <c r="AQ100" i="3" s="1"/>
  <c r="AB524" i="3"/>
  <c r="AQ156" i="4"/>
  <c r="AQ194" i="4" s="1"/>
  <c r="AQ227" i="4"/>
  <c r="AD79" i="3"/>
  <c r="AC105" i="3"/>
  <c r="AC208" i="3" s="1"/>
  <c r="AC88" i="3"/>
  <c r="AC102" i="3" s="1"/>
  <c r="AB204" i="3"/>
  <c r="AB222" i="3" s="1"/>
  <c r="AB231" i="3" s="1"/>
  <c r="AC186" i="4"/>
  <c r="AC190" i="4"/>
  <c r="AC187" i="4"/>
  <c r="AC191" i="4"/>
  <c r="AC188" i="4"/>
  <c r="AC185" i="4"/>
  <c r="AC189" i="4"/>
  <c r="AC532" i="3"/>
  <c r="AC535" i="3" s="1"/>
  <c r="AQ517" i="3"/>
  <c r="AQ524" i="3" s="1"/>
  <c r="AQ540" i="3" s="1"/>
  <c r="M159" i="1" s="1"/>
  <c r="AC206" i="3" l="1"/>
  <c r="AC207" i="3"/>
  <c r="AQ266" i="4"/>
  <c r="AQ268" i="4" s="1"/>
  <c r="AQ270" i="4" s="1"/>
  <c r="AQ217" i="3"/>
  <c r="AQ363" i="3" s="1"/>
  <c r="AQ362" i="3" s="1"/>
  <c r="AQ519" i="3"/>
  <c r="AQ526" i="3" s="1"/>
  <c r="AQ542" i="3" s="1"/>
  <c r="M161" i="1" s="1"/>
  <c r="AQ228" i="4"/>
  <c r="AQ235" i="4"/>
  <c r="AQ229" i="4"/>
  <c r="AQ230" i="4"/>
  <c r="AQ231" i="4"/>
  <c r="AQ232" i="4"/>
  <c r="AQ233" i="4"/>
  <c r="AQ234" i="4"/>
  <c r="AQ192" i="3"/>
  <c r="M106" i="1"/>
  <c r="AQ483" i="3"/>
  <c r="AB527" i="3"/>
  <c r="AB543" i="3" s="1"/>
  <c r="AB540" i="3"/>
  <c r="AQ214" i="4"/>
  <c r="AC192" i="4"/>
  <c r="AB234" i="3"/>
  <c r="AB246" i="3"/>
  <c r="AQ57" i="3"/>
  <c r="AQ152" i="3" a="1"/>
  <c r="AQ152" i="3" s="1"/>
  <c r="AQ153" i="3" s="1"/>
  <c r="AR150" i="3" s="1"/>
  <c r="AQ199" i="4"/>
  <c r="AQ200" i="4"/>
  <c r="AQ201" i="4"/>
  <c r="AQ202" i="4"/>
  <c r="AQ195" i="4"/>
  <c r="AQ196" i="4"/>
  <c r="AQ197" i="4"/>
  <c r="AQ198" i="4"/>
  <c r="AQ533" i="3"/>
  <c r="AD104" i="3"/>
  <c r="AD82" i="3"/>
  <c r="AD84" i="3" s="1"/>
  <c r="AQ174" i="3"/>
  <c r="AQ170" i="3"/>
  <c r="M100" i="1" s="1"/>
  <c r="M98" i="1"/>
  <c r="AQ484" i="3" l="1"/>
  <c r="AQ198" i="3"/>
  <c r="AQ216" i="3"/>
  <c r="AD149" i="4"/>
  <c r="AD184" i="4" s="1"/>
  <c r="AD87" i="3"/>
  <c r="AQ189" i="3"/>
  <c r="M105" i="1"/>
  <c r="M107" i="1" s="1"/>
  <c r="AQ203" i="4"/>
  <c r="AC115" i="4"/>
  <c r="AC247" i="4"/>
  <c r="AC205" i="3" s="1"/>
  <c r="AC517" i="3"/>
  <c r="AC510" i="3"/>
  <c r="AQ236" i="4"/>
  <c r="AQ162" i="4"/>
  <c r="AR50" i="3"/>
  <c r="AQ105" i="3"/>
  <c r="AQ109" i="3"/>
  <c r="AQ209" i="3"/>
  <c r="M74" i="1"/>
  <c r="AQ58" i="3"/>
  <c r="AQ102" i="3" s="1"/>
  <c r="AQ391" i="3"/>
  <c r="AQ420" i="3" s="1"/>
  <c r="AC204" i="3" l="1"/>
  <c r="AC222" i="3" s="1"/>
  <c r="AC231" i="3" s="1"/>
  <c r="AQ121" i="3"/>
  <c r="AQ108" i="3"/>
  <c r="AQ179" i="4"/>
  <c r="AQ106" i="3"/>
  <c r="M87" i="1"/>
  <c r="AQ488" i="3"/>
  <c r="AR104" i="3"/>
  <c r="AR70" i="3"/>
  <c r="AR92" i="3"/>
  <c r="AR62" i="3" s="1"/>
  <c r="AR66" i="3" s="1"/>
  <c r="AR53" i="3"/>
  <c r="AR54" i="3"/>
  <c r="AQ518" i="3"/>
  <c r="AQ525" i="3" s="1"/>
  <c r="AQ541" i="3" s="1"/>
  <c r="M160" i="1" s="1"/>
  <c r="AQ367" i="3"/>
  <c r="AQ216" i="4"/>
  <c r="AR161" i="4"/>
  <c r="AC524" i="3"/>
  <c r="AE79" i="3"/>
  <c r="AD105" i="3"/>
  <c r="AD208" i="3" s="1"/>
  <c r="AD88" i="3"/>
  <c r="AD102" i="3" s="1"/>
  <c r="AQ207" i="3"/>
  <c r="AQ206" i="3"/>
  <c r="AQ208" i="3"/>
  <c r="AD185" i="4"/>
  <c r="AD189" i="4"/>
  <c r="AD186" i="4"/>
  <c r="AD190" i="4"/>
  <c r="AD187" i="4"/>
  <c r="AD191" i="4"/>
  <c r="AD188" i="4"/>
  <c r="AD532" i="3"/>
  <c r="AD535" i="3" s="1"/>
  <c r="AD206" i="3" l="1"/>
  <c r="AD207" i="3"/>
  <c r="AD192" i="4"/>
  <c r="AQ358" i="3"/>
  <c r="AE82" i="3"/>
  <c r="AE84" i="3" s="1"/>
  <c r="AE104" i="3"/>
  <c r="N80" i="1"/>
  <c r="AR73" i="3"/>
  <c r="AQ120" i="3"/>
  <c r="AQ229" i="3" s="1"/>
  <c r="AR127" i="3"/>
  <c r="AQ360" i="3"/>
  <c r="AQ359" i="3"/>
  <c r="AR178" i="4"/>
  <c r="N86" i="1"/>
  <c r="AC540" i="3"/>
  <c r="AC527" i="3"/>
  <c r="AC543" i="3" s="1"/>
  <c r="AC234" i="3"/>
  <c r="AC246" i="3"/>
  <c r="AQ219" i="4"/>
  <c r="AQ223" i="4"/>
  <c r="AQ220" i="4"/>
  <c r="AQ224" i="4"/>
  <c r="AQ217" i="4"/>
  <c r="AQ221" i="4"/>
  <c r="AQ218" i="4"/>
  <c r="AQ222" i="4"/>
  <c r="AQ530" i="3"/>
  <c r="AQ535" i="3" s="1"/>
  <c r="AR166" i="3"/>
  <c r="N81" i="1"/>
  <c r="AR169" i="4"/>
  <c r="AR238" i="4" s="1"/>
  <c r="AS60" i="3"/>
  <c r="AR110" i="3"/>
  <c r="AR122" i="3" s="1"/>
  <c r="AS128" i="3" s="1"/>
  <c r="N75" i="1"/>
  <c r="AR67" i="3"/>
  <c r="AD247" i="4" l="1"/>
  <c r="AD205" i="3" s="1"/>
  <c r="AD510" i="3"/>
  <c r="AD517" i="3"/>
  <c r="AD115" i="4"/>
  <c r="AQ225" i="4"/>
  <c r="AQ515" i="3" s="1"/>
  <c r="AQ522" i="3" s="1"/>
  <c r="AE149" i="4"/>
  <c r="AE184" i="4" s="1"/>
  <c r="AE87" i="3"/>
  <c r="AS168" i="4"/>
  <c r="AS63" i="3"/>
  <c r="AS167" i="3" s="1"/>
  <c r="AS64" i="3"/>
  <c r="AR242" i="4"/>
  <c r="AR243" i="4"/>
  <c r="AR244" i="4"/>
  <c r="AR239" i="4"/>
  <c r="AR240" i="4"/>
  <c r="AR241" i="4"/>
  <c r="AR531" i="3"/>
  <c r="AR258" i="3"/>
  <c r="AQ131" i="3"/>
  <c r="AR175" i="3"/>
  <c r="N96" i="1"/>
  <c r="AR149" i="4"/>
  <c r="AR74" i="3"/>
  <c r="AR80" i="3" s="1"/>
  <c r="AR75" i="3"/>
  <c r="AR91" i="3" s="1"/>
  <c r="N89" i="1"/>
  <c r="AD204" i="3" l="1"/>
  <c r="AD222" i="3" s="1"/>
  <c r="AD231" i="3" s="1"/>
  <c r="AQ260" i="3"/>
  <c r="AD524" i="3"/>
  <c r="AD527" i="3" s="1"/>
  <c r="AD543" i="3" s="1"/>
  <c r="AQ247" i="4"/>
  <c r="AQ248" i="4" s="1"/>
  <c r="AR76" i="3"/>
  <c r="AS69" i="3" s="1"/>
  <c r="AR245" i="4"/>
  <c r="AR93" i="3"/>
  <c r="N84" i="1" s="1"/>
  <c r="AR184" i="4"/>
  <c r="AR171" i="4"/>
  <c r="AR190" i="3"/>
  <c r="N103" i="1"/>
  <c r="AQ538" i="3"/>
  <c r="M157" i="1" s="1"/>
  <c r="AQ527" i="3"/>
  <c r="AQ543" i="3" s="1"/>
  <c r="AQ322" i="3"/>
  <c r="AR82" i="3"/>
  <c r="AR84" i="3" s="1"/>
  <c r="AE105" i="3"/>
  <c r="AE208" i="3" s="1"/>
  <c r="AF79" i="3"/>
  <c r="AE88" i="3"/>
  <c r="AE102" i="3" s="1"/>
  <c r="AQ126" i="3"/>
  <c r="AQ429" i="3" s="1"/>
  <c r="AS176" i="3"/>
  <c r="O97" i="1"/>
  <c r="AE185" i="4"/>
  <c r="AE189" i="4"/>
  <c r="AE186" i="4"/>
  <c r="AE190" i="4"/>
  <c r="AE187" i="4"/>
  <c r="AE191" i="4"/>
  <c r="AE188" i="4"/>
  <c r="AE532" i="3"/>
  <c r="AE535" i="3" s="1"/>
  <c r="AE206" i="3" l="1"/>
  <c r="AE207" i="3"/>
  <c r="AD234" i="3"/>
  <c r="AD246" i="3"/>
  <c r="AD540" i="3"/>
  <c r="AR77" i="3"/>
  <c r="AQ205" i="3"/>
  <c r="AR94" i="3"/>
  <c r="AR95" i="3" s="1"/>
  <c r="AR96" i="3" s="1"/>
  <c r="AR152" i="4"/>
  <c r="AR153" i="4" s="1"/>
  <c r="AR85" i="3"/>
  <c r="AR52" i="3" s="1"/>
  <c r="AS191" i="3"/>
  <c r="O104" i="1"/>
  <c r="AF82" i="3"/>
  <c r="AF84" i="3" s="1"/>
  <c r="AF104" i="3"/>
  <c r="L270" i="1"/>
  <c r="L282" i="1"/>
  <c r="AQ250" i="3"/>
  <c r="M128" i="1"/>
  <c r="M136" i="1" s="1"/>
  <c r="AR187" i="4"/>
  <c r="AR191" i="4"/>
  <c r="AR188" i="4"/>
  <c r="AR185" i="4"/>
  <c r="AR189" i="4"/>
  <c r="AR186" i="4"/>
  <c r="AR190" i="4"/>
  <c r="AR532" i="3"/>
  <c r="AR165" i="4"/>
  <c r="AR176" i="4" s="1"/>
  <c r="AR252" i="4" s="1"/>
  <c r="AR516" i="3"/>
  <c r="AR523" i="3" s="1"/>
  <c r="AR539" i="3" s="1"/>
  <c r="N158" i="1" s="1"/>
  <c r="AE192" i="4"/>
  <c r="N83" i="1"/>
  <c r="N90" i="1" s="1"/>
  <c r="N82" i="1"/>
  <c r="M162" i="1"/>
  <c r="M163" i="1" s="1"/>
  <c r="AQ544" i="3"/>
  <c r="AQ490" i="3" l="1"/>
  <c r="AQ497" i="3"/>
  <c r="AF149" i="4"/>
  <c r="AF184" i="4" s="1"/>
  <c r="AF87" i="3"/>
  <c r="AE115" i="4"/>
  <c r="AE247" i="4"/>
  <c r="AE205" i="3" s="1"/>
  <c r="AE510" i="3"/>
  <c r="AE517" i="3"/>
  <c r="AR166" i="4"/>
  <c r="AS164" i="4" s="1"/>
  <c r="AS90" i="3"/>
  <c r="AR112" i="3"/>
  <c r="AR124" i="3" s="1"/>
  <c r="AS130" i="3" s="1"/>
  <c r="N77" i="1"/>
  <c r="AR97" i="3"/>
  <c r="AR159" i="4"/>
  <c r="AR55" i="3"/>
  <c r="N91" i="1"/>
  <c r="N92" i="1"/>
  <c r="AR192" i="4"/>
  <c r="AR168" i="3"/>
  <c r="AR142" i="3"/>
  <c r="AR87" i="3"/>
  <c r="AR253" i="4"/>
  <c r="AR254" i="4"/>
  <c r="AR255" i="4"/>
  <c r="AR256" i="4"/>
  <c r="AR534" i="3"/>
  <c r="AR205" i="4"/>
  <c r="AS151" i="4"/>
  <c r="AR172" i="4" l="1"/>
  <c r="AE524" i="3"/>
  <c r="AE527" i="3" s="1"/>
  <c r="AE543" i="3" s="1"/>
  <c r="AR177" i="3"/>
  <c r="N99" i="1"/>
  <c r="AR99" i="3"/>
  <c r="AR100" i="3" s="1"/>
  <c r="AR56" i="3"/>
  <c r="AR165" i="3" s="1"/>
  <c r="AR210" i="4"/>
  <c r="AR206" i="4"/>
  <c r="AR211" i="4"/>
  <c r="AR207" i="4"/>
  <c r="AR208" i="4"/>
  <c r="AR212" i="4"/>
  <c r="AR209" i="4"/>
  <c r="AR213" i="4"/>
  <c r="AR257" i="4"/>
  <c r="AR517" i="3"/>
  <c r="AR524" i="3" s="1"/>
  <c r="AR540" i="3" s="1"/>
  <c r="N159" i="1" s="1"/>
  <c r="AR227" i="4"/>
  <c r="AR156" i="4"/>
  <c r="AR194" i="4" s="1"/>
  <c r="AF105" i="3"/>
  <c r="AF208" i="3" s="1"/>
  <c r="AG79" i="3"/>
  <c r="AF88" i="3"/>
  <c r="AF102" i="3" s="1"/>
  <c r="AS79" i="3"/>
  <c r="AR111" i="3"/>
  <c r="AR123" i="3" s="1"/>
  <c r="AS129" i="3" s="1"/>
  <c r="N76" i="1"/>
  <c r="AR88" i="3"/>
  <c r="AR156" i="3"/>
  <c r="AR158" i="3" s="1"/>
  <c r="AR143" i="3"/>
  <c r="AR151" i="3"/>
  <c r="AE204" i="3"/>
  <c r="AE222" i="3" s="1"/>
  <c r="AE231" i="3" s="1"/>
  <c r="AF188" i="4"/>
  <c r="AF185" i="4"/>
  <c r="AF189" i="4"/>
  <c r="AF186" i="4"/>
  <c r="AF190" i="4"/>
  <c r="AF187" i="4"/>
  <c r="AF191" i="4"/>
  <c r="AF532" i="3"/>
  <c r="AF535" i="3" s="1"/>
  <c r="AF206" i="3" l="1"/>
  <c r="AF207" i="3"/>
  <c r="AE540" i="3"/>
  <c r="AI190" i="4"/>
  <c r="AJ190" i="4"/>
  <c r="AI186" i="4"/>
  <c r="AJ186" i="4"/>
  <c r="AI188" i="4"/>
  <c r="AJ188" i="4"/>
  <c r="AR170" i="3"/>
  <c r="N100" i="1" s="1"/>
  <c r="AR174" i="3"/>
  <c r="N98" i="1"/>
  <c r="AI191" i="4"/>
  <c r="AJ191" i="4"/>
  <c r="AG82" i="3"/>
  <c r="AG84" i="3" s="1"/>
  <c r="AG104" i="3"/>
  <c r="AR214" i="4"/>
  <c r="AR152" i="3" a="1"/>
  <c r="AR152" i="3" s="1"/>
  <c r="AR153" i="3" s="1"/>
  <c r="AS150" i="3" s="1"/>
  <c r="AI187" i="4"/>
  <c r="AJ187" i="4"/>
  <c r="AE246" i="3"/>
  <c r="AE234" i="3"/>
  <c r="AR266" i="4"/>
  <c r="AR268" i="4" s="1"/>
  <c r="AR217" i="3"/>
  <c r="AR519" i="3"/>
  <c r="AR526" i="3" s="1"/>
  <c r="AR542" i="3" s="1"/>
  <c r="N161" i="1" s="1"/>
  <c r="AR198" i="4"/>
  <c r="AR199" i="4"/>
  <c r="AR200" i="4"/>
  <c r="AR201" i="4"/>
  <c r="AR202" i="4"/>
  <c r="AR195" i="4"/>
  <c r="AR196" i="4"/>
  <c r="AR197" i="4"/>
  <c r="AR533" i="3"/>
  <c r="AR192" i="3"/>
  <c r="N106" i="1"/>
  <c r="AR483" i="3"/>
  <c r="AI189" i="4"/>
  <c r="AJ189" i="4"/>
  <c r="AF192" i="4"/>
  <c r="AJ185" i="4"/>
  <c r="AR234" i="4"/>
  <c r="AR235" i="4"/>
  <c r="AR228" i="4"/>
  <c r="AR229" i="4"/>
  <c r="AR230" i="4"/>
  <c r="AR231" i="4"/>
  <c r="AR232" i="4"/>
  <c r="AR233" i="4"/>
  <c r="AR57" i="3"/>
  <c r="AR484" i="3" l="1"/>
  <c r="AR198" i="3"/>
  <c r="AR236" i="4"/>
  <c r="AG149" i="4"/>
  <c r="AG184" i="4" s="1"/>
  <c r="AG87" i="3"/>
  <c r="AR162" i="4"/>
  <c r="AS50" i="3"/>
  <c r="AR105" i="3"/>
  <c r="AR109" i="3"/>
  <c r="AR209" i="3"/>
  <c r="N74" i="1"/>
  <c r="AR58" i="3"/>
  <c r="AR102" i="3" s="1"/>
  <c r="AR391" i="3"/>
  <c r="AR420" i="3" s="1"/>
  <c r="AR203" i="4"/>
  <c r="AR216" i="3"/>
  <c r="AR363" i="3"/>
  <c r="AR362" i="3" s="1"/>
  <c r="AF115" i="4"/>
  <c r="AF247" i="4"/>
  <c r="AF205" i="3" s="1"/>
  <c r="AF510" i="3"/>
  <c r="AF517" i="3"/>
  <c r="AJ192" i="4"/>
  <c r="AR270" i="4"/>
  <c r="AU268" i="4"/>
  <c r="AR189" i="3"/>
  <c r="N105" i="1"/>
  <c r="N107" i="1" s="1"/>
  <c r="AR518" i="3" l="1"/>
  <c r="AR525" i="3" s="1"/>
  <c r="AR541" i="3" s="1"/>
  <c r="N160" i="1" s="1"/>
  <c r="AR367" i="3"/>
  <c r="AF204" i="3"/>
  <c r="AF222" i="3" s="1"/>
  <c r="AF231" i="3" s="1"/>
  <c r="AJ205" i="3"/>
  <c r="AR121" i="3"/>
  <c r="AR108" i="3"/>
  <c r="AI115" i="4"/>
  <c r="AJ115" i="4"/>
  <c r="AR179" i="4"/>
  <c r="AR106" i="3"/>
  <c r="N87" i="1"/>
  <c r="AR488" i="3"/>
  <c r="AS104" i="3"/>
  <c r="AS70" i="3"/>
  <c r="AS92" i="3"/>
  <c r="AS62" i="3" s="1"/>
  <c r="AS66" i="3" s="1"/>
  <c r="AS53" i="3"/>
  <c r="AS54" i="3"/>
  <c r="AR207" i="3"/>
  <c r="AR206" i="3"/>
  <c r="AR208" i="3"/>
  <c r="AR216" i="4"/>
  <c r="AS161" i="4"/>
  <c r="AF524" i="3"/>
  <c r="AG105" i="3"/>
  <c r="AG208" i="3" s="1"/>
  <c r="AG88" i="3"/>
  <c r="AG102" i="3" s="1"/>
  <c r="AJ247" i="4"/>
  <c r="AJ517" i="3"/>
  <c r="AG188" i="4"/>
  <c r="AG185" i="4"/>
  <c r="AG189" i="4"/>
  <c r="AG186" i="4"/>
  <c r="AG190" i="4"/>
  <c r="AG187" i="4"/>
  <c r="AG191" i="4"/>
  <c r="AG532" i="3"/>
  <c r="AG535" i="3" s="1"/>
  <c r="AG206" i="3" l="1"/>
  <c r="AB358" i="3" s="1"/>
  <c r="AG207" i="3"/>
  <c r="AB359" i="3" s="1"/>
  <c r="AB360" i="3"/>
  <c r="AR359" i="3"/>
  <c r="AS166" i="3"/>
  <c r="O81" i="1"/>
  <c r="AS169" i="4"/>
  <c r="AS238" i="4" s="1"/>
  <c r="AT60" i="3"/>
  <c r="AS110" i="3"/>
  <c r="AS122" i="3" s="1"/>
  <c r="AT128" i="3" s="1"/>
  <c r="O75" i="1"/>
  <c r="AS67" i="3"/>
  <c r="O80" i="1"/>
  <c r="AS73" i="3"/>
  <c r="AS178" i="4"/>
  <c r="O86" i="1"/>
  <c r="AR358" i="3"/>
  <c r="AG192" i="4"/>
  <c r="AF527" i="3"/>
  <c r="AF543" i="3" s="1"/>
  <c r="AF540" i="3"/>
  <c r="AJ497" i="3"/>
  <c r="AJ490" i="3"/>
  <c r="AJ246" i="4"/>
  <c r="AK248" i="4"/>
  <c r="AJ208" i="3"/>
  <c r="V360" i="3"/>
  <c r="AJ360" i="3" s="1"/>
  <c r="AR218" i="4"/>
  <c r="AR222" i="4"/>
  <c r="AR219" i="4"/>
  <c r="AR223" i="4"/>
  <c r="AR220" i="4"/>
  <c r="AR224" i="4"/>
  <c r="AR217" i="4"/>
  <c r="AR221" i="4"/>
  <c r="AR530" i="3"/>
  <c r="AR535" i="3" s="1"/>
  <c r="AR120" i="3"/>
  <c r="AR229" i="3" s="1"/>
  <c r="AS127" i="3"/>
  <c r="AF234" i="3"/>
  <c r="AF246" i="3"/>
  <c r="AR360" i="3"/>
  <c r="AB356" i="3" l="1"/>
  <c r="AB308" i="3" s="1"/>
  <c r="AB312" i="3" s="1"/>
  <c r="AB337" i="3" s="1"/>
  <c r="AB344" i="3" s="1"/>
  <c r="AS258" i="3"/>
  <c r="AJ207" i="3"/>
  <c r="V359" i="3"/>
  <c r="AJ359" i="3" s="1"/>
  <c r="AS149" i="4"/>
  <c r="AS74" i="3"/>
  <c r="AS80" i="3" s="1"/>
  <c r="AS75" i="3"/>
  <c r="AS91" i="3" s="1"/>
  <c r="AJ206" i="3"/>
  <c r="V358" i="3"/>
  <c r="O89" i="1"/>
  <c r="AS175" i="3"/>
  <c r="O96" i="1"/>
  <c r="AT168" i="4"/>
  <c r="AT63" i="3"/>
  <c r="AT167" i="3" s="1"/>
  <c r="AT176" i="3" s="1"/>
  <c r="AT64" i="3"/>
  <c r="AR225" i="4"/>
  <c r="AG115" i="4"/>
  <c r="AG247" i="4"/>
  <c r="AG510" i="3"/>
  <c r="AG517" i="3"/>
  <c r="AS241" i="4"/>
  <c r="AS242" i="4"/>
  <c r="AS243" i="4"/>
  <c r="AS244" i="4"/>
  <c r="AS239" i="4"/>
  <c r="AS240" i="4"/>
  <c r="AS531" i="3"/>
  <c r="AR131" i="3"/>
  <c r="AG205" i="3" l="1"/>
  <c r="V357" i="3" s="1"/>
  <c r="AR260" i="3"/>
  <c r="AJ204" i="3"/>
  <c r="AJ492" i="3" s="1"/>
  <c r="F154" i="1" s="1"/>
  <c r="AG524" i="3"/>
  <c r="AG540" i="3" s="1"/>
  <c r="AT191" i="3"/>
  <c r="AR126" i="3"/>
  <c r="AR429" i="3" s="1"/>
  <c r="AS190" i="3"/>
  <c r="O103" i="1"/>
  <c r="AR322" i="3"/>
  <c r="AS76" i="3"/>
  <c r="AS93" i="3"/>
  <c r="O84" i="1" s="1"/>
  <c r="AR515" i="3"/>
  <c r="AR522" i="3" s="1"/>
  <c r="AR247" i="4"/>
  <c r="AS82" i="3"/>
  <c r="AS84" i="3" s="1"/>
  <c r="AS245" i="4"/>
  <c r="AJ358" i="3"/>
  <c r="AS184" i="4"/>
  <c r="AS171" i="4"/>
  <c r="AI510" i="3"/>
  <c r="AI524" i="3" s="1"/>
  <c r="AJ510" i="3"/>
  <c r="AJ524" i="3" s="1"/>
  <c r="AJ357" i="3" l="1"/>
  <c r="AJ356" i="3" s="1"/>
  <c r="V356" i="3"/>
  <c r="V308" i="3" s="1"/>
  <c r="F26" i="3" s="1"/>
  <c r="V374" i="3"/>
  <c r="V379" i="3" s="1"/>
  <c r="V324" i="3" s="1"/>
  <c r="V323" i="3" s="1"/>
  <c r="AG204" i="3"/>
  <c r="AG222" i="3" s="1"/>
  <c r="AG231" i="3" s="1"/>
  <c r="AG234" i="3" s="1"/>
  <c r="AJ222" i="3"/>
  <c r="AJ231" i="3" s="1"/>
  <c r="AJ489" i="3"/>
  <c r="AJ491" i="3" s="1"/>
  <c r="AG527" i="3"/>
  <c r="AG543" i="3" s="1"/>
  <c r="AS165" i="4"/>
  <c r="AS176" i="4" s="1"/>
  <c r="AS252" i="4" s="1"/>
  <c r="AS255" i="4" s="1"/>
  <c r="AS94" i="3"/>
  <c r="AS95" i="3" s="1"/>
  <c r="AS96" i="3" s="1"/>
  <c r="AJ527" i="3"/>
  <c r="AJ543" i="3" s="1"/>
  <c r="AJ540" i="3"/>
  <c r="F159" i="1" s="1"/>
  <c r="AI527" i="3"/>
  <c r="AI543" i="3" s="1"/>
  <c r="AI540" i="3"/>
  <c r="E159" i="1" s="1"/>
  <c r="AS152" i="4"/>
  <c r="AS153" i="4" s="1"/>
  <c r="AS85" i="3"/>
  <c r="AS52" i="3" s="1"/>
  <c r="O83" i="1"/>
  <c r="O90" i="1" s="1"/>
  <c r="O82" i="1"/>
  <c r="AT69" i="3"/>
  <c r="AS77" i="3"/>
  <c r="AS187" i="4"/>
  <c r="AS191" i="4"/>
  <c r="AS188" i="4"/>
  <c r="AS185" i="4"/>
  <c r="AS189" i="4"/>
  <c r="AS186" i="4"/>
  <c r="AS190" i="4"/>
  <c r="AS532" i="3"/>
  <c r="AR248" i="4"/>
  <c r="AR205" i="3"/>
  <c r="M270" i="1"/>
  <c r="M282" i="1"/>
  <c r="AS516" i="3"/>
  <c r="AS523" i="3" s="1"/>
  <c r="AS539" i="3" s="1"/>
  <c r="O158" i="1" s="1"/>
  <c r="N128" i="1"/>
  <c r="N136" i="1" s="1"/>
  <c r="AR250" i="3"/>
  <c r="AR538" i="3"/>
  <c r="N157" i="1" s="1"/>
  <c r="AR527" i="3"/>
  <c r="AR543" i="3" s="1"/>
  <c r="V312" i="3"/>
  <c r="AJ308" i="3"/>
  <c r="W374" i="3" l="1"/>
  <c r="W379" i="3" s="1"/>
  <c r="W324" i="3" s="1"/>
  <c r="W323" i="3" s="1"/>
  <c r="AG246" i="3"/>
  <c r="E18" i="1"/>
  <c r="F18" i="1"/>
  <c r="F19" i="1" s="1"/>
  <c r="F114" i="1"/>
  <c r="F121" i="1" s="1"/>
  <c r="AS254" i="4"/>
  <c r="AS253" i="4"/>
  <c r="AS534" i="3"/>
  <c r="AS256" i="4"/>
  <c r="AS87" i="3"/>
  <c r="AT79" i="3" s="1"/>
  <c r="AJ307" i="3"/>
  <c r="AJ312" i="3"/>
  <c r="F46" i="1"/>
  <c r="N162" i="1"/>
  <c r="N163" i="1" s="1"/>
  <c r="AR544" i="3"/>
  <c r="E162" i="1"/>
  <c r="E163" i="1" s="1"/>
  <c r="AI544" i="3"/>
  <c r="V337" i="3"/>
  <c r="V344" i="3" s="1"/>
  <c r="V314" i="3"/>
  <c r="AT151" i="4"/>
  <c r="AS205" i="4"/>
  <c r="X374" i="3"/>
  <c r="AJ234" i="3"/>
  <c r="AJ243" i="3"/>
  <c r="F115" i="1"/>
  <c r="F122" i="1" s="1"/>
  <c r="O91" i="1"/>
  <c r="O92" i="1"/>
  <c r="AS168" i="3"/>
  <c r="AS142" i="3"/>
  <c r="AS166" i="4"/>
  <c r="AT164" i="4" s="1"/>
  <c r="AT90" i="3"/>
  <c r="AS112" i="3"/>
  <c r="AS124" i="3" s="1"/>
  <c r="AT130" i="3" s="1"/>
  <c r="O77" i="1"/>
  <c r="AS97" i="3"/>
  <c r="AR497" i="3"/>
  <c r="AR490" i="3"/>
  <c r="AS192" i="4"/>
  <c r="AS159" i="4"/>
  <c r="AS55" i="3"/>
  <c r="F162" i="1"/>
  <c r="F163" i="1" s="1"/>
  <c r="AJ544" i="3"/>
  <c r="E63" i="1" l="1"/>
  <c r="F63" i="1" s="1"/>
  <c r="E19" i="1"/>
  <c r="AS257" i="4"/>
  <c r="AS266" i="4" s="1"/>
  <c r="AS268" i="4" s="1"/>
  <c r="AS270" i="4" s="1"/>
  <c r="AS88" i="3"/>
  <c r="O76" i="1"/>
  <c r="AS111" i="3"/>
  <c r="AS123" i="3" s="1"/>
  <c r="AT129" i="3" s="1"/>
  <c r="AJ244" i="3"/>
  <c r="AJ427" i="3"/>
  <c r="F116" i="1"/>
  <c r="F123" i="1" s="1"/>
  <c r="AS227" i="4"/>
  <c r="AS156" i="4"/>
  <c r="AS194" i="4" s="1"/>
  <c r="Y374" i="3"/>
  <c r="Y379" i="3" s="1"/>
  <c r="Y324" i="3" s="1"/>
  <c r="Y323" i="3" s="1"/>
  <c r="AS209" i="4"/>
  <c r="AS213" i="4"/>
  <c r="AS210" i="4"/>
  <c r="AS206" i="4"/>
  <c r="AS211" i="4"/>
  <c r="AS207" i="4"/>
  <c r="AS208" i="4"/>
  <c r="AS212" i="4"/>
  <c r="F50" i="1"/>
  <c r="F49" i="1"/>
  <c r="F29" i="1"/>
  <c r="AL313" i="3" a="1"/>
  <c r="AL313" i="3" s="1"/>
  <c r="AJ338" i="3"/>
  <c r="AJ337" i="3" s="1"/>
  <c r="AJ314" i="3"/>
  <c r="AS99" i="3"/>
  <c r="AS100" i="3" s="1"/>
  <c r="AS56" i="3"/>
  <c r="AS165" i="3" s="1"/>
  <c r="AS151" i="3"/>
  <c r="AS156" i="3"/>
  <c r="AS158" i="3" s="1"/>
  <c r="AS143" i="3"/>
  <c r="AS517" i="3"/>
  <c r="AS524" i="3" s="1"/>
  <c r="AS540" i="3" s="1"/>
  <c r="O159" i="1" s="1"/>
  <c r="AS177" i="3"/>
  <c r="O99" i="1"/>
  <c r="X379" i="3"/>
  <c r="X324" i="3" s="1"/>
  <c r="X323" i="3" s="1"/>
  <c r="AS172" i="4"/>
  <c r="W311" i="3"/>
  <c r="W314" i="3" s="1"/>
  <c r="V316" i="3"/>
  <c r="V305" i="3"/>
  <c r="V235" i="3" s="1"/>
  <c r="E65" i="1" l="1"/>
  <c r="I65" i="1" s="1"/>
  <c r="I63" i="1"/>
  <c r="AS519" i="3"/>
  <c r="AS526" i="3" s="1"/>
  <c r="AS542" i="3" s="1"/>
  <c r="O161" i="1" s="1"/>
  <c r="AS217" i="3"/>
  <c r="AS216" i="3" s="1"/>
  <c r="AU216" i="3" s="1"/>
  <c r="AS57" i="3"/>
  <c r="AS109" i="3" s="1"/>
  <c r="G63" i="1"/>
  <c r="F65" i="1"/>
  <c r="J65" i="1" s="1"/>
  <c r="AS197" i="4"/>
  <c r="AS198" i="4"/>
  <c r="AS199" i="4"/>
  <c r="AS200" i="4"/>
  <c r="AS201" i="4"/>
  <c r="AS202" i="4"/>
  <c r="AS195" i="4"/>
  <c r="AS196" i="4"/>
  <c r="AS533" i="3"/>
  <c r="V236" i="3"/>
  <c r="V240" i="3" s="1"/>
  <c r="V320" i="3" s="1"/>
  <c r="V327" i="3" s="1"/>
  <c r="V347" i="3" s="1"/>
  <c r="V348" i="3" s="1"/>
  <c r="W346" i="3" s="1"/>
  <c r="AS170" i="3"/>
  <c r="O100" i="1" s="1"/>
  <c r="AS174" i="3"/>
  <c r="O98" i="1"/>
  <c r="AJ266" i="3"/>
  <c r="AK311" i="3"/>
  <c r="AJ398" i="3"/>
  <c r="AJ316" i="3"/>
  <c r="AS233" i="4"/>
  <c r="AS234" i="4"/>
  <c r="AS235" i="4"/>
  <c r="AS228" i="4"/>
  <c r="AS229" i="4"/>
  <c r="AS230" i="4"/>
  <c r="AS231" i="4"/>
  <c r="AS232" i="4"/>
  <c r="Z374" i="3"/>
  <c r="Z379" i="3" s="1"/>
  <c r="Z324" i="3" s="1"/>
  <c r="Z323" i="3" s="1"/>
  <c r="W305" i="3"/>
  <c r="W235" i="3" s="1"/>
  <c r="X311" i="3"/>
  <c r="X314" i="3" s="1"/>
  <c r="W316" i="3"/>
  <c r="AS192" i="3"/>
  <c r="O106" i="1"/>
  <c r="AS483" i="3"/>
  <c r="AL339" i="3"/>
  <c r="AJ430" i="3"/>
  <c r="E281" i="1"/>
  <c r="E269" i="1"/>
  <c r="AS152" i="3" a="1"/>
  <c r="AS152" i="3" s="1"/>
  <c r="AS153" i="3" s="1"/>
  <c r="AT150" i="3" s="1"/>
  <c r="AS214" i="4"/>
  <c r="AS484" i="3" l="1"/>
  <c r="AS198" i="3"/>
  <c r="AS363" i="3"/>
  <c r="AS362" i="3" s="1"/>
  <c r="AS209" i="3"/>
  <c r="AS367" i="3" s="1"/>
  <c r="AS162" i="4"/>
  <c r="AS216" i="4" s="1"/>
  <c r="AS58" i="3"/>
  <c r="AS102" i="3" s="1"/>
  <c r="AS206" i="3" s="1"/>
  <c r="AT50" i="3"/>
  <c r="AT54" i="3" s="1"/>
  <c r="AS391" i="3"/>
  <c r="AS420" i="3" s="1"/>
  <c r="AS105" i="3"/>
  <c r="AS488" i="3" s="1"/>
  <c r="O74" i="1"/>
  <c r="AS236" i="4"/>
  <c r="AS203" i="4"/>
  <c r="AS518" i="3" s="1"/>
  <c r="AS525" i="3" s="1"/>
  <c r="AS541" i="3" s="1"/>
  <c r="O160" i="1" s="1"/>
  <c r="AA374" i="3"/>
  <c r="AA379" i="3" s="1"/>
  <c r="AA324" i="3" s="1"/>
  <c r="AA323" i="3" s="1"/>
  <c r="AJ374" i="3"/>
  <c r="X305" i="3"/>
  <c r="X235" i="3" s="1"/>
  <c r="Y311" i="3"/>
  <c r="Y314" i="3" s="1"/>
  <c r="X316" i="3"/>
  <c r="W236" i="3"/>
  <c r="W240" i="3" s="1"/>
  <c r="W320" i="3" s="1"/>
  <c r="W327" i="3" s="1"/>
  <c r="W347" i="3" s="1"/>
  <c r="W348" i="3" s="1"/>
  <c r="X346" i="3" s="1"/>
  <c r="AJ433" i="3"/>
  <c r="AJ268" i="3"/>
  <c r="F130" i="1"/>
  <c r="F138" i="1" s="1"/>
  <c r="G65" i="1"/>
  <c r="AS121" i="3"/>
  <c r="AS108" i="3"/>
  <c r="AS189" i="3"/>
  <c r="O105" i="1"/>
  <c r="O107" i="1" s="1"/>
  <c r="AT53" i="3" l="1"/>
  <c r="AT166" i="3" s="1"/>
  <c r="AT175" i="3" s="1"/>
  <c r="AT190" i="3" s="1"/>
  <c r="AT92" i="3"/>
  <c r="AT62" i="3" s="1"/>
  <c r="AT66" i="3" s="1"/>
  <c r="AT67" i="3" s="1"/>
  <c r="AS179" i="4"/>
  <c r="O87" i="1"/>
  <c r="AS207" i="3"/>
  <c r="AT70" i="3"/>
  <c r="AT73" i="3" s="1"/>
  <c r="AT149" i="4" s="1"/>
  <c r="AT104" i="3"/>
  <c r="AT178" i="4" s="1"/>
  <c r="AS106" i="3"/>
  <c r="AT161" i="4"/>
  <c r="AS208" i="3"/>
  <c r="AS360" i="3" s="1"/>
  <c r="Y305" i="3"/>
  <c r="Y235" i="3" s="1"/>
  <c r="Z311" i="3"/>
  <c r="Z314" i="3" s="1"/>
  <c r="Y316" i="3"/>
  <c r="X236" i="3"/>
  <c r="X240" i="3" s="1"/>
  <c r="X320" i="3" s="1"/>
  <c r="X327" i="3" s="1"/>
  <c r="X347" i="3" s="1"/>
  <c r="X348" i="3" s="1"/>
  <c r="Y346" i="3" s="1"/>
  <c r="AS358" i="3"/>
  <c r="AK379" i="3"/>
  <c r="AK324" i="3" s="1"/>
  <c r="AJ255" i="3"/>
  <c r="AJ379" i="3"/>
  <c r="AJ324" i="3" s="1"/>
  <c r="AJ323" i="3" s="1"/>
  <c r="AJ385" i="3" s="1"/>
  <c r="AB374" i="3"/>
  <c r="F129" i="1"/>
  <c r="F137" i="1" s="1"/>
  <c r="AS120" i="3"/>
  <c r="AS229" i="3" s="1"/>
  <c r="AT127" i="3"/>
  <c r="AS218" i="4"/>
  <c r="AS222" i="4"/>
  <c r="AS219" i="4"/>
  <c r="AS223" i="4"/>
  <c r="AS220" i="4"/>
  <c r="AS224" i="4"/>
  <c r="AS217" i="4"/>
  <c r="AS221" i="4"/>
  <c r="AS530" i="3"/>
  <c r="AS535" i="3" s="1"/>
  <c r="AT169" i="4" l="1"/>
  <c r="AT238" i="4" s="1"/>
  <c r="AT243" i="4" s="1"/>
  <c r="AT110" i="3"/>
  <c r="AT122" i="3" s="1"/>
  <c r="AT75" i="3"/>
  <c r="AT91" i="3" s="1"/>
  <c r="AT93" i="3" s="1"/>
  <c r="AT165" i="4" s="1"/>
  <c r="AT176" i="4" s="1"/>
  <c r="AT252" i="4" s="1"/>
  <c r="AS359" i="3"/>
  <c r="AT74" i="3"/>
  <c r="AT80" i="3" s="1"/>
  <c r="AT82" i="3" s="1"/>
  <c r="AT84" i="3" s="1"/>
  <c r="AC374" i="3"/>
  <c r="AC379" i="3" s="1"/>
  <c r="AC324" i="3" s="1"/>
  <c r="AC323" i="3" s="1"/>
  <c r="Z305" i="3"/>
  <c r="Z235" i="3" s="1"/>
  <c r="AA311" i="3"/>
  <c r="AA314" i="3" s="1"/>
  <c r="Z316" i="3"/>
  <c r="AT258" i="3"/>
  <c r="AJ388" i="3"/>
  <c r="AJ386" i="3"/>
  <c r="Y236" i="3"/>
  <c r="Y240" i="3" s="1"/>
  <c r="Y320" i="3" s="1"/>
  <c r="Y327" i="3" s="1"/>
  <c r="Y347" i="3" s="1"/>
  <c r="Y348" i="3" s="1"/>
  <c r="Z346" i="3" s="1"/>
  <c r="AS131" i="3"/>
  <c r="AT184" i="4"/>
  <c r="AT171" i="4"/>
  <c r="AS225" i="4"/>
  <c r="AB379" i="3"/>
  <c r="AB324" i="3" s="1"/>
  <c r="AB323" i="3" s="1"/>
  <c r="AS260" i="3" l="1"/>
  <c r="AT244" i="4"/>
  <c r="AT239" i="4"/>
  <c r="AT242" i="4"/>
  <c r="AT240" i="4"/>
  <c r="AT241" i="4"/>
  <c r="AT531" i="3"/>
  <c r="AT76" i="3"/>
  <c r="AT77" i="3" s="1"/>
  <c r="AT94" i="3"/>
  <c r="AT95" i="3" s="1"/>
  <c r="AT96" i="3" s="1"/>
  <c r="AT152" i="4"/>
  <c r="AT153" i="4" s="1"/>
  <c r="AT85" i="3"/>
  <c r="AT52" i="3" s="1"/>
  <c r="Z236" i="3"/>
  <c r="AS126" i="3"/>
  <c r="AS429" i="3" s="1"/>
  <c r="AS322" i="3"/>
  <c r="AJ389" i="3"/>
  <c r="AT253" i="4"/>
  <c r="AT254" i="4"/>
  <c r="AT255" i="4"/>
  <c r="AT256" i="4"/>
  <c r="AT534" i="3"/>
  <c r="AT186" i="4"/>
  <c r="AT190" i="4"/>
  <c r="AT187" i="4"/>
  <c r="AT191" i="4"/>
  <c r="AT188" i="4"/>
  <c r="AT185" i="4"/>
  <c r="AT189" i="4"/>
  <c r="AT532" i="3"/>
  <c r="AS515" i="3"/>
  <c r="AS522" i="3" s="1"/>
  <c r="AS247" i="4"/>
  <c r="AD374" i="3"/>
  <c r="AD379" i="3" s="1"/>
  <c r="AD324" i="3" s="1"/>
  <c r="AD323" i="3" s="1"/>
  <c r="AA305" i="3"/>
  <c r="AA235" i="3" s="1"/>
  <c r="AB311" i="3"/>
  <c r="AB314" i="3" s="1"/>
  <c r="AA316" i="3"/>
  <c r="AT245" i="4" l="1"/>
  <c r="AT516" i="3" s="1"/>
  <c r="AT523" i="3" s="1"/>
  <c r="AT539" i="3" s="1"/>
  <c r="AT257" i="4"/>
  <c r="AT266" i="4" s="1"/>
  <c r="AT268" i="4" s="1"/>
  <c r="AT270" i="4" s="1"/>
  <c r="AB316" i="3"/>
  <c r="AB305" i="3"/>
  <c r="AB235" i="3" s="1"/>
  <c r="AC311" i="3"/>
  <c r="AC314" i="3" s="1"/>
  <c r="AT168" i="3"/>
  <c r="AT177" i="3" s="1"/>
  <c r="AT142" i="3"/>
  <c r="AT166" i="4"/>
  <c r="AT112" i="3"/>
  <c r="AT124" i="3" s="1"/>
  <c r="AT97" i="3"/>
  <c r="AE374" i="3"/>
  <c r="AE379" i="3" s="1"/>
  <c r="AE324" i="3" s="1"/>
  <c r="AE323" i="3" s="1"/>
  <c r="N270" i="1"/>
  <c r="N282" i="1"/>
  <c r="AA236" i="3"/>
  <c r="AA240" i="3" s="1"/>
  <c r="AA320" i="3" s="1"/>
  <c r="AA327" i="3" s="1"/>
  <c r="AA347" i="3" s="1"/>
  <c r="AS248" i="4"/>
  <c r="AS205" i="3"/>
  <c r="O128" i="1"/>
  <c r="O136" i="1" s="1"/>
  <c r="AS250" i="3"/>
  <c r="AT159" i="4"/>
  <c r="AT55" i="3"/>
  <c r="AS538" i="3"/>
  <c r="O157" i="1" s="1"/>
  <c r="AS527" i="3"/>
  <c r="AS543" i="3" s="1"/>
  <c r="AT192" i="4"/>
  <c r="AT87" i="3"/>
  <c r="AT205" i="4"/>
  <c r="AT172" i="4" l="1"/>
  <c r="AT519" i="3"/>
  <c r="AT526" i="3" s="1"/>
  <c r="AT542" i="3" s="1"/>
  <c r="AT217" i="3"/>
  <c r="AT216" i="3" s="1"/>
  <c r="AT99" i="3"/>
  <c r="AT100" i="3" s="1"/>
  <c r="AT56" i="3"/>
  <c r="AT165" i="3" s="1"/>
  <c r="AS544" i="3"/>
  <c r="O162" i="1"/>
  <c r="O163" i="1" s="1"/>
  <c r="AT151" i="3"/>
  <c r="AT156" i="3"/>
  <c r="AT158" i="3" s="1"/>
  <c r="AT143" i="3"/>
  <c r="AT192" i="3"/>
  <c r="AT483" i="3"/>
  <c r="AT517" i="3"/>
  <c r="AT524" i="3" s="1"/>
  <c r="AT540" i="3" s="1"/>
  <c r="AF374" i="3"/>
  <c r="AF379" i="3" s="1"/>
  <c r="AF324" i="3" s="1"/>
  <c r="AF323" i="3" s="1"/>
  <c r="AD311" i="3"/>
  <c r="AD314" i="3" s="1"/>
  <c r="AC316" i="3"/>
  <c r="AC305" i="3"/>
  <c r="AC235" i="3" s="1"/>
  <c r="AT209" i="4"/>
  <c r="AT213" i="4"/>
  <c r="AT210" i="4"/>
  <c r="AT206" i="4"/>
  <c r="AT211" i="4"/>
  <c r="AT207" i="4"/>
  <c r="AT208" i="4"/>
  <c r="AT212" i="4"/>
  <c r="AT111" i="3"/>
  <c r="AT123" i="3" s="1"/>
  <c r="AT88" i="3"/>
  <c r="AT227" i="4"/>
  <c r="AT156" i="4"/>
  <c r="AT194" i="4" s="1"/>
  <c r="AS497" i="3"/>
  <c r="AS490" i="3"/>
  <c r="AB236" i="3"/>
  <c r="AB240" i="3" s="1"/>
  <c r="AB320" i="3" s="1"/>
  <c r="AB327" i="3" s="1"/>
  <c r="AB347" i="3" s="1"/>
  <c r="AT484" i="3" l="1"/>
  <c r="AT198" i="3"/>
  <c r="AT363" i="3"/>
  <c r="AT362" i="3" s="1"/>
  <c r="AT57" i="3"/>
  <c r="AT391" i="3" s="1"/>
  <c r="AT420" i="3" s="1"/>
  <c r="AG374" i="3"/>
  <c r="AG379" i="3" s="1"/>
  <c r="AG324" i="3" s="1"/>
  <c r="AG323" i="3" s="1"/>
  <c r="AT170" i="3"/>
  <c r="AT174" i="3"/>
  <c r="AT189" i="3" s="1"/>
  <c r="AT196" i="4"/>
  <c r="AT197" i="4"/>
  <c r="AT198" i="4"/>
  <c r="AT199" i="4"/>
  <c r="AT200" i="4"/>
  <c r="AT201" i="4"/>
  <c r="AT202" i="4"/>
  <c r="AT195" i="4"/>
  <c r="AT533" i="3"/>
  <c r="AT232" i="4"/>
  <c r="AT233" i="4"/>
  <c r="AT234" i="4"/>
  <c r="AT235" i="4"/>
  <c r="AT228" i="4"/>
  <c r="AT229" i="4"/>
  <c r="AT230" i="4"/>
  <c r="AT231" i="4"/>
  <c r="AC236" i="3"/>
  <c r="AC240" i="3" s="1"/>
  <c r="AC320" i="3" s="1"/>
  <c r="AC327" i="3" s="1"/>
  <c r="AC347" i="3" s="1"/>
  <c r="AT152" i="3" a="1"/>
  <c r="AT152" i="3" s="1"/>
  <c r="AT153" i="3" s="1"/>
  <c r="AE311" i="3"/>
  <c r="AE314" i="3" s="1"/>
  <c r="AD316" i="3"/>
  <c r="AD305" i="3"/>
  <c r="AD235" i="3" s="1"/>
  <c r="AT214" i="4"/>
  <c r="AT162" i="4" l="1"/>
  <c r="AT216" i="4" s="1"/>
  <c r="AT217" i="4" s="1"/>
  <c r="AT58" i="3"/>
  <c r="AT102" i="3" s="1"/>
  <c r="AT207" i="3" s="1"/>
  <c r="AT359" i="3" s="1"/>
  <c r="AT109" i="3"/>
  <c r="AT108" i="3" s="1"/>
  <c r="AT105" i="3"/>
  <c r="AT106" i="3" s="1"/>
  <c r="AT209" i="3"/>
  <c r="AT367" i="3" s="1"/>
  <c r="AD236" i="3"/>
  <c r="AD240" i="3" s="1"/>
  <c r="AD320" i="3" s="1"/>
  <c r="AD327" i="3" s="1"/>
  <c r="AD347" i="3" s="1"/>
  <c r="AT203" i="4"/>
  <c r="AE305" i="3"/>
  <c r="AE235" i="3" s="1"/>
  <c r="AF311" i="3"/>
  <c r="AF314" i="3" s="1"/>
  <c r="AE316" i="3"/>
  <c r="AT236" i="4"/>
  <c r="AT224" i="4" l="1"/>
  <c r="AT223" i="4"/>
  <c r="AT222" i="4"/>
  <c r="AT220" i="4"/>
  <c r="AT219" i="4"/>
  <c r="AT218" i="4"/>
  <c r="AT221" i="4"/>
  <c r="AT530" i="3"/>
  <c r="AT535" i="3" s="1"/>
  <c r="AT208" i="3"/>
  <c r="AT360" i="3" s="1"/>
  <c r="AT206" i="3"/>
  <c r="AT358" i="3" s="1"/>
  <c r="AT179" i="4"/>
  <c r="AT488" i="3"/>
  <c r="AT121" i="3"/>
  <c r="AT120" i="3" s="1"/>
  <c r="AT229" i="3" s="1"/>
  <c r="AT518" i="3"/>
  <c r="AT525" i="3" s="1"/>
  <c r="AT541" i="3" s="1"/>
  <c r="AF305" i="3"/>
  <c r="AF235" i="3" s="1"/>
  <c r="AG311" i="3"/>
  <c r="AG314" i="3" s="1"/>
  <c r="AF316" i="3"/>
  <c r="AE236" i="3"/>
  <c r="AE240" i="3" s="1"/>
  <c r="AE320" i="3" s="1"/>
  <c r="AE327" i="3" s="1"/>
  <c r="AE347" i="3" s="1"/>
  <c r="AT225" i="4" l="1"/>
  <c r="AT515" i="3" s="1"/>
  <c r="AT522" i="3" s="1"/>
  <c r="AT538" i="3" s="1"/>
  <c r="AT131" i="3"/>
  <c r="AT260" i="3" s="1"/>
  <c r="AG305" i="3"/>
  <c r="AG316" i="3"/>
  <c r="AF236" i="3"/>
  <c r="AF240" i="3" s="1"/>
  <c r="AF320" i="3" s="1"/>
  <c r="AF327" i="3" s="1"/>
  <c r="AF347" i="3" s="1"/>
  <c r="AT250" i="3" l="1"/>
  <c r="AT322" i="3"/>
  <c r="AT247" i="4"/>
  <c r="AT248" i="4" s="1"/>
  <c r="AT527" i="3"/>
  <c r="AT543" i="3" s="1"/>
  <c r="AT544" i="3" s="1"/>
  <c r="AT126" i="3"/>
  <c r="AT429" i="3" s="1"/>
  <c r="O282" i="1" s="1"/>
  <c r="AG235" i="3"/>
  <c r="AJ305" i="3"/>
  <c r="AT205" i="3" l="1"/>
  <c r="AT490" i="3" s="1"/>
  <c r="O270" i="1"/>
  <c r="AJ235" i="3"/>
  <c r="AG236" i="3"/>
  <c r="AG240" i="3" s="1"/>
  <c r="AG320" i="3" s="1"/>
  <c r="AG327" i="3" s="1"/>
  <c r="AG347" i="3" s="1"/>
  <c r="AT497" i="3" l="1"/>
  <c r="AJ236" i="3"/>
  <c r="AJ238" i="3" l="1"/>
  <c r="AJ240" i="3" l="1"/>
  <c r="AJ241" i="3" s="1"/>
  <c r="AJ281" i="3"/>
  <c r="Z238" i="3"/>
  <c r="AJ246" i="3"/>
  <c r="F117" i="1" l="1"/>
  <c r="F124" i="1" s="1"/>
  <c r="AJ272" i="3"/>
  <c r="AK273" i="3" s="1"/>
  <c r="AJ320" i="3"/>
  <c r="Z246" i="3"/>
  <c r="Z240" i="3"/>
  <c r="Z320" i="3" s="1"/>
  <c r="Z327" i="3" s="1"/>
  <c r="Z347" i="3" s="1"/>
  <c r="Z348" i="3" s="1"/>
  <c r="AA346" i="3" s="1"/>
  <c r="AA348" i="3" s="1"/>
  <c r="AB346" i="3" s="1"/>
  <c r="AB348" i="3" s="1"/>
  <c r="AC346" i="3" s="1"/>
  <c r="AC348" i="3" s="1"/>
  <c r="AD346" i="3" s="1"/>
  <c r="AD348" i="3" s="1"/>
  <c r="AE346" i="3" s="1"/>
  <c r="AE348" i="3" s="1"/>
  <c r="AF346" i="3" s="1"/>
  <c r="AF348" i="3" s="1"/>
  <c r="AG346" i="3" s="1"/>
  <c r="AG348" i="3" s="1"/>
  <c r="AJ274" i="3" l="1"/>
  <c r="AJ275" i="3" s="1"/>
  <c r="AJ327" i="3"/>
  <c r="AJ351" i="3" s="1"/>
  <c r="F132" i="1" l="1"/>
  <c r="F140" i="1" s="1"/>
  <c r="AJ302" i="3" l="1"/>
  <c r="AI344" i="3"/>
  <c r="AI347" i="3" s="1"/>
  <c r="AI348" i="3" s="1"/>
  <c r="AJ344" i="3"/>
  <c r="AJ347" i="3" s="1"/>
  <c r="AI399" i="3" l="1"/>
  <c r="AI401" i="3" s="1"/>
  <c r="AJ346" i="3"/>
  <c r="AJ348" i="3" s="1"/>
  <c r="AI431" i="3"/>
  <c r="AI253" i="3"/>
  <c r="AK346" i="3" l="1"/>
  <c r="AJ431" i="3"/>
  <c r="E271" i="1" s="1"/>
  <c r="AJ399" i="3"/>
  <c r="AJ401" i="3" s="1"/>
  <c r="AJ253" i="3"/>
  <c r="AI261" i="3"/>
  <c r="AI434" i="3"/>
  <c r="D283" i="1"/>
  <c r="D271" i="1"/>
  <c r="E283" i="1" l="1"/>
  <c r="AJ434" i="3"/>
  <c r="AJ437" i="3" s="1"/>
  <c r="AJ261" i="3"/>
  <c r="AJ277" i="3" s="1"/>
  <c r="D272" i="1"/>
  <c r="D284" i="1"/>
  <c r="AI437" i="3"/>
  <c r="AI277" i="3"/>
  <c r="E127" i="1"/>
  <c r="E284" i="1" l="1"/>
  <c r="E272" i="1"/>
  <c r="F127" i="1"/>
  <c r="F135" i="1" s="1"/>
  <c r="D285" i="1"/>
  <c r="AI439" i="3"/>
  <c r="D273" i="1"/>
  <c r="E285" i="1"/>
  <c r="AJ439" i="3"/>
  <c r="E273" i="1"/>
  <c r="AI440" i="3" l="1"/>
  <c r="D274" i="1"/>
  <c r="AJ440" i="3"/>
  <c r="E274" i="1"/>
  <c r="D275" i="1" l="1"/>
  <c r="D286" i="1"/>
  <c r="E275" i="1"/>
  <c r="E286" i="1"/>
  <c r="AK188" i="3" l="1"/>
  <c r="AK226" i="3" s="1"/>
  <c r="AL188" i="3"/>
  <c r="AM188" i="3"/>
  <c r="AM214" i="3" s="1"/>
  <c r="AN188" i="3"/>
  <c r="AN214" i="3" s="1"/>
  <c r="AO188" i="3"/>
  <c r="AO227" i="3" s="1"/>
  <c r="AP188" i="3"/>
  <c r="AQ188" i="3"/>
  <c r="AR188" i="3"/>
  <c r="AS188" i="3"/>
  <c r="AS226" i="3" s="1"/>
  <c r="AT188" i="3"/>
  <c r="AT202" i="3" s="1"/>
  <c r="G113" i="1" l="1"/>
  <c r="K113" i="1"/>
  <c r="AR227" i="3"/>
  <c r="AR226" i="3"/>
  <c r="AO226" i="3"/>
  <c r="N113" i="1"/>
  <c r="AR214" i="3"/>
  <c r="AO214" i="3"/>
  <c r="AP227" i="3"/>
  <c r="AP214" i="3"/>
  <c r="AM227" i="3"/>
  <c r="L113" i="1"/>
  <c r="I113" i="1"/>
  <c r="AP226" i="3"/>
  <c r="J113" i="1"/>
  <c r="AN227" i="3"/>
  <c r="AN226" i="3"/>
  <c r="M113" i="1"/>
  <c r="AQ226" i="3"/>
  <c r="AQ227" i="3"/>
  <c r="H113" i="1"/>
  <c r="AM226" i="3"/>
  <c r="AT214" i="3"/>
  <c r="AT370" i="3" s="1"/>
  <c r="AT226" i="3"/>
  <c r="AT227" i="3"/>
  <c r="AQ214" i="3"/>
  <c r="AN370" i="3"/>
  <c r="AL227" i="3"/>
  <c r="AL226" i="3"/>
  <c r="AM370" i="3"/>
  <c r="AL214" i="3"/>
  <c r="O113" i="1"/>
  <c r="AS214" i="3"/>
  <c r="AU188" i="3"/>
  <c r="AS227" i="3"/>
  <c r="AK214" i="3"/>
  <c r="AK227" i="3"/>
  <c r="AR204" i="3" l="1"/>
  <c r="AR489" i="3" s="1"/>
  <c r="AR491" i="3" s="1"/>
  <c r="AR370" i="3"/>
  <c r="AR366" i="3" s="1"/>
  <c r="AO204" i="3"/>
  <c r="AO357" i="3" s="1"/>
  <c r="AT204" i="3"/>
  <c r="AT489" i="3" s="1"/>
  <c r="AT491" i="3" s="1"/>
  <c r="AQ204" i="3"/>
  <c r="AQ222" i="3" s="1"/>
  <c r="AT366" i="3"/>
  <c r="AT375" i="3"/>
  <c r="AT256" i="3" s="1"/>
  <c r="AP370" i="3"/>
  <c r="AP366" i="3" s="1"/>
  <c r="AP204" i="3"/>
  <c r="AP489" i="3" s="1"/>
  <c r="AP491" i="3" s="1"/>
  <c r="AO370" i="3"/>
  <c r="AN204" i="3"/>
  <c r="AN357" i="3" s="1"/>
  <c r="AN366" i="3"/>
  <c r="AQ370" i="3"/>
  <c r="AQ375" i="3" s="1"/>
  <c r="AQ256" i="3" s="1"/>
  <c r="AM204" i="3"/>
  <c r="AL370" i="3"/>
  <c r="AL204" i="3"/>
  <c r="AL222" i="3" s="1"/>
  <c r="AK204" i="3"/>
  <c r="AS370" i="3"/>
  <c r="AK370" i="3"/>
  <c r="AS204" i="3"/>
  <c r="AO492" i="3" l="1"/>
  <c r="K154" i="1" s="1"/>
  <c r="AO489" i="3"/>
  <c r="AO491" i="3" s="1"/>
  <c r="AR492" i="3"/>
  <c r="N154" i="1" s="1"/>
  <c r="AR222" i="3"/>
  <c r="N114" i="1" s="1"/>
  <c r="N121" i="1" s="1"/>
  <c r="AR357" i="3"/>
  <c r="AR356" i="3" s="1"/>
  <c r="AO222" i="3"/>
  <c r="AO231" i="3" s="1"/>
  <c r="AR375" i="3"/>
  <c r="AR256" i="3" s="1"/>
  <c r="AN492" i="3"/>
  <c r="J154" i="1" s="1"/>
  <c r="AP357" i="3"/>
  <c r="AP356" i="3" s="1"/>
  <c r="AP308" i="3" s="1"/>
  <c r="AP222" i="3"/>
  <c r="AP231" i="3" s="1"/>
  <c r="AT492" i="3"/>
  <c r="AP492" i="3"/>
  <c r="L154" i="1" s="1"/>
  <c r="AT357" i="3"/>
  <c r="AT356" i="3" s="1"/>
  <c r="AQ357" i="3"/>
  <c r="AQ356" i="3" s="1"/>
  <c r="AQ489" i="3"/>
  <c r="AQ491" i="3" s="1"/>
  <c r="AQ492" i="3"/>
  <c r="M154" i="1" s="1"/>
  <c r="AP375" i="3"/>
  <c r="AQ380" i="3" s="1"/>
  <c r="AQ325" i="3" s="1"/>
  <c r="AT222" i="3"/>
  <c r="AT231" i="3" s="1"/>
  <c r="AL492" i="3"/>
  <c r="H154" i="1" s="1"/>
  <c r="AN222" i="3"/>
  <c r="AN223" i="3" s="1"/>
  <c r="AN489" i="3"/>
  <c r="AN491" i="3" s="1"/>
  <c r="AQ366" i="3"/>
  <c r="AN375" i="3"/>
  <c r="AN256" i="3" s="1"/>
  <c r="AO375" i="3"/>
  <c r="AO256" i="3" s="1"/>
  <c r="AO366" i="3"/>
  <c r="AL489" i="3"/>
  <c r="AL491" i="3" s="1"/>
  <c r="AL357" i="3"/>
  <c r="AL356" i="3" s="1"/>
  <c r="AO356" i="3"/>
  <c r="AO374" i="3"/>
  <c r="AO255" i="3" s="1"/>
  <c r="AM489" i="3"/>
  <c r="AM491" i="3" s="1"/>
  <c r="AM492" i="3"/>
  <c r="I154" i="1" s="1"/>
  <c r="AM357" i="3"/>
  <c r="AM222" i="3"/>
  <c r="AL375" i="3"/>
  <c r="AL366" i="3"/>
  <c r="AM366" i="3"/>
  <c r="AM375" i="3"/>
  <c r="AU204" i="3"/>
  <c r="AS357" i="3"/>
  <c r="AS489" i="3"/>
  <c r="AS491" i="3" s="1"/>
  <c r="AS492" i="3"/>
  <c r="O154" i="1" s="1"/>
  <c r="AS222" i="3"/>
  <c r="AQ231" i="3"/>
  <c r="AQ223" i="3"/>
  <c r="M114" i="1"/>
  <c r="M121" i="1" s="1"/>
  <c r="AK375" i="3"/>
  <c r="AK366" i="3"/>
  <c r="AK308" i="3" s="1"/>
  <c r="AK489" i="3"/>
  <c r="AK491" i="3" s="1"/>
  <c r="AK492" i="3"/>
  <c r="G154" i="1" s="1"/>
  <c r="AK222" i="3"/>
  <c r="AL231" i="3"/>
  <c r="AL223" i="3"/>
  <c r="H114" i="1"/>
  <c r="H121" i="1" s="1"/>
  <c r="AN356" i="3"/>
  <c r="AN308" i="3" s="1"/>
  <c r="AN374" i="3"/>
  <c r="AS375" i="3"/>
  <c r="AS366" i="3"/>
  <c r="AR223" i="3" l="1"/>
  <c r="AR231" i="3"/>
  <c r="AO223" i="3"/>
  <c r="K114" i="1"/>
  <c r="K121" i="1" s="1"/>
  <c r="AR374" i="3"/>
  <c r="AR255" i="3" s="1"/>
  <c r="AR380" i="3"/>
  <c r="AR325" i="3" s="1"/>
  <c r="AP374" i="3"/>
  <c r="AP379" i="3" s="1"/>
  <c r="AP324" i="3" s="1"/>
  <c r="L114" i="1"/>
  <c r="L121" i="1" s="1"/>
  <c r="AP223" i="3"/>
  <c r="AT223" i="3"/>
  <c r="AT374" i="3"/>
  <c r="AT255" i="3" s="1"/>
  <c r="AQ374" i="3"/>
  <c r="AP256" i="3"/>
  <c r="J114" i="1"/>
  <c r="J121" i="1" s="1"/>
  <c r="AN231" i="3"/>
  <c r="AP307" i="3"/>
  <c r="AP312" i="3"/>
  <c r="L46" i="1"/>
  <c r="L29" i="1" s="1"/>
  <c r="AL374" i="3"/>
  <c r="AL379" i="3" s="1"/>
  <c r="AL324" i="3" s="1"/>
  <c r="AP380" i="3"/>
  <c r="AP325" i="3" s="1"/>
  <c r="AO308" i="3"/>
  <c r="K46" i="1" s="1"/>
  <c r="K29" i="1" s="1"/>
  <c r="AO380" i="3"/>
  <c r="AO325" i="3" s="1"/>
  <c r="AL308" i="3"/>
  <c r="AL312" i="3" s="1"/>
  <c r="AT243" i="3"/>
  <c r="AT237" i="3"/>
  <c r="AT234" i="3"/>
  <c r="AM223" i="3"/>
  <c r="I114" i="1"/>
  <c r="I121" i="1" s="1"/>
  <c r="AM231" i="3"/>
  <c r="K115" i="1"/>
  <c r="K122" i="1" s="1"/>
  <c r="AO237" i="3"/>
  <c r="AO234" i="3"/>
  <c r="AO243" i="3"/>
  <c r="AM256" i="3"/>
  <c r="AN380" i="3"/>
  <c r="AN325" i="3" s="1"/>
  <c r="AM356" i="3"/>
  <c r="AM308" i="3" s="1"/>
  <c r="AM374" i="3"/>
  <c r="AM255" i="3" s="1"/>
  <c r="AL256" i="3"/>
  <c r="AM380" i="3"/>
  <c r="AM325" i="3" s="1"/>
  <c r="AK231" i="3"/>
  <c r="AK223" i="3"/>
  <c r="G114" i="1"/>
  <c r="G121" i="1" s="1"/>
  <c r="AQ237" i="3"/>
  <c r="AQ234" i="3"/>
  <c r="M115" i="1"/>
  <c r="M122" i="1" s="1"/>
  <c r="AQ243" i="3"/>
  <c r="AS374" i="3"/>
  <c r="AS356" i="3"/>
  <c r="AL243" i="3"/>
  <c r="AL234" i="3"/>
  <c r="H115" i="1"/>
  <c r="H122" i="1" s="1"/>
  <c r="AK312" i="3"/>
  <c r="G46" i="1"/>
  <c r="AK307" i="3"/>
  <c r="AK380" i="3"/>
  <c r="AK325" i="3" s="1"/>
  <c r="AK323" i="3" s="1"/>
  <c r="AL380" i="3"/>
  <c r="AL325" i="3" s="1"/>
  <c r="AK256" i="3"/>
  <c r="AP237" i="3"/>
  <c r="AP234" i="3"/>
  <c r="L115" i="1"/>
  <c r="L122" i="1" s="1"/>
  <c r="AP243" i="3"/>
  <c r="AT380" i="3"/>
  <c r="AT325" i="3" s="1"/>
  <c r="AS256" i="3"/>
  <c r="AS380" i="3"/>
  <c r="AS325" i="3" s="1"/>
  <c r="AN255" i="3"/>
  <c r="AO379" i="3"/>
  <c r="AO324" i="3" s="1"/>
  <c r="AS231" i="3"/>
  <c r="AU222" i="3"/>
  <c r="O114" i="1"/>
  <c r="O121" i="1" s="1"/>
  <c r="AS223" i="3"/>
  <c r="AN307" i="3"/>
  <c r="AN312" i="3"/>
  <c r="J46" i="1"/>
  <c r="N115" i="1" l="1"/>
  <c r="N122" i="1" s="1"/>
  <c r="AN243" i="3"/>
  <c r="J116" i="1" s="1"/>
  <c r="J123" i="1" s="1"/>
  <c r="AR237" i="3"/>
  <c r="AR243" i="3"/>
  <c r="AR427" i="3" s="1"/>
  <c r="AR234" i="3"/>
  <c r="AR379" i="3"/>
  <c r="AR324" i="3" s="1"/>
  <c r="AR323" i="3" s="1"/>
  <c r="AP255" i="3"/>
  <c r="AQ379" i="3"/>
  <c r="AQ324" i="3" s="1"/>
  <c r="AQ323" i="3" s="1"/>
  <c r="AQ385" i="3" s="1"/>
  <c r="AQ255" i="3"/>
  <c r="AN237" i="3"/>
  <c r="J115" i="1"/>
  <c r="J122" i="1" s="1"/>
  <c r="AN234" i="3"/>
  <c r="AP323" i="3"/>
  <c r="AP385" i="3" s="1"/>
  <c r="AL255" i="3"/>
  <c r="AP338" i="3"/>
  <c r="AR313" i="3" a="1"/>
  <c r="AR313" i="3" s="1"/>
  <c r="AO323" i="3"/>
  <c r="AO385" i="3" s="1"/>
  <c r="AO388" i="3" s="1"/>
  <c r="AL307" i="3"/>
  <c r="AN379" i="3"/>
  <c r="AN324" i="3" s="1"/>
  <c r="AN323" i="3" s="1"/>
  <c r="H46" i="1"/>
  <c r="H29" i="1" s="1"/>
  <c r="AO307" i="3"/>
  <c r="AO312" i="3"/>
  <c r="AO338" i="3" s="1"/>
  <c r="AM379" i="3"/>
  <c r="AM324" i="3" s="1"/>
  <c r="AM323" i="3" s="1"/>
  <c r="AM234" i="3"/>
  <c r="AM243" i="3"/>
  <c r="AM237" i="3"/>
  <c r="I115" i="1"/>
  <c r="I122" i="1" s="1"/>
  <c r="AM307" i="3"/>
  <c r="I46" i="1"/>
  <c r="AM312" i="3"/>
  <c r="AO427" i="3"/>
  <c r="K116" i="1"/>
  <c r="K123" i="1" s="1"/>
  <c r="AO244" i="3"/>
  <c r="AT427" i="3"/>
  <c r="AT244" i="3"/>
  <c r="AT379" i="3"/>
  <c r="AT324" i="3" s="1"/>
  <c r="AT323" i="3" s="1"/>
  <c r="AT385" i="3" s="1"/>
  <c r="AS255" i="3"/>
  <c r="AS379" i="3"/>
  <c r="AS324" i="3" s="1"/>
  <c r="AS323" i="3" s="1"/>
  <c r="AL323" i="3"/>
  <c r="AL385" i="3" s="1"/>
  <c r="AK243" i="3"/>
  <c r="AK234" i="3"/>
  <c r="G115" i="1"/>
  <c r="G122" i="1" s="1"/>
  <c r="AQ244" i="3"/>
  <c r="M116" i="1"/>
  <c r="M123" i="1" s="1"/>
  <c r="AQ427" i="3"/>
  <c r="AL427" i="3"/>
  <c r="H116" i="1"/>
  <c r="H123" i="1" s="1"/>
  <c r="AL244" i="3"/>
  <c r="AP313" i="3" a="1"/>
  <c r="AP313" i="3" s="1"/>
  <c r="AN338" i="3"/>
  <c r="G49" i="1"/>
  <c r="G29" i="1"/>
  <c r="G50" i="1"/>
  <c r="AK314" i="3"/>
  <c r="AK338" i="3"/>
  <c r="AK337" i="3" s="1"/>
  <c r="AM313" i="3" a="1"/>
  <c r="AM313" i="3" s="1"/>
  <c r="J50" i="1"/>
  <c r="J29" i="1"/>
  <c r="J49" i="1"/>
  <c r="AS237" i="3"/>
  <c r="AU231" i="3"/>
  <c r="O115" i="1"/>
  <c r="O122" i="1" s="1"/>
  <c r="AS234" i="3"/>
  <c r="AS243" i="3"/>
  <c r="L116" i="1"/>
  <c r="L123" i="1" s="1"/>
  <c r="AP244" i="3"/>
  <c r="AP427" i="3"/>
  <c r="AN313" i="3" a="1"/>
  <c r="AN313" i="3" s="1"/>
  <c r="AL338" i="3"/>
  <c r="AL337" i="3" s="1"/>
  <c r="AN244" i="3" l="1"/>
  <c r="AN427" i="3"/>
  <c r="I269" i="1" s="1"/>
  <c r="AR244" i="3"/>
  <c r="N116" i="1"/>
  <c r="N123" i="1" s="1"/>
  <c r="AR385" i="3"/>
  <c r="AU385" i="3" s="1"/>
  <c r="AU388" i="3" s="1"/>
  <c r="AN385" i="3"/>
  <c r="AN388" i="3" s="1"/>
  <c r="H50" i="1"/>
  <c r="H49" i="1"/>
  <c r="AR339" i="3"/>
  <c r="AR337" i="3" s="1"/>
  <c r="AQ313" i="3" a="1"/>
  <c r="AQ313" i="3" s="1"/>
  <c r="AM385" i="3"/>
  <c r="AM388" i="3" s="1"/>
  <c r="AO313" i="3" a="1"/>
  <c r="AO313" i="3" s="1"/>
  <c r="AM338" i="3"/>
  <c r="AT430" i="3"/>
  <c r="O281" i="1"/>
  <c r="O269" i="1"/>
  <c r="I50" i="1"/>
  <c r="I29" i="1"/>
  <c r="I49" i="1"/>
  <c r="AO430" i="3"/>
  <c r="J269" i="1"/>
  <c r="J281" i="1"/>
  <c r="AM244" i="3"/>
  <c r="AM427" i="3"/>
  <c r="I116" i="1"/>
  <c r="I123" i="1" s="1"/>
  <c r="AL388" i="3"/>
  <c r="AP388" i="3"/>
  <c r="AU234" i="3"/>
  <c r="AS385" i="3"/>
  <c r="AP339" i="3"/>
  <c r="AP337" i="3" s="1"/>
  <c r="AU243" i="3"/>
  <c r="AU244" i="3" s="1"/>
  <c r="AS427" i="3"/>
  <c r="AS244" i="3"/>
  <c r="O116" i="1"/>
  <c r="O123" i="1" s="1"/>
  <c r="K269" i="1"/>
  <c r="AP430" i="3"/>
  <c r="K281" i="1"/>
  <c r="M281" i="1"/>
  <c r="AR430" i="3"/>
  <c r="M269" i="1"/>
  <c r="AQ388" i="3"/>
  <c r="AQ430" i="3"/>
  <c r="L281" i="1"/>
  <c r="L269" i="1"/>
  <c r="AK398" i="3"/>
  <c r="AK316" i="3"/>
  <c r="AK266" i="3"/>
  <c r="AL311" i="3"/>
  <c r="AL314" i="3" s="1"/>
  <c r="AK305" i="3"/>
  <c r="AM339" i="3"/>
  <c r="AK385" i="3"/>
  <c r="AN339" i="3"/>
  <c r="AN337" i="3" s="1"/>
  <c r="G281" i="1"/>
  <c r="AL430" i="3"/>
  <c r="G269" i="1"/>
  <c r="AK244" i="3"/>
  <c r="AK427" i="3"/>
  <c r="G116" i="1"/>
  <c r="G123" i="1" s="1"/>
  <c r="AT388" i="3"/>
  <c r="AN430" i="3" l="1"/>
  <c r="I281" i="1"/>
  <c r="D416" i="3"/>
  <c r="AR388" i="3"/>
  <c r="AQ339" i="3"/>
  <c r="AQ337" i="3" s="1"/>
  <c r="AM337" i="3"/>
  <c r="AO339" i="3"/>
  <c r="AO337" i="3" s="1"/>
  <c r="H281" i="1"/>
  <c r="AM430" i="3"/>
  <c r="H269" i="1"/>
  <c r="AK386" i="3"/>
  <c r="AK388" i="3"/>
  <c r="AM311" i="3"/>
  <c r="AM314" i="3" s="1"/>
  <c r="AL398" i="3"/>
  <c r="AL316" i="3"/>
  <c r="AL266" i="3"/>
  <c r="AL305" i="3"/>
  <c r="N281" i="1"/>
  <c r="AS430" i="3"/>
  <c r="N269" i="1"/>
  <c r="AK268" i="3"/>
  <c r="G130" i="1"/>
  <c r="G138" i="1" s="1"/>
  <c r="AK433" i="3"/>
  <c r="AK235" i="3"/>
  <c r="F281" i="1"/>
  <c r="AK430" i="3"/>
  <c r="F269" i="1"/>
  <c r="AS388" i="3"/>
  <c r="G129" i="1" l="1"/>
  <c r="G137" i="1" s="1"/>
  <c r="AN311" i="3"/>
  <c r="AN314" i="3" s="1"/>
  <c r="AM398" i="3"/>
  <c r="AM316" i="3"/>
  <c r="AM266" i="3"/>
  <c r="AM305" i="3"/>
  <c r="AK236" i="3"/>
  <c r="AL22" i="3"/>
  <c r="E146" i="1"/>
  <c r="D415" i="3"/>
  <c r="AL19" i="3" s="1"/>
  <c r="AK389" i="3"/>
  <c r="AL235" i="3"/>
  <c r="AL386" i="3"/>
  <c r="AM386" i="3" s="1"/>
  <c r="AN386" i="3" s="1"/>
  <c r="AO386" i="3" s="1"/>
  <c r="AP386" i="3" s="1"/>
  <c r="AQ386" i="3" s="1"/>
  <c r="AR386" i="3" s="1"/>
  <c r="AS386" i="3" s="1"/>
  <c r="AT386" i="3" s="1"/>
  <c r="AL433" i="3"/>
  <c r="AL268" i="3"/>
  <c r="H130" i="1"/>
  <c r="H138" i="1" s="1"/>
  <c r="D417" i="3" l="1" a="1"/>
  <c r="D417" i="3" s="1"/>
  <c r="E147" i="1" s="1"/>
  <c r="AK238" i="3"/>
  <c r="AK281" i="3" s="1"/>
  <c r="AO311" i="3"/>
  <c r="AO314" i="3" s="1"/>
  <c r="AN398" i="3"/>
  <c r="AN316" i="3"/>
  <c r="AN266" i="3"/>
  <c r="AN305" i="3"/>
  <c r="AL389" i="3"/>
  <c r="AL236" i="3"/>
  <c r="E145" i="1"/>
  <c r="D193" i="1"/>
  <c r="AM235" i="3"/>
  <c r="AM433" i="3"/>
  <c r="AM268" i="3"/>
  <c r="I130" i="1"/>
  <c r="I138" i="1" s="1"/>
  <c r="H129" i="1"/>
  <c r="H137" i="1" s="1"/>
  <c r="AM389" i="3" l="1"/>
  <c r="AL421" i="3"/>
  <c r="AL23" i="3"/>
  <c r="AN235" i="3"/>
  <c r="AN433" i="3"/>
  <c r="J130" i="1"/>
  <c r="J138" i="1" s="1"/>
  <c r="AN268" i="3"/>
  <c r="AM236" i="3"/>
  <c r="AL238" i="3"/>
  <c r="AP311" i="3"/>
  <c r="AP314" i="3" s="1"/>
  <c r="AO398" i="3"/>
  <c r="AO305" i="3"/>
  <c r="AO316" i="3"/>
  <c r="AO266" i="3"/>
  <c r="I129" i="1"/>
  <c r="I137" i="1" s="1"/>
  <c r="AK246" i="3"/>
  <c r="AK240" i="3"/>
  <c r="AL240" i="3" l="1"/>
  <c r="AL241" i="3" s="1"/>
  <c r="AL281" i="3"/>
  <c r="AN389" i="3"/>
  <c r="AM421" i="3"/>
  <c r="AL246" i="3"/>
  <c r="J129" i="1"/>
  <c r="J137" i="1" s="1"/>
  <c r="AO268" i="3"/>
  <c r="K130" i="1"/>
  <c r="K138" i="1" s="1"/>
  <c r="AO433" i="3"/>
  <c r="AM238" i="3"/>
  <c r="AM281" i="3" s="1"/>
  <c r="AO235" i="3"/>
  <c r="AN236" i="3"/>
  <c r="AK241" i="3"/>
  <c r="AK320" i="3"/>
  <c r="G117" i="1"/>
  <c r="G124" i="1" s="1"/>
  <c r="AK272" i="3"/>
  <c r="AP305" i="3"/>
  <c r="AQ311" i="3"/>
  <c r="AQ314" i="3" s="1"/>
  <c r="AP398" i="3"/>
  <c r="AP266" i="3"/>
  <c r="AP316" i="3"/>
  <c r="AL272" i="3" l="1"/>
  <c r="H117" i="1"/>
  <c r="H124" i="1" s="1"/>
  <c r="AL320" i="3"/>
  <c r="AK302" i="3"/>
  <c r="AN421" i="3"/>
  <c r="AO389" i="3"/>
  <c r="K129" i="1"/>
  <c r="K137" i="1" s="1"/>
  <c r="AO236" i="3"/>
  <c r="AN238" i="3"/>
  <c r="AM246" i="3"/>
  <c r="AP268" i="3"/>
  <c r="L130" i="1"/>
  <c r="L138" i="1" s="1"/>
  <c r="AP433" i="3"/>
  <c r="AL273" i="3"/>
  <c r="AK274" i="3"/>
  <c r="AQ266" i="3"/>
  <c r="AQ305" i="3"/>
  <c r="AQ316" i="3"/>
  <c r="AR311" i="3"/>
  <c r="AR314" i="3" s="1"/>
  <c r="AQ398" i="3"/>
  <c r="AK327" i="3"/>
  <c r="AP235" i="3"/>
  <c r="AM240" i="3"/>
  <c r="AM273" i="3" l="1"/>
  <c r="AL327" i="3"/>
  <c r="AL351" i="3" s="1"/>
  <c r="AN240" i="3"/>
  <c r="AN320" i="3" s="1"/>
  <c r="AN281" i="3"/>
  <c r="AK344" i="3"/>
  <c r="AK347" i="3" s="1"/>
  <c r="AK348" i="3" s="1"/>
  <c r="AP389" i="3"/>
  <c r="AO421" i="3"/>
  <c r="AL274" i="3"/>
  <c r="AL275" i="3" s="1"/>
  <c r="M130" i="1"/>
  <c r="M138" i="1" s="1"/>
  <c r="AQ268" i="3"/>
  <c r="AQ433" i="3"/>
  <c r="G132" i="1"/>
  <c r="G140" i="1" s="1"/>
  <c r="AK275" i="3"/>
  <c r="AM272" i="3"/>
  <c r="I117" i="1"/>
  <c r="I124" i="1" s="1"/>
  <c r="AM241" i="3"/>
  <c r="AM320" i="3"/>
  <c r="AK351" i="3"/>
  <c r="AM302" i="3"/>
  <c r="AN246" i="3"/>
  <c r="AP236" i="3"/>
  <c r="AQ235" i="3"/>
  <c r="L129" i="1"/>
  <c r="L137" i="1" s="1"/>
  <c r="AR316" i="3"/>
  <c r="AR266" i="3"/>
  <c r="AR305" i="3"/>
  <c r="AR398" i="3"/>
  <c r="AS311" i="3"/>
  <c r="AS314" i="3" s="1"/>
  <c r="AO238" i="3"/>
  <c r="AN241" i="3" l="1"/>
  <c r="AN272" i="3"/>
  <c r="J117" i="1"/>
  <c r="J124" i="1" s="1"/>
  <c r="AO240" i="3"/>
  <c r="AO320" i="3" s="1"/>
  <c r="AO281" i="3"/>
  <c r="AL302" i="3"/>
  <c r="AN302" i="3"/>
  <c r="AL344" i="3"/>
  <c r="AL347" i="3" s="1"/>
  <c r="H132" i="1"/>
  <c r="H140" i="1" s="1"/>
  <c r="AP421" i="3"/>
  <c r="AQ389" i="3"/>
  <c r="AP238" i="3"/>
  <c r="AS398" i="3"/>
  <c r="AS316" i="3"/>
  <c r="AS266" i="3"/>
  <c r="AS305" i="3"/>
  <c r="AT311" i="3"/>
  <c r="AT314" i="3" s="1"/>
  <c r="AQ236" i="3"/>
  <c r="D205" i="1"/>
  <c r="AL346" i="3"/>
  <c r="AK399" i="3"/>
  <c r="AK401" i="3" s="1"/>
  <c r="AK404" i="3" s="1"/>
  <c r="AK253" i="3"/>
  <c r="D244" i="1"/>
  <c r="AK431" i="3"/>
  <c r="AR235" i="3"/>
  <c r="AM327" i="3"/>
  <c r="AO246" i="3"/>
  <c r="AR268" i="3"/>
  <c r="N130" i="1"/>
  <c r="N138" i="1" s="1"/>
  <c r="AR433" i="3"/>
  <c r="M129" i="1"/>
  <c r="M137" i="1" s="1"/>
  <c r="AN327" i="3"/>
  <c r="AN273" i="3"/>
  <c r="AM274" i="3"/>
  <c r="AN274" i="3" l="1"/>
  <c r="J132" i="1" s="1"/>
  <c r="AO241" i="3"/>
  <c r="K117" i="1"/>
  <c r="K124" i="1" s="1"/>
  <c r="AO272" i="3"/>
  <c r="AP240" i="3"/>
  <c r="L117" i="1" s="1"/>
  <c r="L124" i="1" s="1"/>
  <c r="AP281" i="3"/>
  <c r="AL348" i="3"/>
  <c r="D256" i="1" s="1"/>
  <c r="AQ421" i="3"/>
  <c r="AR389" i="3"/>
  <c r="AO273" i="3"/>
  <c r="AK261" i="3"/>
  <c r="D404" i="3"/>
  <c r="E404" i="3"/>
  <c r="AO327" i="3"/>
  <c r="AM344" i="3"/>
  <c r="AM347" i="3" s="1"/>
  <c r="AQ238" i="3"/>
  <c r="AQ281" i="3" s="1"/>
  <c r="AP246" i="3"/>
  <c r="N129" i="1"/>
  <c r="N137" i="1" s="1"/>
  <c r="AT398" i="3"/>
  <c r="AT316" i="3"/>
  <c r="AT266" i="3"/>
  <c r="AT305" i="3"/>
  <c r="AT235" i="3" s="1"/>
  <c r="AT236" i="3" s="1"/>
  <c r="AM351" i="3"/>
  <c r="I132" i="1"/>
  <c r="I140" i="1" s="1"/>
  <c r="AM275" i="3"/>
  <c r="AO302" i="3"/>
  <c r="F271" i="1"/>
  <c r="F283" i="1"/>
  <c r="AK434" i="3"/>
  <c r="AS235" i="3"/>
  <c r="AN351" i="3"/>
  <c r="AR236" i="3"/>
  <c r="AS268" i="3"/>
  <c r="O130" i="1"/>
  <c r="O138" i="1" s="1"/>
  <c r="AS433" i="3"/>
  <c r="AN275" i="3" l="1"/>
  <c r="AP241" i="3"/>
  <c r="AP320" i="3"/>
  <c r="AO274" i="3"/>
  <c r="K132" i="1" s="1"/>
  <c r="K140" i="1" s="1"/>
  <c r="AP272" i="3"/>
  <c r="AL253" i="3"/>
  <c r="AL399" i="3"/>
  <c r="AL401" i="3" s="1"/>
  <c r="AL405" i="3" s="1"/>
  <c r="D405" i="3" s="1"/>
  <c r="AM346" i="3"/>
  <c r="AM348" i="3" s="1"/>
  <c r="D217" i="1"/>
  <c r="AL431" i="3"/>
  <c r="AL434" i="3" s="1"/>
  <c r="AP273" i="3"/>
  <c r="AS389" i="3"/>
  <c r="AR421" i="3"/>
  <c r="AQ246" i="3"/>
  <c r="AT238" i="3"/>
  <c r="AT281" i="3" s="1"/>
  <c r="AT268" i="3"/>
  <c r="AT433" i="3"/>
  <c r="AN344" i="3"/>
  <c r="AN347" i="3" s="1"/>
  <c r="G127" i="1"/>
  <c r="G135" i="1" s="1"/>
  <c r="AK277" i="3"/>
  <c r="O129" i="1"/>
  <c r="O137" i="1" s="1"/>
  <c r="AP302" i="3"/>
  <c r="AR238" i="3"/>
  <c r="AR281" i="3" s="1"/>
  <c r="AS236" i="3"/>
  <c r="J140" i="1"/>
  <c r="AK437" i="3"/>
  <c r="F272" i="1"/>
  <c r="F284" i="1"/>
  <c r="AQ240" i="3"/>
  <c r="AO351" i="3"/>
  <c r="AP327" i="3" l="1"/>
  <c r="AP351" i="3" s="1"/>
  <c r="AQ273" i="3"/>
  <c r="AO275" i="3"/>
  <c r="E405" i="3"/>
  <c r="AL261" i="3"/>
  <c r="AL277" i="3" s="1"/>
  <c r="G271" i="1"/>
  <c r="G283" i="1"/>
  <c r="AP274" i="3"/>
  <c r="L132" i="1" s="1"/>
  <c r="L140" i="1" s="1"/>
  <c r="AT389" i="3"/>
  <c r="AS421" i="3"/>
  <c r="AT246" i="3"/>
  <c r="AS238" i="3"/>
  <c r="AS281" i="3" s="1"/>
  <c r="AU236" i="3"/>
  <c r="G272" i="1"/>
  <c r="AL437" i="3"/>
  <c r="G284" i="1"/>
  <c r="AT240" i="3"/>
  <c r="AO344" i="3"/>
  <c r="AO347" i="3" s="1"/>
  <c r="AR246" i="3"/>
  <c r="F273" i="1"/>
  <c r="F285" i="1"/>
  <c r="AK439" i="3"/>
  <c r="AR240" i="3"/>
  <c r="AQ241" i="3"/>
  <c r="AQ320" i="3"/>
  <c r="M117" i="1"/>
  <c r="M124" i="1" s="1"/>
  <c r="AQ272" i="3"/>
  <c r="D229" i="1"/>
  <c r="AN346" i="3"/>
  <c r="AN348" i="3" s="1"/>
  <c r="AM399" i="3"/>
  <c r="AM401" i="3" s="1"/>
  <c r="AM406" i="3" s="1"/>
  <c r="AM253" i="3"/>
  <c r="AM431" i="3"/>
  <c r="AQ302" i="3"/>
  <c r="AR302" i="3" l="1"/>
  <c r="H127" i="1"/>
  <c r="H135" i="1" s="1"/>
  <c r="AP275" i="3"/>
  <c r="AT421" i="3"/>
  <c r="D418" i="3" a="1"/>
  <c r="D418" i="3" s="1"/>
  <c r="AL24" i="3" s="1"/>
  <c r="AQ327" i="3"/>
  <c r="H271" i="1"/>
  <c r="H283" i="1"/>
  <c r="AM434" i="3"/>
  <c r="G285" i="1"/>
  <c r="G273" i="1"/>
  <c r="AL439" i="3"/>
  <c r="AT302" i="3"/>
  <c r="AM261" i="3"/>
  <c r="AR320" i="3"/>
  <c r="N117" i="1"/>
  <c r="N124" i="1" s="1"/>
  <c r="AR241" i="3"/>
  <c r="AR272" i="3"/>
  <c r="AT320" i="3"/>
  <c r="AT327" i="3" s="1"/>
  <c r="AT241" i="3"/>
  <c r="AT272" i="3"/>
  <c r="D406" i="3"/>
  <c r="E406" i="3"/>
  <c r="F274" i="1"/>
  <c r="AK440" i="3"/>
  <c r="AU238" i="3"/>
  <c r="AS246" i="3"/>
  <c r="AP344" i="3"/>
  <c r="AP347" i="3" s="1"/>
  <c r="AN431" i="3"/>
  <c r="AO346" i="3"/>
  <c r="AO348" i="3" s="1"/>
  <c r="AN399" i="3"/>
  <c r="AN401" i="3" s="1"/>
  <c r="AN407" i="3" s="1"/>
  <c r="AN253" i="3"/>
  <c r="AS240" i="3"/>
  <c r="AQ274" i="3"/>
  <c r="AR273" i="3"/>
  <c r="AS302" i="3" l="1"/>
  <c r="E148" i="1"/>
  <c r="H272" i="1"/>
  <c r="AM437" i="3"/>
  <c r="H284" i="1"/>
  <c r="AT351" i="3"/>
  <c r="AQ344" i="3"/>
  <c r="AQ347" i="3" s="1"/>
  <c r="AQ351" i="3"/>
  <c r="AU240" i="3"/>
  <c r="AU241" i="3" s="1"/>
  <c r="AS320" i="3"/>
  <c r="O117" i="1"/>
  <c r="O124" i="1" s="1"/>
  <c r="AS241" i="3"/>
  <c r="AS272" i="3"/>
  <c r="AR274" i="3"/>
  <c r="AS273" i="3"/>
  <c r="I127" i="1"/>
  <c r="I135" i="1" s="1"/>
  <c r="AM277" i="3"/>
  <c r="AL440" i="3"/>
  <c r="G274" i="1"/>
  <c r="AN261" i="3"/>
  <c r="E407" i="3"/>
  <c r="D407" i="3"/>
  <c r="F286" i="1"/>
  <c r="F275" i="1"/>
  <c r="AO431" i="3"/>
  <c r="AP346" i="3"/>
  <c r="AP348" i="3" s="1"/>
  <c r="AO399" i="3"/>
  <c r="AO401" i="3" s="1"/>
  <c r="AO408" i="3" s="1"/>
  <c r="AO253" i="3"/>
  <c r="M132" i="1"/>
  <c r="M140" i="1" s="1"/>
  <c r="AQ275" i="3"/>
  <c r="I271" i="1"/>
  <c r="I283" i="1"/>
  <c r="AN434" i="3"/>
  <c r="AR327" i="3"/>
  <c r="G275" i="1" l="1"/>
  <c r="G286" i="1"/>
  <c r="AT273" i="3"/>
  <c r="AT274" i="3" s="1"/>
  <c r="AT275" i="3" s="1"/>
  <c r="AS274" i="3"/>
  <c r="AS327" i="3"/>
  <c r="H285" i="1"/>
  <c r="H273" i="1"/>
  <c r="AM439" i="3"/>
  <c r="AO261" i="3"/>
  <c r="D408" i="3"/>
  <c r="E408" i="3"/>
  <c r="AN277" i="3"/>
  <c r="J127" i="1"/>
  <c r="J135" i="1" s="1"/>
  <c r="N132" i="1"/>
  <c r="N140" i="1" s="1"/>
  <c r="AR275" i="3"/>
  <c r="AP253" i="3"/>
  <c r="AP431" i="3"/>
  <c r="AP399" i="3"/>
  <c r="AP401" i="3" s="1"/>
  <c r="AP409" i="3" s="1"/>
  <c r="AQ346" i="3"/>
  <c r="AQ348" i="3" s="1"/>
  <c r="AR351" i="3"/>
  <c r="AR344" i="3"/>
  <c r="AR347" i="3" s="1"/>
  <c r="AT344" i="3"/>
  <c r="AT347" i="3" s="1"/>
  <c r="I284" i="1"/>
  <c r="I272" i="1"/>
  <c r="AN437" i="3"/>
  <c r="J283" i="1"/>
  <c r="J271" i="1"/>
  <c r="AO434" i="3"/>
  <c r="J284" i="1" l="1"/>
  <c r="J272" i="1"/>
  <c r="AO437" i="3"/>
  <c r="AQ399" i="3"/>
  <c r="AQ401" i="3" s="1"/>
  <c r="AQ410" i="3" s="1"/>
  <c r="AQ253" i="3"/>
  <c r="AQ431" i="3"/>
  <c r="AR346" i="3"/>
  <c r="AR348" i="3" s="1"/>
  <c r="AS351" i="3"/>
  <c r="AS344" i="3"/>
  <c r="AS347" i="3" s="1"/>
  <c r="D409" i="3"/>
  <c r="E409" i="3"/>
  <c r="K283" i="1"/>
  <c r="K271" i="1"/>
  <c r="AP434" i="3"/>
  <c r="AO277" i="3"/>
  <c r="K127" i="1"/>
  <c r="K135" i="1" s="1"/>
  <c r="O132" i="1"/>
  <c r="O140" i="1" s="1"/>
  <c r="AS275" i="3"/>
  <c r="AP261" i="3"/>
  <c r="I285" i="1"/>
  <c r="AN439" i="3"/>
  <c r="I273" i="1"/>
  <c r="AM440" i="3"/>
  <c r="H274" i="1"/>
  <c r="AQ261" i="3" l="1"/>
  <c r="D410" i="3"/>
  <c r="E410" i="3"/>
  <c r="L283" i="1"/>
  <c r="L271" i="1"/>
  <c r="AQ434" i="3"/>
  <c r="I274" i="1"/>
  <c r="AN440" i="3"/>
  <c r="K284" i="1"/>
  <c r="AP437" i="3"/>
  <c r="K272" i="1"/>
  <c r="AO439" i="3"/>
  <c r="J285" i="1"/>
  <c r="J273" i="1"/>
  <c r="AP277" i="3"/>
  <c r="L127" i="1"/>
  <c r="L135" i="1" s="1"/>
  <c r="H275" i="1"/>
  <c r="H286" i="1"/>
  <c r="AS346" i="3"/>
  <c r="AS348" i="3" s="1"/>
  <c r="AR399" i="3"/>
  <c r="AR401" i="3" s="1"/>
  <c r="AR411" i="3" s="1"/>
  <c r="AR253" i="3"/>
  <c r="AR431" i="3"/>
  <c r="AT346" i="3" l="1"/>
  <c r="AT348" i="3" s="1"/>
  <c r="AS399" i="3"/>
  <c r="AS401" i="3" s="1"/>
  <c r="AS412" i="3" s="1"/>
  <c r="AS253" i="3"/>
  <c r="AS431" i="3"/>
  <c r="J274" i="1"/>
  <c r="AO440" i="3"/>
  <c r="K273" i="1"/>
  <c r="AP439" i="3"/>
  <c r="K285" i="1"/>
  <c r="I275" i="1"/>
  <c r="I286" i="1"/>
  <c r="D411" i="3"/>
  <c r="E411" i="3"/>
  <c r="AU411" i="3"/>
  <c r="AW411" i="3" s="1"/>
  <c r="M127" i="1"/>
  <c r="M135" i="1" s="1"/>
  <c r="AQ277" i="3"/>
  <c r="M283" i="1"/>
  <c r="M271" i="1"/>
  <c r="AR434" i="3"/>
  <c r="AR261" i="3"/>
  <c r="AQ437" i="3"/>
  <c r="L272" i="1"/>
  <c r="L284" i="1"/>
  <c r="K274" i="1" l="1"/>
  <c r="AP440" i="3"/>
  <c r="J275" i="1"/>
  <c r="J286" i="1"/>
  <c r="N271" i="1"/>
  <c r="N283" i="1"/>
  <c r="AS434" i="3"/>
  <c r="M272" i="1"/>
  <c r="AR437" i="3"/>
  <c r="M284" i="1"/>
  <c r="AS261" i="3"/>
  <c r="N127" i="1"/>
  <c r="N135" i="1" s="1"/>
  <c r="AR277" i="3"/>
  <c r="D412" i="3"/>
  <c r="E412" i="3"/>
  <c r="L273" i="1"/>
  <c r="AQ439" i="3"/>
  <c r="L285" i="1"/>
  <c r="AT399" i="3"/>
  <c r="AT401" i="3" s="1"/>
  <c r="AT253" i="3"/>
  <c r="AT261" i="3" s="1"/>
  <c r="AT277" i="3" s="1"/>
  <c r="AT431" i="3"/>
  <c r="N272" i="1" l="1"/>
  <c r="AS437" i="3"/>
  <c r="N284" i="1"/>
  <c r="O271" i="1"/>
  <c r="O283" i="1"/>
  <c r="AT434" i="3"/>
  <c r="L274" i="1"/>
  <c r="AQ440" i="3"/>
  <c r="O127" i="1"/>
  <c r="O135" i="1" s="1"/>
  <c r="AS277" i="3"/>
  <c r="M273" i="1"/>
  <c r="AR439" i="3"/>
  <c r="M285" i="1"/>
  <c r="K275" i="1"/>
  <c r="K286" i="1"/>
  <c r="O272" i="1" l="1"/>
  <c r="AT437" i="3"/>
  <c r="O284" i="1"/>
  <c r="M274" i="1"/>
  <c r="AR440" i="3"/>
  <c r="N285" i="1"/>
  <c r="N273" i="1"/>
  <c r="AS439" i="3"/>
  <c r="L275" i="1"/>
  <c r="L286" i="1"/>
  <c r="N274" i="1" l="1"/>
  <c r="AS440" i="3"/>
  <c r="O285" i="1"/>
  <c r="O273" i="1"/>
  <c r="AT439" i="3"/>
  <c r="M286" i="1"/>
  <c r="M275" i="1"/>
  <c r="N286" i="1" l="1"/>
  <c r="N275" i="1"/>
  <c r="AT440" i="3"/>
  <c r="O274" i="1"/>
  <c r="O275" i="1" l="1"/>
  <c r="O286" i="1"/>
  <c r="H27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Alikhan Aimagambetov</author>
  </authors>
  <commentList>
    <comment ref="F40" authorId="0" shapeId="0" xr:uid="{2E76EC30-6783-451B-AD8F-C19DEE8B0431}">
      <text>
        <r>
          <rPr>
            <b/>
            <sz val="9"/>
            <color indexed="81"/>
            <rFont val="Tahoma"/>
            <family val="2"/>
            <charset val="204"/>
          </rPr>
          <t>Тянется из блока гибких параметров F62</t>
        </r>
      </text>
    </comment>
    <comment ref="G40" authorId="0" shapeId="0" xr:uid="{21ABC497-D840-4F2B-9497-6FD1ABE329EE}">
      <text>
        <r>
          <rPr>
            <b/>
            <sz val="9"/>
            <color indexed="81"/>
            <rFont val="Tahoma"/>
            <family val="2"/>
            <charset val="204"/>
          </rPr>
          <t>Alikhan Aimagambetov:</t>
        </r>
        <r>
          <rPr>
            <sz val="9"/>
            <color indexed="81"/>
            <rFont val="Tahoma"/>
            <family val="2"/>
            <charset val="204"/>
          </rPr>
          <t xml:space="preserve">
2ой год</t>
        </r>
      </text>
    </comment>
    <comment ref="F42" authorId="0" shapeId="0" xr:uid="{99240D44-C7FA-4FD7-84B1-D29780CF350B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Тянется из блока гибких параметров F63</t>
        </r>
      </text>
    </comment>
    <comment ref="F62" authorId="0" shapeId="0" xr:uid="{5E2D82FC-0916-44C2-BA3C-793D02A28536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Основной драйвер модели. При изменении автоматически пересчитываются F40, F41 и все зависимые расчёты.</t>
        </r>
      </text>
    </comment>
    <comment ref="F63" authorId="0" shapeId="0" xr:uid="{17AC17EC-2183-46C9-986F-094ED001D5B2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Максимальная мощность репродуктора. CAPEX масштабируется от этого параметра.</t>
        </r>
      </text>
    </comment>
    <comment ref="F64" authorId="0" shapeId="0" xr:uid="{031650E1-4252-49D1-90F6-B200AC8427A6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Зимний = отёл через 18 мес. от старта (январь-февраль). Летний = отёл через 12 мес. (июль-август). Влияет на движение стада и расходы на корма.</t>
        </r>
      </text>
    </comment>
    <comment ref="F65" authorId="0" shapeId="0" xr:uid="{2D9548DB-CE2E-4FDA-801D-BC198F5750F8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Выбор влияет на стоимость м² для: ангар, изолятор, крытое помещение для ветобработки, зернохранилище. Цены из справочника на CAPEX.</t>
        </r>
      </text>
    </comment>
    <comment ref="F66" authorId="0" shapeId="0" xr:uid="{F48B4474-AD8F-4938-BEB4-3EA366EB2AAB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Выбор влияет на стоимость м² для: навес для техники, КПП, открытые загоны, кормовой стол.</t>
        </r>
      </text>
    </comment>
    <comment ref="F69" authorId="0" shapeId="0" xr:uid="{B6A5C2CF-CBF9-4EEF-834B-1E2D18164694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Код региона из Справочника. Влияет на пастбищную норму (га/гол).</t>
        </r>
      </text>
    </comment>
    <comment ref="F75" authorId="0" shapeId="0" xr:uid="{8E8A95ED-E89E-4DF3-8373-AE274DB51B45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Цена/м² из Справочника, блок Материалы. XLOOKUP по названию материала.</t>
        </r>
      </text>
    </comment>
    <comment ref="F76" authorId="0" shapeId="0" xr:uid="{52F00218-1F78-45B8-83CE-719167CADC28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Цена/м² из Справочника, блок Материалы.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Алихан Аймагамбетов</author>
    <author>Alikhan Aimagambetov</author>
  </authors>
  <commentList>
    <comment ref="G70" authorId="0" shapeId="0" xr:uid="{00000000-0006-0000-0200-000001000000}">
      <text>
        <r>
          <rPr>
            <sz val="10"/>
            <color rgb="FF000000"/>
            <rFont val="Calibri"/>
            <family val="2"/>
            <charset val="204"/>
            <scheme val="minor"/>
          </rPr>
          <t>Месяц отёла: Зимний=18 (январь Y2), Летний=12 (июль Y1). Управляется из Input!F64</t>
        </r>
      </text>
    </comment>
    <comment ref="F85" authorId="0" shapeId="0" xr:uid="{00000000-0006-0000-0200-000002000000}">
      <text>
        <r>
          <rPr>
            <sz val="10"/>
            <color rgb="FF000000"/>
            <rFont val="Calibri"/>
            <family val="2"/>
            <charset val="204"/>
            <scheme val="minor"/>
          </rPr>
          <t>======
ID#AAABu0rkscg
Алихан Аймагамбетов    (2025-06-10 13:50:16)
Переход в МП через 1 года (формирование ремонтного стада)</t>
        </r>
      </text>
    </comment>
    <comment ref="E136" authorId="0" shapeId="0" xr:uid="{CD58B5C1-34FE-47F9-B79C-F30A7AFBF1CF}">
      <text>
        <r>
          <rPr>
            <sz val="10"/>
            <color rgb="FF000000"/>
            <rFont val="Calibri"/>
            <family val="2"/>
            <charset val="204"/>
            <scheme val="minor"/>
          </rPr>
          <t>======
ID#AAABljuUMbE
Алихан Аймагамбетов    (2025-06-10 13:50:16)
Мощность - 1000 голов. 2 цикла по 6 месяцев = 1000*2=2000 голов в год</t>
        </r>
      </text>
    </comment>
    <comment ref="G146" authorId="0" shapeId="0" xr:uid="{EFE84D90-ACCD-497A-8963-01143F141FFC}">
      <text>
        <r>
          <rPr>
            <sz val="10"/>
            <color rgb="FF000000"/>
            <rFont val="Calibri"/>
            <family val="2"/>
            <charset val="204"/>
            <scheme val="minor"/>
          </rPr>
          <t>======
ID#AAABljuUMbI
tc={161FD98E-414A-41DC-93BC-191B845FF125}    (2025-06-10 13:50:16)
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Периодичность закупа</t>
        </r>
      </text>
    </comment>
    <comment ref="E152" authorId="1" shapeId="0" xr:uid="{2076C776-0A13-44C6-B42D-8CE0F90BE248}">
      <text>
        <r>
          <rPr>
            <b/>
            <sz val="9"/>
            <color indexed="81"/>
            <rFont val="Tahoma"/>
            <family val="2"/>
            <charset val="204"/>
          </rPr>
          <t>Алихан Аймагамбетов:</t>
        </r>
        <r>
          <rPr>
            <sz val="9"/>
            <color indexed="81"/>
            <rFont val="Tahoma"/>
            <family val="2"/>
            <charset val="204"/>
          </rPr>
          <t xml:space="preserve">
собственное поголовье</t>
        </r>
      </text>
    </comment>
    <comment ref="F152" authorId="1" shapeId="0" xr:uid="{EFB7910E-0ABA-4EB0-A983-AF5DFD504C2E}">
      <text>
        <r>
          <rPr>
            <b/>
            <sz val="9"/>
            <color indexed="81"/>
            <rFont val="Tahoma"/>
            <family val="2"/>
            <charset val="204"/>
          </rPr>
          <t>Алихан Аймагамбетов:</t>
        </r>
        <r>
          <rPr>
            <sz val="9"/>
            <color indexed="81"/>
            <rFont val="Tahoma"/>
            <family val="2"/>
            <charset val="204"/>
          </rPr>
          <t xml:space="preserve">
покупаемые бычки</t>
        </r>
      </text>
    </comment>
    <comment ref="G152" authorId="0" shapeId="0" xr:uid="{FA307213-206B-41CB-B55B-9A1FD151D1A8}">
      <text>
        <r>
          <rPr>
            <sz val="10"/>
            <color rgb="FF000000"/>
            <rFont val="Calibri"/>
            <family val="2"/>
            <charset val="204"/>
            <scheme val="minor"/>
          </rPr>
          <t>======
ID#AAABljuUMa8
tc={9AA730A2-A031-4D6B-8F8D-FD40BC005973}    (2025-06-10 13:50:16)
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Периодичность закупа</t>
        </r>
      </text>
    </comment>
    <comment ref="E177" authorId="2" shapeId="0" xr:uid="{6CBC72FF-3A23-4DC8-B7A9-A2C3CFF29F52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Зимний = бычки после откорма (331 кг, AI107). Летний = продажа как молодняк (203.5 кг, AI105).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E2KyvIjELUe5GpM3j/E+LDxnTA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Alikhan Aimagambetov</author>
  </authors>
  <commentList>
    <comment ref="C4" authorId="0" shapeId="0" xr:uid="{7E9C3D32-BC0E-435A-9659-4B51D7ADF00A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Флаг включения объекта в расчёт (1 = вкл, 0 = выкл). При летнем отёле часть объектов можно выключить.</t>
        </r>
      </text>
    </comment>
    <comment ref="D4" authorId="0" shapeId="0" xr:uid="{4B422CE2-D508-4D55-9DA5-72DE732C4626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Норма площади на 1 голову или фиксированная площадь</t>
        </r>
      </text>
    </comment>
    <comment ref="E4" authorId="0" shapeId="0" xr:uid="{A13980A3-7ECB-4F5A-B06A-C0640C4A5537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Расчётная площадь = Норма × Мощность или фикс. площадь</t>
        </r>
      </text>
    </comment>
    <comment ref="D5" authorId="0" shapeId="0" xr:uid="{B754BB4F-0B96-4B80-ADAE-0938CFA05027}">
      <text>
        <r>
          <rPr>
            <b/>
            <sz val="9"/>
            <color indexed="81"/>
            <rFont val="Tahoma"/>
            <charset val="1"/>
          </rPr>
          <t>Норма м²/голову (при 300 гол = 500 м²)</t>
        </r>
      </text>
    </comment>
    <comment ref="E5" authorId="0" shapeId="0" xr:uid="{10051E24-1127-4426-A75E-9C67ED0FD5FA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= фикс. площадь</t>
        </r>
      </text>
    </comment>
    <comment ref="F5" authorId="0" shapeId="0" xr:uid="{D8EEFEEC-E86F-43F5-9571-8519FA89D53C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Цена за м² навеса. Можно заменить ссылкой на справочник: =$F$85</t>
        </r>
      </text>
    </comment>
    <comment ref="H5" authorId="0" shapeId="0" xr:uid="{4274E6E7-C637-4454-B8D6-118193CE0B3E}">
      <text>
        <r>
          <rPr>
            <b/>
            <sz val="9"/>
            <color indexed="81"/>
            <rFont val="Tahoma"/>
            <charset val="1"/>
          </rPr>
          <t>Навес: флаг × площадь × цена/м²</t>
        </r>
      </text>
    </comment>
    <comment ref="H6" authorId="0" shapeId="0" xr:uid="{DE18C022-3373-497D-B278-0F4C6256E1AE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Жилой дом: фиксированная стоимость × флаг</t>
        </r>
      </text>
    </comment>
    <comment ref="H7" authorId="0" shapeId="0" xr:uid="{7254387C-98B8-42ED-8912-3B70C1E4835D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Резервуар: фиксированная стоимость × флаг</t>
        </r>
      </text>
    </comment>
    <comment ref="H8" authorId="0" shapeId="0" xr:uid="{211BE90E-5079-432E-8756-F1E114C2BBB9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Скважина: фиксированная стоимость × флаг</t>
        </r>
      </text>
    </comment>
    <comment ref="H9" authorId="0" shapeId="0" xr:uid="{44029846-7DD0-4039-93D2-BFC7F05A8B71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Автовесы: фиксированная стоимость × флаг</t>
        </r>
      </text>
    </comment>
    <comment ref="D10" authorId="0" shapeId="0" xr:uid="{BBC0047D-A38F-4E1D-980D-2430832056CC}">
      <text>
        <r>
          <rPr>
            <b/>
            <sz val="9"/>
            <color indexed="81"/>
            <rFont val="Tahoma"/>
            <charset val="1"/>
          </rPr>
          <t>Норма м²/голову (при 300 гол = 50 м²)</t>
        </r>
      </text>
    </comment>
    <comment ref="F10" authorId="0" shapeId="0" xr:uid="{550464AB-A942-4C8D-B52C-20ACD565AB06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Цена за м² КПП. Можно заменить ссылкой на справочник: =$F$85</t>
        </r>
      </text>
    </comment>
    <comment ref="H10" authorId="0" shapeId="0" xr:uid="{5729EE22-B8F4-4404-9453-9EE9BA508D14}">
      <text>
        <r>
          <rPr>
            <b/>
            <sz val="9"/>
            <color indexed="81"/>
            <rFont val="Tahoma"/>
            <charset val="1"/>
          </rPr>
          <t>КПП: флаг × площадь × цена/м²</t>
        </r>
      </text>
    </comment>
    <comment ref="H11" authorId="0" shapeId="0" xr:uid="{D832E358-94D8-45A4-8DD5-6D3501DDAC0C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Электросети: фиксированная стоимость × флаг</t>
        </r>
      </text>
    </comment>
    <comment ref="H12" authorId="0" shapeId="0" xr:uid="{FB0FDC88-812A-4EDB-B287-804B6E07DCAB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Скотомогильник: фиксированная стоимость × флаг</t>
        </r>
      </text>
    </comment>
    <comment ref="D13" authorId="0" shapeId="0" xr:uid="{908946B2-2A6E-4BFC-B65B-357EE769D910}">
      <text>
        <r>
          <rPr>
            <b/>
            <sz val="9"/>
            <color indexed="81"/>
            <rFont val="Tahoma"/>
            <charset val="1"/>
          </rPr>
          <t>Норма м²/голову (при 300 гол = 2000 м²)</t>
        </r>
      </text>
    </comment>
    <comment ref="E13" authorId="0" shapeId="0" xr:uid="{3FB645BE-ED4A-40D1-9DCA-E907995CCA9E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Расчёт: мощность × 6.67 м²/голову, округление до 100</t>
        </r>
      </text>
    </comment>
    <comment ref="F13" authorId="0" shapeId="0" xr:uid="{C0D19DAC-5AE7-4FB2-BE50-C08A588D7D97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Цена за м² зернохранилища</t>
        </r>
      </text>
    </comment>
    <comment ref="H13" authorId="0" shapeId="0" xr:uid="{1EA5196D-AF46-47A4-B7AF-B4579FF3B377}">
      <text>
        <r>
          <rPr>
            <b/>
            <sz val="9"/>
            <color indexed="81"/>
            <rFont val="Tahoma"/>
            <charset val="1"/>
          </rPr>
          <t>Зернохранилище: флаг × площадь × цена/м²</t>
        </r>
      </text>
    </comment>
    <comment ref="H14" authorId="0" shapeId="0" xr:uid="{E873232F-BC5E-4C8D-85FC-8855AFA58C3B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Трап: фиксированная стоимость × флаг</t>
        </r>
      </text>
    </comment>
    <comment ref="D15" authorId="0" shapeId="0" xr:uid="{DC78B554-01B0-4394-AB60-2B133A00DDE6}">
      <text>
        <r>
          <rPr>
            <b/>
            <sz val="9"/>
            <color indexed="81"/>
            <rFont val="Tahoma"/>
            <charset val="1"/>
          </rPr>
          <t>Норма м²/голову (при 300 гол = 200 м²)</t>
        </r>
      </text>
    </comment>
    <comment ref="F15" authorId="0" shapeId="0" xr:uid="{5A2869A1-5537-4011-A36F-3C41E9BC1102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Цена за м² ветпункта (специализированное помещение)</t>
        </r>
      </text>
    </comment>
    <comment ref="H15" authorId="0" shapeId="0" xr:uid="{AF7BCACC-1E54-4AB8-8E4C-0652DEB4A486}">
      <text>
        <r>
          <rPr>
            <b/>
            <sz val="9"/>
            <color indexed="81"/>
            <rFont val="Tahoma"/>
            <charset val="1"/>
          </rPr>
          <t>Ветпункт: флаг × площадь × цена/м²</t>
        </r>
      </text>
    </comment>
    <comment ref="D16" authorId="0" shapeId="0" xr:uid="{7B107B95-3744-4E0B-81EC-5A486655D39F}">
      <text>
        <r>
          <rPr>
            <b/>
            <sz val="9"/>
            <color indexed="81"/>
            <rFont val="Tahoma"/>
            <charset val="1"/>
          </rPr>
          <t>Цена за 1 раскол (деление на 20 голов). При увеличении мощности можно добавить второй.</t>
        </r>
      </text>
    </comment>
    <comment ref="E16" authorId="0" shapeId="0" xr:uid="{AD64E391-2DE9-4513-AD78-7E53DD155BA5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Кол-во расколов = ROUNDUP(мощность/20)</t>
        </r>
      </text>
    </comment>
    <comment ref="F16" authorId="0" shapeId="0" xr:uid="{21F54668-F6EC-47EC-8020-842504A72558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Цена за 1 раскол (шт)</t>
        </r>
      </text>
    </comment>
    <comment ref="H16" authorId="0" shapeId="0" xr:uid="{D02BBE32-EC8B-4079-A57E-41773B2D3C11}">
      <text>
        <r>
          <rPr>
            <b/>
            <sz val="9"/>
            <color indexed="81"/>
            <rFont val="Tahoma"/>
            <charset val="1"/>
          </rPr>
          <t>Раскол: флаг × кол-во × цена/шт</t>
        </r>
      </text>
    </comment>
    <comment ref="D17" authorId="0" shapeId="0" xr:uid="{08F22D87-AF19-49F9-BD80-86D84F0D06A6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Стоимость на 1 голову (тенге)</t>
        </r>
      </text>
    </comment>
    <comment ref="E17" authorId="0" shapeId="0" xr:uid="{ED4987F1-0BC1-46E8-A15A-9CB83FCB6888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Масштабируется линейно от мощности</t>
        </r>
      </text>
    </comment>
    <comment ref="H17" authorId="0" shapeId="0" xr:uid="{37B1FD64-E371-4299-9AAE-67ADC2309AB9}">
      <text>
        <r>
          <rPr>
            <b/>
            <sz val="9"/>
            <color indexed="81"/>
            <rFont val="Tahoma"/>
            <charset val="1"/>
          </rPr>
          <t>Накопитель: флаг × мощность × цена/гол</t>
        </r>
      </text>
    </comment>
    <comment ref="D18" authorId="0" shapeId="0" xr:uid="{3AAA16C9-160C-401E-BB96-BADAC653A8B6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Стоимость на 1 голову (тенге)</t>
        </r>
      </text>
    </comment>
    <comment ref="H18" authorId="0" shapeId="0" xr:uid="{056B8CD7-EEF7-4E22-A580-587420306A46}">
      <text>
        <r>
          <rPr>
            <b/>
            <sz val="9"/>
            <color indexed="81"/>
            <rFont val="Tahoma"/>
            <charset val="1"/>
          </rPr>
          <t>Сенохранилище: флаг × мощность × цена/гол</t>
        </r>
      </text>
    </comment>
    <comment ref="C19" authorId="0" shapeId="0" xr:uid="{2DFF521B-9921-4185-8838-63569272009E}">
      <text>
        <r>
          <rPr>
            <b/>
            <sz val="9"/>
            <color indexed="81"/>
            <rFont val="Tahoma"/>
            <charset val="1"/>
          </rPr>
          <t>Ангар нужен только при зимнем отёле. При летнем — заменяется навесом (FAC-002).</t>
        </r>
      </text>
    </comment>
    <comment ref="D19" authorId="0" shapeId="0" xr:uid="{61645685-51CF-48FD-A3A9-B45801B08D07}">
      <text>
        <r>
          <rPr>
            <b/>
            <sz val="9"/>
            <color indexed="81"/>
            <rFont val="Tahoma"/>
            <charset val="1"/>
          </rPr>
          <t>Норма м²/гол из Справочника (FAC-001=8м²/гол). Меняется через Справочник!G7.</t>
        </r>
      </text>
    </comment>
    <comment ref="E19" authorId="0" shapeId="0" xr:uid="{0C3F3C1A-6CA3-4F90-A91E-F453375B866A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Расч. площадь = 8 × мощность</t>
        </r>
      </text>
    </comment>
    <comment ref="F19" authorId="0" shapeId="0" xr:uid="{4199BCA2-6F1F-45DA-8C81-4EB171790B63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Цена за м² ангара. Можно заменить ссылкой на справочник: =$F$84</t>
        </r>
      </text>
    </comment>
    <comment ref="H19" authorId="0" shapeId="0" xr:uid="{FAD1F912-410D-4A07-883D-196848C82180}">
      <text>
        <r>
          <rPr>
            <b/>
            <sz val="9"/>
            <color indexed="81"/>
            <rFont val="Tahoma"/>
            <charset val="1"/>
          </rPr>
          <t>Ангар: флаг × площадь × цена/м²</t>
        </r>
      </text>
    </comment>
    <comment ref="C20" authorId="0" shapeId="0" xr:uid="{9D87948B-9F24-4D2C-98B2-51D05D08FA53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При летнем отёле можно сократить норму или выключить (0).</t>
        </r>
      </text>
    </comment>
    <comment ref="D20" authorId="0" shapeId="0" xr:uid="{ACF60053-EBFD-49BD-B1EB-AA2ADD24654D}">
      <text>
        <r>
          <rPr>
            <b/>
            <sz val="9"/>
            <color indexed="81"/>
            <rFont val="Tahoma"/>
            <charset val="1"/>
          </rPr>
          <t>Норма м²/гол из Справочника (FAC-013=8м²/гол)</t>
        </r>
      </text>
    </comment>
    <comment ref="E20" authorId="0" shapeId="0" xr:uid="{1B93DEDF-7412-4E8C-B1EC-799E4F46BCEC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Площадь = 8 × ROUNDUP(5%×мощность)</t>
        </r>
      </text>
    </comment>
    <comment ref="F20" authorId="0" shapeId="0" xr:uid="{4418C58E-FB5D-43EA-9BF3-E3F90B236527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Цена за м² изолятора (специализированное, дороже стандартного)</t>
        </r>
      </text>
    </comment>
    <comment ref="H20" authorId="0" shapeId="0" xr:uid="{A494DF4A-46B7-4448-AC3D-7228A7EA80CF}">
      <text>
        <r>
          <rPr>
            <b/>
            <sz val="9"/>
            <color indexed="81"/>
            <rFont val="Tahoma"/>
            <charset val="1"/>
          </rPr>
          <t>Изолятор: флаг × площадь × цена/м²</t>
        </r>
      </text>
    </comment>
    <comment ref="D21" authorId="0" shapeId="0" xr:uid="{B71A5665-5C14-4B52-8B55-F604D1EBAAAF}">
      <text>
        <r>
          <rPr>
            <b/>
            <sz val="9"/>
            <color indexed="81"/>
            <rFont val="Tahoma"/>
            <charset val="1"/>
          </rPr>
          <t>Норма м²/гол из Справочника (FAC-009=20м²/гол)</t>
        </r>
      </text>
    </comment>
    <comment ref="E21" authorId="0" shapeId="0" xr:uid="{2B8A08FC-2692-4B82-AD7E-9424C0C74300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Площадь = 20 × ROUNDUP(5%×мощность)</t>
        </r>
      </text>
    </comment>
    <comment ref="F21" authorId="0" shapeId="0" xr:uid="{0372DE47-BCB3-4A93-8983-0AB3FBED5850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Цена за м² открытого загона</t>
        </r>
      </text>
    </comment>
    <comment ref="H21" authorId="0" shapeId="0" xr:uid="{55DC8538-B88F-4F55-8A84-ABE3475E6674}">
      <text>
        <r>
          <rPr>
            <b/>
            <sz val="9"/>
            <color indexed="81"/>
            <rFont val="Tahoma"/>
            <charset val="1"/>
          </rPr>
          <t>Загон изолятора: флаг × площадь × цена/м²</t>
        </r>
      </text>
    </comment>
    <comment ref="D22" authorId="0" shapeId="0" xr:uid="{894DD79A-05E8-4430-8AED-652CFDAFDC75}">
      <text>
        <r>
          <rPr>
            <b/>
            <sz val="9"/>
            <color indexed="81"/>
            <rFont val="Tahoma"/>
            <charset val="1"/>
          </rPr>
          <t>Норма м²/гол из Справочника (PAD-001=20м²/гол)</t>
        </r>
      </text>
    </comment>
    <comment ref="E22" authorId="0" shapeId="0" xr:uid="{572BA2B0-87FA-416A-8C9D-89746A868192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Площадь = 20 × ROUNDUP(10%×мощность)</t>
        </r>
      </text>
    </comment>
    <comment ref="F22" authorId="0" shapeId="0" xr:uid="{7BF9A257-1795-4EA5-B17F-9087F33139C1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Цена за м² загона для коров</t>
        </r>
      </text>
    </comment>
    <comment ref="H22" authorId="0" shapeId="0" xr:uid="{2B215818-6F90-46E6-8798-E6EFECCD0542}">
      <text>
        <r>
          <rPr>
            <b/>
            <sz val="9"/>
            <color indexed="81"/>
            <rFont val="Tahoma"/>
            <charset val="1"/>
          </rPr>
          <t>Загон коров: флаг × площадь × цена/м²</t>
        </r>
      </text>
    </comment>
    <comment ref="D23" authorId="0" shapeId="0" xr:uid="{79C0FA63-A115-47AC-82B9-E71A557E3412}">
      <text>
        <r>
          <rPr>
            <b/>
            <sz val="9"/>
            <color indexed="81"/>
            <rFont val="Tahoma"/>
            <charset val="1"/>
          </rPr>
          <t>Норма м²/гол из Справочника (PAD-007=25м²/гол)</t>
        </r>
      </text>
    </comment>
    <comment ref="E23" authorId="0" shapeId="0" xr:uid="{27550E82-2AF6-412C-BD69-1EE0B3AE5ED7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Площадь = 25 × ROUNDUP(мощность/15)</t>
        </r>
      </text>
    </comment>
    <comment ref="F23" authorId="0" shapeId="0" xr:uid="{2748CD53-6096-4E23-A962-4A031DE0DD2E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Цена за м² загона для быков</t>
        </r>
      </text>
    </comment>
    <comment ref="H23" authorId="0" shapeId="0" xr:uid="{0368814A-61FD-4B47-BF01-AA18419A3196}">
      <text>
        <r>
          <rPr>
            <b/>
            <sz val="9"/>
            <color indexed="81"/>
            <rFont val="Tahoma"/>
            <charset val="1"/>
          </rPr>
          <t>Загон быков: флаг × площадь × цена/м²</t>
        </r>
      </text>
    </comment>
    <comment ref="D24" authorId="0" shapeId="0" xr:uid="{AFE239CB-7173-4E07-B11F-1983A10088A5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Стоимость на 1 голову (тенге)</t>
        </r>
      </text>
    </comment>
    <comment ref="H24" authorId="0" shapeId="0" xr:uid="{BA1770AB-3750-4198-AA30-9C786C3BCDE7}">
      <text>
        <r>
          <rPr>
            <b/>
            <sz val="9"/>
            <color indexed="81"/>
            <rFont val="Tahoma"/>
            <charset val="1"/>
          </rPr>
          <t>Ветрозащита: флаг × мощность × цена/гол</t>
        </r>
      </text>
    </comment>
    <comment ref="D25" authorId="0" shapeId="0" xr:uid="{2BCA5831-CBE2-45DA-BC79-8884B20A4F7E}">
      <text>
        <r>
          <rPr>
            <b/>
            <sz val="9"/>
            <color indexed="81"/>
            <rFont val="Tahoma"/>
            <charset val="1"/>
          </rPr>
          <t>Норма: 0.5 м²/голову</t>
        </r>
      </text>
    </comment>
    <comment ref="E25" authorId="0" shapeId="0" xr:uid="{BD4BFB95-9147-4E7F-9979-77188F188E03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Площадь = 0.5 × мощность</t>
        </r>
      </text>
    </comment>
    <comment ref="F25" authorId="0" shapeId="0" xr:uid="{CE077D73-B60E-4D0C-BDC5-0764B69159A4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Цена за м² кормового стола</t>
        </r>
      </text>
    </comment>
    <comment ref="H25" authorId="0" shapeId="0" xr:uid="{5A26731D-4AF4-4357-9A2D-09C720FC042E}">
      <text>
        <r>
          <rPr>
            <b/>
            <sz val="9"/>
            <color indexed="81"/>
            <rFont val="Tahoma"/>
            <charset val="1"/>
          </rPr>
          <t>Кормовой стол: флаг × площадь × цена/м²</t>
        </r>
      </text>
    </comment>
    <comment ref="C26" authorId="0" shapeId="0" xr:uid="{20DF4CCE-6FB0-4520-8EA5-53A346C80210}">
      <text>
        <r>
          <rPr>
            <b/>
            <sz val="9"/>
            <color indexed="81"/>
            <rFont val="Tahoma"/>
            <charset val="1"/>
          </rPr>
          <t>Тёплые поилки нужны только при зимнем отёле.</t>
        </r>
      </text>
    </comment>
    <comment ref="D26" authorId="0" shapeId="0" xr:uid="{26B6C3D4-2536-45DE-A20C-5BDF3FDE0775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Стоимость на 1 голову (тенге)</t>
        </r>
      </text>
    </comment>
    <comment ref="H26" authorId="0" shapeId="0" xr:uid="{AD5DC44C-2A2C-47A6-9912-9EC0D6EAD971}">
      <text>
        <r>
          <rPr>
            <b/>
            <sz val="9"/>
            <color indexed="81"/>
            <rFont val="Tahoma"/>
            <charset val="1"/>
          </rPr>
          <t>Поилка: флаг × мощность × цена/гол</t>
        </r>
      </text>
    </comment>
    <comment ref="F79" authorId="0" shapeId="0" xr:uid="{757A4650-AD4F-497E-AD3E-EC5374188B6C}">
      <text>
        <r>
          <rPr>
            <b/>
            <sz val="9"/>
            <color indexed="81"/>
            <rFont val="Tahoma"/>
            <charset val="1"/>
          </rPr>
          <t>Цена из Справочника (тыс.тг/м² × 1000 = тг/м²)</t>
        </r>
      </text>
    </comment>
    <comment ref="F80" authorId="0" shapeId="0" xr:uid="{428D8154-5F88-48B1-982C-C50E1008DE9C}">
      <text>
        <r>
          <rPr>
            <b/>
            <sz val="9"/>
            <color indexed="81"/>
            <rFont val="Tahoma"/>
            <charset val="1"/>
          </rPr>
          <t>Цена из Справочника (тыс.тг/м² × 1000 = тг/м²)</t>
        </r>
      </text>
    </comment>
    <comment ref="F81" authorId="0" shapeId="0" xr:uid="{0C4E8659-49A0-4E91-B2EA-5D25B372C523}">
      <text>
        <r>
          <rPr>
            <b/>
            <sz val="9"/>
            <color indexed="81"/>
            <rFont val="Tahoma"/>
            <charset val="1"/>
          </rPr>
          <t>Цена из Справочника (тыс.тг/м² × 1000 = тг/м²)</t>
        </r>
      </text>
    </comment>
    <comment ref="F82" authorId="0" shapeId="0" xr:uid="{E8C899CA-7568-4FAC-81BF-6972F1DD80C7}">
      <text>
        <r>
          <rPr>
            <b/>
            <sz val="9"/>
            <color indexed="81"/>
            <rFont val="Tahoma"/>
            <charset val="1"/>
          </rPr>
          <t>Цена из Справочника (тыс.тг/м² × 1000 = тг/м²)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9" authorId="0" shapeId="0" xr:uid="{00000000-0006-0000-0800-000001000000}">
      <text>
        <r>
          <rPr>
            <sz val="10"/>
            <color rgb="FF000000"/>
            <rFont val="Calibri"/>
            <family val="2"/>
            <charset val="204"/>
            <scheme val="minor"/>
          </rPr>
          <t>======
ID#AAABxkJVZYQ
    (2025-08-11 16:23:41)
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Обрати внимание на эти затраты - они счс не участвуют в расчетах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O97d6ExeTcXVSqCgQQTuYOZ7StA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Alikhan Aimagambetov</author>
  </authors>
  <commentList>
    <comment ref="G7" authorId="0" shapeId="0" xr:uid="{7DA718FF-0CF8-4E21-B148-D4F6F117B083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Скорректировано с 5 → 8 для соответствия текущему CAPEX (ангар 8м²/гол)</t>
        </r>
      </text>
    </comment>
    <comment ref="G15" authorId="0" shapeId="0" xr:uid="{DB23DC53-8951-4BE3-B790-BA3571EC56DC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Скорректировано с 22.5 → 20 для соответствия текущему CAPEX (загон 20м²/гол)</t>
        </r>
      </text>
    </comment>
    <comment ref="G19" authorId="0" shapeId="0" xr:uid="{9CDF5A47-416A-49AE-B2DA-5CEBFBDC16BE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Скорректировано с 5 → 8 для соответствия текущему CAPEX (изолятор 8м²/гол)</t>
        </r>
      </text>
    </comment>
    <comment ref="D30" authorId="0" shapeId="0" xr:uid="{2CDB10A7-091B-4B5C-AD1F-58EEFE9FA817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Скорректировано с 8 → 20 для соответствия текущему CAPEX (загон коров 20м²/гол)</t>
        </r>
      </text>
    </comment>
    <comment ref="D36" authorId="0" shapeId="0" xr:uid="{8B6317E4-568B-4E6B-B0A5-9FB201D53003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Скорректировано с 10 → 25 для соответствия текущему CAPEX (загон быков 25м²/гол)</t>
        </r>
      </text>
    </comment>
    <comment ref="B41" authorId="0" shapeId="0" xr:uid="{9E9AEAF4-11A7-493F-A567-DAAA0D89E6F5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Название выровнено с выпадающим списком Input!F65</t>
        </r>
      </text>
    </comment>
    <comment ref="D41" authorId="0" shapeId="0" xr:uid="{ED1036F7-E5B9-45A8-8A14-6E6E146ADDB3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Скорректировано с 45 → 25 тыс.тг/м² для соответствия CAPEX</t>
        </r>
      </text>
    </comment>
    <comment ref="B42" authorId="0" shapeId="0" xr:uid="{D94B17B5-2781-40F6-95B5-E0A6E3CC765C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Название сокращено для совпадения с выпадающим списком Input!F65/F66</t>
        </r>
      </text>
    </comment>
    <comment ref="B43" authorId="0" shapeId="0" xr:uid="{625409AB-3E9F-4A33-9695-982A022402FE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Название сокращено для совпадения с выпадающим списком Input!F65/F66</t>
        </r>
      </text>
    </comment>
    <comment ref="D43" authorId="0" shapeId="0" xr:uid="{134677C1-019F-49D3-AF47-4BBE70839254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Скорректировано с 30 → 35 тыс.тг/м² для соответствия CAPEX</t>
        </r>
      </text>
    </comment>
    <comment ref="B44" authorId="0" shapeId="0" xr:uid="{E3871E56-CB9D-48FD-BE80-CE03DBCBB4A4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Название выровнено с выпадающим списком Input!F65/F66</t>
        </r>
      </text>
    </comment>
    <comment ref="D44" authorId="0" shapeId="0" xr:uid="{B6758AE0-D378-4582-8EB4-BDACF96C2D68}">
      <text>
        <r>
          <rPr>
            <b/>
            <sz val="9"/>
            <color indexed="81"/>
            <rFont val="Tahoma"/>
            <charset val="1"/>
          </rPr>
          <t>Alikhan Aimagambetov:</t>
        </r>
        <r>
          <rPr>
            <sz val="9"/>
            <color indexed="81"/>
            <rFont val="Tahoma"/>
            <charset val="1"/>
          </rPr>
          <t xml:space="preserve">
Скорректировано с 55 → 50 тыс.тг/м² для соответствия CAPEX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<sst xmlns="http://schemas.openxmlformats.org/spreadsheetml/2006/main" count="2872" uniqueCount="1159">
  <si>
    <t>х</t>
  </si>
  <si>
    <t>Ключевые допущения</t>
  </si>
  <si>
    <t>Общая стомость проекта</t>
  </si>
  <si>
    <t>Капитальные затраты</t>
  </si>
  <si>
    <t>тыс. тенге</t>
  </si>
  <si>
    <t>Закуп стада</t>
  </si>
  <si>
    <t>Итого долгосрочные инвестиции</t>
  </si>
  <si>
    <t>Инвестиционный займ</t>
  </si>
  <si>
    <t>Сумма</t>
  </si>
  <si>
    <t>Ставка</t>
  </si>
  <si>
    <t>%</t>
  </si>
  <si>
    <t>Срок</t>
  </si>
  <si>
    <t>лет</t>
  </si>
  <si>
    <t>Оборотный займ</t>
  </si>
  <si>
    <t>Залоговое обеспечение</t>
  </si>
  <si>
    <t>Этап 1 (при финансировании)</t>
  </si>
  <si>
    <t>коэффициент покрытия</t>
  </si>
  <si>
    <t>Залог денег</t>
  </si>
  <si>
    <t>Этап 2 (высвобождение денег и оформление твердых залогов)</t>
  </si>
  <si>
    <t>Наличие твердых залогов (недвижимость)</t>
  </si>
  <si>
    <t>Твердые активы в залог</t>
  </si>
  <si>
    <t>Необремененные твердые залоги</t>
  </si>
  <si>
    <t>Формирование оборотного капитала и займы на оборотку</t>
  </si>
  <si>
    <t>Потребность в оборотном капитале</t>
  </si>
  <si>
    <t>Деньги на депозите</t>
  </si>
  <si>
    <t>Займы покрываются (да - 1/нет - 0)</t>
  </si>
  <si>
    <t>Займы покрываются (%)</t>
  </si>
  <si>
    <t>Таким образом суммарные затраты на реализацию проекта будут выглядеть следующим образом:</t>
  </si>
  <si>
    <t>Структура финансирования</t>
  </si>
  <si>
    <t>Всего</t>
  </si>
  <si>
    <t>Доля, %</t>
  </si>
  <si>
    <t>Собственное участие</t>
  </si>
  <si>
    <t>Итого</t>
  </si>
  <si>
    <t>Строительство инфраструктуры</t>
  </si>
  <si>
    <t>Спецтехника и оборудование фермеров</t>
  </si>
  <si>
    <t>Закуп маточного поголовья</t>
  </si>
  <si>
    <t>Закуп быков производителей</t>
  </si>
  <si>
    <t>Итого стоимость проекта</t>
  </si>
  <si>
    <t>Движение скота</t>
  </si>
  <si>
    <t>Мощность репродуктора</t>
  </si>
  <si>
    <t>голов</t>
  </si>
  <si>
    <t>Маточное поголовье к.п.</t>
  </si>
  <si>
    <t>Быки-производители на к.п.</t>
  </si>
  <si>
    <t>Телочки на к.п.</t>
  </si>
  <si>
    <t>Бычки на к.п.</t>
  </si>
  <si>
    <t>Приплод</t>
  </si>
  <si>
    <t>Выбракованный скот</t>
  </si>
  <si>
    <t>Падеж скота</t>
  </si>
  <si>
    <t>Падеж телочек</t>
  </si>
  <si>
    <t>Падеж бычков</t>
  </si>
  <si>
    <t>КРС на н.п.</t>
  </si>
  <si>
    <t>КРС на к.п.</t>
  </si>
  <si>
    <t>Деловой приплод</t>
  </si>
  <si>
    <t>Общий коэффициент падежа</t>
  </si>
  <si>
    <t>Общий коэффициент потерь</t>
  </si>
  <si>
    <t>Показатели продажи</t>
  </si>
  <si>
    <t>Маточное поголовье</t>
  </si>
  <si>
    <t>Быки-производители</t>
  </si>
  <si>
    <t>Телочки</t>
  </si>
  <si>
    <t>Бычки</t>
  </si>
  <si>
    <t>Продажи КРС, голов</t>
  </si>
  <si>
    <t>кг</t>
  </si>
  <si>
    <t>Продажи КРС, кг</t>
  </si>
  <si>
    <t>Финансовые показатели</t>
  </si>
  <si>
    <t>Отчет о прибылях и убытках</t>
  </si>
  <si>
    <t>Выручка</t>
  </si>
  <si>
    <t>Валовая прибыль</t>
  </si>
  <si>
    <t>EBITDA</t>
  </si>
  <si>
    <t>EBITDA, adj.</t>
  </si>
  <si>
    <t>Чистая прибыль</t>
  </si>
  <si>
    <t>Показатели маржинальности</t>
  </si>
  <si>
    <t>Балансовые показатели</t>
  </si>
  <si>
    <t>Активы</t>
  </si>
  <si>
    <t>Биологические активы</t>
  </si>
  <si>
    <t>Обязательства</t>
  </si>
  <si>
    <t>Займы на оборотку</t>
  </si>
  <si>
    <t>Инвестиционные займы</t>
  </si>
  <si>
    <t>Капитал</t>
  </si>
  <si>
    <t>Темпы роста балансовых статей</t>
  </si>
  <si>
    <t>WACC</t>
  </si>
  <si>
    <t>NPV (10 лет)</t>
  </si>
  <si>
    <t>IRR (10 лет)</t>
  </si>
  <si>
    <t>Простая окупаемость</t>
  </si>
  <si>
    <t>Дисконтированная окупаемость</t>
  </si>
  <si>
    <t>Показатели эффективности</t>
  </si>
  <si>
    <t>Расчет кормодня</t>
  </si>
  <si>
    <t>Расчет затрат на корма на 1 голову в день</t>
  </si>
  <si>
    <t>тенге</t>
  </si>
  <si>
    <t>Быки производители</t>
  </si>
  <si>
    <t>Молодняк</t>
  </si>
  <si>
    <t xml:space="preserve">Телочки </t>
  </si>
  <si>
    <t>В среднем на 1 голову</t>
  </si>
  <si>
    <t>Основные параметры</t>
  </si>
  <si>
    <t>Первоначальная мощность, голов</t>
  </si>
  <si>
    <t>Максимальная мощность, голов</t>
  </si>
  <si>
    <t>Операционный цикл</t>
  </si>
  <si>
    <t>до 2029 года - 24 мес., далее - 12 мес.</t>
  </si>
  <si>
    <t>Стоимость маточного поголовья (за 1 ед.) в живом весе, тыс. тенге</t>
  </si>
  <si>
    <t>Стоимость быка производителя (за 1 ед.) в живом весе, тыс. тенге</t>
  </si>
  <si>
    <t>Средний вес приплода, кг</t>
  </si>
  <si>
    <t>Коэффициент результативности отела, %</t>
  </si>
  <si>
    <t>Коэффициент падежа маточного поголовья, %</t>
  </si>
  <si>
    <t>Коэффициент падежа быков-производителей, %</t>
  </si>
  <si>
    <t>Коэффициент падежа бычков, %</t>
  </si>
  <si>
    <t>Коэффициент падежа телочек, %</t>
  </si>
  <si>
    <t>Sensitivity</t>
  </si>
  <si>
    <t>Влияние приплода и ставки по займу на NPV</t>
  </si>
  <si>
    <t>Коэффициент приплода</t>
  </si>
  <si>
    <t>Ставка по инвест кредитам</t>
  </si>
  <si>
    <t>Влияние ставки по инвест займу на кассовые разрывы (3 год - 2028г., по истечении льготного периода)</t>
  </si>
  <si>
    <t>Влияние ставки по инвест займу на кассовые разрывы (4 год - 2029г., по истечении льготного периода)</t>
  </si>
  <si>
    <t>Влияние ставки по инвест займу на кассовые разрывы (5 год - 2030г., по истечении льготного периода)</t>
  </si>
  <si>
    <t>Ставка по кредиту на ПОС</t>
  </si>
  <si>
    <t>Ставка по займу на оборотный капитал</t>
  </si>
  <si>
    <t>Влияние ставки по займу на ПОС на кассовые разрывы (3 год - 2028г.)</t>
  </si>
  <si>
    <t>Влияние ставки по займу на ПОС на кассовые разрывы (4 год - 2029г.)</t>
  </si>
  <si>
    <t>Модель консорциума, без управляющей компании</t>
  </si>
  <si>
    <t>https://adilet.zan.kz/rus/docs/V2500036215#z85</t>
  </si>
  <si>
    <t>Темп роста для модели Гордона</t>
  </si>
  <si>
    <t>Дата старта проекта</t>
  </si>
  <si>
    <t>Стартовый взнос инвестора</t>
  </si>
  <si>
    <t>Кол-во хозяйств</t>
  </si>
  <si>
    <t>ед.</t>
  </si>
  <si>
    <t>Источники финансирования проекта</t>
  </si>
  <si>
    <t>Сумма, тыс. тенге</t>
  </si>
  <si>
    <t>Цена 1 маточного поголовья</t>
  </si>
  <si>
    <t>Цена 1 быка производителя</t>
  </si>
  <si>
    <t>Переключатель (1= с субсидиями, 2 - без субсидий)</t>
  </si>
  <si>
    <t>Старт взнос</t>
  </si>
  <si>
    <t>Переключатель (1= с привлечением займов на ПОС, 2 - без без привлечения займов на ПОС)</t>
  </si>
  <si>
    <t>Переключатель (1= без переоценки биоактивов, 2 - с переоценкой активов)</t>
  </si>
  <si>
    <t>Ключевые показатели проекта</t>
  </si>
  <si>
    <t>Предварительные расходы</t>
  </si>
  <si>
    <t>Строительство зданий и инфраструктура</t>
  </si>
  <si>
    <t>Спецтехника и оборудование</t>
  </si>
  <si>
    <t>Финансирование административных затрат (первые 3 лет)</t>
  </si>
  <si>
    <t>Быки-проивзодители</t>
  </si>
  <si>
    <t>Оборотный капитал</t>
  </si>
  <si>
    <t>Макроэкономические показатели</t>
  </si>
  <si>
    <t>Рост ВВП</t>
  </si>
  <si>
    <t>https://www.imf.org/external/datamapper/profile/KAZ</t>
  </si>
  <si>
    <t>IMF</t>
  </si>
  <si>
    <t>ИПЦ в KZ, ср.</t>
  </si>
  <si>
    <t>KZT/USD</t>
  </si>
  <si>
    <t>тенге/долл. США</t>
  </si>
  <si>
    <t>Репродуктор</t>
  </si>
  <si>
    <t>Год</t>
  </si>
  <si>
    <t>Месяц</t>
  </si>
  <si>
    <t>Кол-во репродукторов</t>
  </si>
  <si>
    <t>Количество хозяйств</t>
  </si>
  <si>
    <t>единиц</t>
  </si>
  <si>
    <t>Норма для быков производителей</t>
  </si>
  <si>
    <t>коэф-т</t>
  </si>
  <si>
    <t>Маточное поголовье н.п.</t>
  </si>
  <si>
    <t>+</t>
  </si>
  <si>
    <t>Покупка маточного поголовья</t>
  </si>
  <si>
    <t>Перевод из телок</t>
  </si>
  <si>
    <t>-</t>
  </si>
  <si>
    <t>Выбраковка / отправка на откорм из-за состояния скота</t>
  </si>
  <si>
    <t>Падеж маточного поголовья</t>
  </si>
  <si>
    <t>Маточное поголовье промежуточно</t>
  </si>
  <si>
    <t>Продажа как племенной скот (телочки)</t>
  </si>
  <si>
    <t>Среднее количество маточного поголовья</t>
  </si>
  <si>
    <t>Быки-производители на н.п.</t>
  </si>
  <si>
    <t>Покупка Быков-производителей</t>
  </si>
  <si>
    <t>Перевод из бычков (до коэф. 1:15)</t>
  </si>
  <si>
    <t>Падеж быков-производителей</t>
  </si>
  <si>
    <t>Продажа как племенной скот</t>
  </si>
  <si>
    <t>Среднее количество быков-производителей</t>
  </si>
  <si>
    <t>Приплод на репродукторе на н.п.</t>
  </si>
  <si>
    <t>Новый приплод</t>
  </si>
  <si>
    <t>Падеж приплода</t>
  </si>
  <si>
    <t>Приплод до распределения</t>
  </si>
  <si>
    <t>Перевод приплода в телочек</t>
  </si>
  <si>
    <t>Перевод приплода в бычков</t>
  </si>
  <si>
    <t>Приплод на репродукторе на к.п.</t>
  </si>
  <si>
    <t>Среднее количество приплода</t>
  </si>
  <si>
    <t>Телочки на н.п.</t>
  </si>
  <si>
    <t>Перевод из приплода</t>
  </si>
  <si>
    <t>Покупка</t>
  </si>
  <si>
    <t>Телочки до распределения</t>
  </si>
  <si>
    <t>Перевод в маточное поголовье</t>
  </si>
  <si>
    <t>Среднее количество телочек</t>
  </si>
  <si>
    <t>Бычки на н.п.</t>
  </si>
  <si>
    <t>Перевод в быков-производителей</t>
  </si>
  <si>
    <t>Бычки промежуточно</t>
  </si>
  <si>
    <t>Продажа на финишный откорм</t>
  </si>
  <si>
    <t>Среднее количество бычков</t>
  </si>
  <si>
    <t>Среднее количество КРС</t>
  </si>
  <si>
    <t>Итого КРС на н.п.</t>
  </si>
  <si>
    <t>Итого КРС на к.п.</t>
  </si>
  <si>
    <t>Стоимость поголовья на к.п.</t>
  </si>
  <si>
    <t>Средняя цена за 1 голову</t>
  </si>
  <si>
    <t>тенге/голова</t>
  </si>
  <si>
    <t>Изменение стоимости поголовья</t>
  </si>
  <si>
    <t>Стоимость поголовья на к.п. (для баланса)</t>
  </si>
  <si>
    <t>Изменение стоимости</t>
  </si>
  <si>
    <t>Саммари по движению скота</t>
  </si>
  <si>
    <t>Выводы по движению скота</t>
  </si>
  <si>
    <t>Телочки - племенной скот/мясо</t>
  </si>
  <si>
    <t>Маточное поголовье - выбракованный скот</t>
  </si>
  <si>
    <t>Быки - производители - выбракованный скот</t>
  </si>
  <si>
    <t>Продажи КРС</t>
  </si>
  <si>
    <t>ед.изм.</t>
  </si>
  <si>
    <t>Сред. вес</t>
  </si>
  <si>
    <t>Быки-производители: выбракованный скот</t>
  </si>
  <si>
    <t>Динамика цен на КРС</t>
  </si>
  <si>
    <t>Цена, за 1 кг</t>
  </si>
  <si>
    <t>Субсидии закуп поголовья</t>
  </si>
  <si>
    <t>Субсидии при выращивании племенного молодняка</t>
  </si>
  <si>
    <t>Субсидии содержание быков</t>
  </si>
  <si>
    <t>Субсидии кап.затраты</t>
  </si>
  <si>
    <t>Сдача КРС на откорм площадки</t>
  </si>
  <si>
    <t>Рост цен</t>
  </si>
  <si>
    <t>Себестоимость репродуктора</t>
  </si>
  <si>
    <t>Корма</t>
  </si>
  <si>
    <t>см. лист Cattle Feeding Cycle</t>
  </si>
  <si>
    <t>Вет препараты</t>
  </si>
  <si>
    <t>тенге на 1 голову/мес.</t>
  </si>
  <si>
    <t>RFID-чипы</t>
  </si>
  <si>
    <t>тенге на 1 голову</t>
  </si>
  <si>
    <t>Ушные бирки</t>
  </si>
  <si>
    <t>Страхование маточного поголовья</t>
  </si>
  <si>
    <t>1,5% от стоимости МП</t>
  </si>
  <si>
    <t>ФОТ (пастухи)</t>
  </si>
  <si>
    <t>Платежи в бюджет</t>
  </si>
  <si>
    <t>Текущие расходы</t>
  </si>
  <si>
    <t>текущие расходы семьи</t>
  </si>
  <si>
    <t>Прочие расходы</t>
  </si>
  <si>
    <t>% от выручки</t>
  </si>
  <si>
    <t>Себестоимость доращивания бычков</t>
  </si>
  <si>
    <t>ФОТ (административный персонал)</t>
  </si>
  <si>
    <t>Аренда офиса</t>
  </si>
  <si>
    <t>Ремонт техники</t>
  </si>
  <si>
    <t>Ремонт зданий и сооружений</t>
  </si>
  <si>
    <t>Земельный налог</t>
  </si>
  <si>
    <t>Доход (убыток) от изменения справедливой стоимости</t>
  </si>
  <si>
    <t>Налог на имущество</t>
  </si>
  <si>
    <t>в год</t>
  </si>
  <si>
    <t>Амортизация техники</t>
  </si>
  <si>
    <t>Амортизация зданий и сооружений</t>
  </si>
  <si>
    <t>EBIT</t>
  </si>
  <si>
    <t>Расходы по финансированию</t>
  </si>
  <si>
    <t>Прибыль до уплаты налога</t>
  </si>
  <si>
    <t>КПН</t>
  </si>
  <si>
    <t>EBITDA adj.</t>
  </si>
  <si>
    <t>EBITDA без учета субсидий, скорр. на налоги</t>
  </si>
  <si>
    <t>Баланс</t>
  </si>
  <si>
    <t>Деньги</t>
  </si>
  <si>
    <t>Дебиторская задолженность</t>
  </si>
  <si>
    <t>Запасы</t>
  </si>
  <si>
    <t>Прочая краткосрочные активы</t>
  </si>
  <si>
    <t>Основные средства</t>
  </si>
  <si>
    <t>Изменение стоимости биологических активов</t>
  </si>
  <si>
    <t>Итого активы</t>
  </si>
  <si>
    <t>Кредиторская задолженность</t>
  </si>
  <si>
    <t>Прочая краткосрочная задолженность</t>
  </si>
  <si>
    <t>Кредит АКК на оборотный капитал</t>
  </si>
  <si>
    <t>Итого обязательства</t>
  </si>
  <si>
    <t>Собственный капитал</t>
  </si>
  <si>
    <t>Уставный капитал</t>
  </si>
  <si>
    <t>Чистая прибыль (убыток) текущего периода</t>
  </si>
  <si>
    <t>Нераспределенная прибыль (убыток) прошлых лет</t>
  </si>
  <si>
    <t>Дивиденды</t>
  </si>
  <si>
    <t>Итого капитал</t>
  </si>
  <si>
    <t>Пассивы</t>
  </si>
  <si>
    <t>Проверка</t>
  </si>
  <si>
    <t>График финансовых обязательств</t>
  </si>
  <si>
    <t>Инвестиционный кредит</t>
  </si>
  <si>
    <t>Средства доступные для погашения займа БВУ</t>
  </si>
  <si>
    <t>Сумма займа БВУ</t>
  </si>
  <si>
    <t>Ставка вознагр.</t>
  </si>
  <si>
    <t>ОД на начало</t>
  </si>
  <si>
    <t>Начисление процентов</t>
  </si>
  <si>
    <t>Погашение процентов</t>
  </si>
  <si>
    <t>Накопленные проценты</t>
  </si>
  <si>
    <t>Погашение ОД (10 лет - льготный период 2 года)</t>
  </si>
  <si>
    <t>ОД на конец</t>
  </si>
  <si>
    <t>Debt service coverage ratio</t>
  </si>
  <si>
    <t>коэф.</t>
  </si>
  <si>
    <t>Кредит на оборотные цели</t>
  </si>
  <si>
    <t>Займ на оборотный капитал (расходы на %%)</t>
  </si>
  <si>
    <t>Анализ потребности в оборотных средствах (Репродуктор), срок погашения 2 года</t>
  </si>
  <si>
    <t>Размер потребности</t>
  </si>
  <si>
    <r>
      <rPr>
        <sz val="10"/>
        <color theme="1"/>
        <rFont val="Calibri"/>
        <family val="2"/>
        <charset val="204"/>
      </rPr>
      <t xml:space="preserve">Оборотный займ </t>
    </r>
    <r>
      <rPr>
        <b/>
        <sz val="10"/>
        <color theme="1"/>
        <rFont val="Calibri"/>
        <family val="2"/>
        <charset val="204"/>
      </rPr>
      <t>Репродуктор</t>
    </r>
  </si>
  <si>
    <t>Баланс на начало</t>
  </si>
  <si>
    <t>Получение займа</t>
  </si>
  <si>
    <t>Погашение</t>
  </si>
  <si>
    <t>срок погашения оборотных займов</t>
  </si>
  <si>
    <t>Баланс на конец</t>
  </si>
  <si>
    <t>Необходимый лимит на оборотный займ</t>
  </si>
  <si>
    <t>Отчет о движении денег</t>
  </si>
  <si>
    <t>Амортизация</t>
  </si>
  <si>
    <t>Доходы от изменения справедливой стоимости</t>
  </si>
  <si>
    <t>Изменение оборотного капитала</t>
  </si>
  <si>
    <t>Изменение в запасах</t>
  </si>
  <si>
    <t>Изменение в авансах выданных</t>
  </si>
  <si>
    <t>Денежные средства от операционной деятельности</t>
  </si>
  <si>
    <t>Денежные средства от инвестиционной деятельности</t>
  </si>
  <si>
    <t>Займ на оборотные цели</t>
  </si>
  <si>
    <t>Получение займов ПОС</t>
  </si>
  <si>
    <t>Погашение займов ПОС</t>
  </si>
  <si>
    <t>Погашение займа</t>
  </si>
  <si>
    <t>Денежные средства от финансовой деятельности</t>
  </si>
  <si>
    <t>Деньги на начало</t>
  </si>
  <si>
    <t>Изменения в деньгах (+/-)</t>
  </si>
  <si>
    <t>Деньги на конец</t>
  </si>
  <si>
    <t>Изменения в деньгах, без учета оборотного займа</t>
  </si>
  <si>
    <t>Чистый оборотный капитал</t>
  </si>
  <si>
    <t>Норма запаса в мес.</t>
  </si>
  <si>
    <t>Формирование запасов репродуктора</t>
  </si>
  <si>
    <t>Формирование запасов доращивания</t>
  </si>
  <si>
    <t>Формирование непрямых затрат</t>
  </si>
  <si>
    <t>ФОТ репродуктора</t>
  </si>
  <si>
    <t>Платежи в бюджет репродуктора</t>
  </si>
  <si>
    <t>Прочие расходы репродуктора</t>
  </si>
  <si>
    <t>Авансы выданные (Расходы будущих периодов)</t>
  </si>
  <si>
    <t>TV</t>
  </si>
  <si>
    <t>FCFF</t>
  </si>
  <si>
    <t>FCFF накопительно</t>
  </si>
  <si>
    <t>Фактор дисконтирования</t>
  </si>
  <si>
    <t>DFCFF</t>
  </si>
  <si>
    <t>Ставка дисконтирования</t>
  </si>
  <si>
    <t>DFCFF накопительно</t>
  </si>
  <si>
    <t>Стоимость всего остатка КРС (Ликвидационная стоимость)</t>
  </si>
  <si>
    <t>Цена телочки</t>
  </si>
  <si>
    <t>1 голова</t>
  </si>
  <si>
    <t>Цена маточного поголовья</t>
  </si>
  <si>
    <t>Цена быков производителей</t>
  </si>
  <si>
    <t>Цена бычков</t>
  </si>
  <si>
    <t>Цена товарных бычков</t>
  </si>
  <si>
    <t>-Долг</t>
  </si>
  <si>
    <t>+Деньги</t>
  </si>
  <si>
    <t>Equity Value</t>
  </si>
  <si>
    <t>Cash Flow to Equity для Фонда</t>
  </si>
  <si>
    <t>MOIC</t>
  </si>
  <si>
    <t>IRR</t>
  </si>
  <si>
    <t>Без учета остатка КРС</t>
  </si>
  <si>
    <t>Тест на заполнение мощностей репродуктора (стоимость КРС)</t>
  </si>
  <si>
    <t>Тест на заполнение мощностей репродуктора (дисконтированные потоки)</t>
  </si>
  <si>
    <t>Расчет амортизации ОС</t>
  </si>
  <si>
    <t>Ввод в экспуалатацию капексов</t>
  </si>
  <si>
    <t>Строительство зданий и сооружений</t>
  </si>
  <si>
    <t>Capex ↓</t>
  </si>
  <si>
    <t>Useful Life ↓</t>
  </si>
  <si>
    <t>Сумма амортизации</t>
  </si>
  <si>
    <t>Оборудование</t>
  </si>
  <si>
    <t>Итого амортизация основных средств</t>
  </si>
  <si>
    <t>Субсидии</t>
  </si>
  <si>
    <t>Цена за 1 ед.</t>
  </si>
  <si>
    <t>Субсидии на страхование поголовья</t>
  </si>
  <si>
    <t>процент</t>
  </si>
  <si>
    <t>Сдача КРС на откорм площадки мужской особи</t>
  </si>
  <si>
    <t>Расчет метрик</t>
  </si>
  <si>
    <t>(Кол-во КРС на начало+на конец - приплод в периоде)/2×кол-во дней в периоде</t>
  </si>
  <si>
    <t>Расчет кормодня (себестоимость)</t>
  </si>
  <si>
    <t>Расчет кормодня (репродуктор с доращиванием - только корма)</t>
  </si>
  <si>
    <t>доля, %</t>
  </si>
  <si>
    <t>Расчет кормодня (все расходы)</t>
  </si>
  <si>
    <t>Расход кормов на 1 голову</t>
  </si>
  <si>
    <t>Расчет кол-ва кормодней (расчет базы)</t>
  </si>
  <si>
    <t>мес.</t>
  </si>
  <si>
    <t>Расчет кол-ва кормодней (расчет количества месяцев)</t>
  </si>
  <si>
    <t>Сумма затрат на корма</t>
  </si>
  <si>
    <t>Расчет стоимости кормодня (затраты на корм в день)</t>
  </si>
  <si>
    <t>Стоимость кормодня, итого КРС</t>
  </si>
  <si>
    <t>Кол-во расчетного КРС</t>
  </si>
  <si>
    <t>Итого КРС</t>
  </si>
  <si>
    <t>Расчеты потребления корма в день на 1 голову</t>
  </si>
  <si>
    <t>Рационы питания</t>
  </si>
  <si>
    <t>Кол-во дней в месяце</t>
  </si>
  <si>
    <t>Типовой суточный рацион питания на 1 КРС</t>
  </si>
  <si>
    <t>Маточное поголовье полный год</t>
  </si>
  <si>
    <t>Зеленая масса</t>
  </si>
  <si>
    <t>Концентраты</t>
  </si>
  <si>
    <t>Соль поваренная</t>
  </si>
  <si>
    <t>Сено</t>
  </si>
  <si>
    <t>Сенаж</t>
  </si>
  <si>
    <t>Силос</t>
  </si>
  <si>
    <t>Диаммонийфосфат</t>
  </si>
  <si>
    <t>Монокальцийфосфат</t>
  </si>
  <si>
    <t>Маточное поголовье 9 мес.</t>
  </si>
  <si>
    <t>БМВД</t>
  </si>
  <si>
    <t>Молоко</t>
  </si>
  <si>
    <t>л</t>
  </si>
  <si>
    <t>Кормовой фосфат</t>
  </si>
  <si>
    <t>Телочки предыдущего периода</t>
  </si>
  <si>
    <t>Дерть ячменная</t>
  </si>
  <si>
    <t>Зерноотходы</t>
  </si>
  <si>
    <t>Телочки текущего периода</t>
  </si>
  <si>
    <t>Солома</t>
  </si>
  <si>
    <t>Цена на корма</t>
  </si>
  <si>
    <t>тг/л</t>
  </si>
  <si>
    <t>грубые корма</t>
  </si>
  <si>
    <t>тг/кг</t>
  </si>
  <si>
    <t>концентрат</t>
  </si>
  <si>
    <t>премикс</t>
  </si>
  <si>
    <t>сочные корма</t>
  </si>
  <si>
    <t>Расчет привесов исходя из цикла</t>
  </si>
  <si>
    <t>г/сут</t>
  </si>
  <si>
    <t>Расчет циклов</t>
  </si>
  <si>
    <t>мес</t>
  </si>
  <si>
    <t>Телочки - предыдыщего года</t>
  </si>
  <si>
    <t>Телочки - текущего периода</t>
  </si>
  <si>
    <t>Годовые рационы питания</t>
  </si>
  <si>
    <t>5 вариантов</t>
  </si>
  <si>
    <t>Расход в месяц</t>
  </si>
  <si>
    <t>Расходы исходя из цикла</t>
  </si>
  <si>
    <t>Рацион питания на 1 голову в год</t>
  </si>
  <si>
    <t>7-12 мес.</t>
  </si>
  <si>
    <t>Расчет расходов на 1 голову</t>
  </si>
  <si>
    <t>Вес в начале</t>
  </si>
  <si>
    <t>Доращивание</t>
  </si>
  <si>
    <t>Телята</t>
  </si>
  <si>
    <t>Доращивание/бычки</t>
  </si>
  <si>
    <t>Доращивание/телочки</t>
  </si>
  <si>
    <t>Ремонтное стадо</t>
  </si>
  <si>
    <t>Период, мес.</t>
  </si>
  <si>
    <t>7-12</t>
  </si>
  <si>
    <t>12-18</t>
  </si>
  <si>
    <t>бычки</t>
  </si>
  <si>
    <t>6 мес.</t>
  </si>
  <si>
    <t>Корм</t>
  </si>
  <si>
    <t>Телёнок до 8 мес</t>
  </si>
  <si>
    <t>Телки 6 - 15 мес.</t>
  </si>
  <si>
    <t>Бычки 9 - 16</t>
  </si>
  <si>
    <t>Быки - производители</t>
  </si>
  <si>
    <t>Телёнок до 6 мес</t>
  </si>
  <si>
    <t>Телки 9 - 20 мес.</t>
  </si>
  <si>
    <t>Сено, кг</t>
  </si>
  <si>
    <t>Солома, кг</t>
  </si>
  <si>
    <t>Силос, кг</t>
  </si>
  <si>
    <t>Сенаж, кг</t>
  </si>
  <si>
    <t>Комбикорм, кг</t>
  </si>
  <si>
    <t>Трава пастбищная, кг</t>
  </si>
  <si>
    <t>Сеянные травы, кг</t>
  </si>
  <si>
    <t>Соль поваренная, кг</t>
  </si>
  <si>
    <t>Кормовой фосфат, кг</t>
  </si>
  <si>
    <t>Концентрат, кг</t>
  </si>
  <si>
    <t>БМВД, кг/патока</t>
  </si>
  <si>
    <t>БМВД, кг</t>
  </si>
  <si>
    <t>Прирост г/сутки</t>
  </si>
  <si>
    <t>Вес</t>
  </si>
  <si>
    <t>Вес на выходе</t>
  </si>
  <si>
    <t>Итого расход</t>
  </si>
  <si>
    <t>Расход в 1 меяц</t>
  </si>
  <si>
    <t>Динамика движения по возрастной группе</t>
  </si>
  <si>
    <t>Средний вес, кг</t>
  </si>
  <si>
    <t>Суточный привес,г/сут</t>
  </si>
  <si>
    <t>#N/A</t>
  </si>
  <si>
    <t>Телочки - текущего периода н.п.</t>
  </si>
  <si>
    <t>Телочки - текущего периода к.п.</t>
  </si>
  <si>
    <t>Телочки - предыдущего периода н.п.</t>
  </si>
  <si>
    <t>Телочки - предыдущего периода к.п.</t>
  </si>
  <si>
    <t>Маточное поголовье н.п. 9 мес.</t>
  </si>
  <si>
    <t>Маточное поголовье к.п. 9 мес.</t>
  </si>
  <si>
    <t>Маточное поголовье н.п. 12 мес.</t>
  </si>
  <si>
    <t>Маточное поголовье к.п. 12 мес.</t>
  </si>
  <si>
    <t>Бычки н.п.</t>
  </si>
  <si>
    <t>до 8</t>
  </si>
  <si>
    <t>Телята к.п.</t>
  </si>
  <si>
    <t>Бычки на доращивании</t>
  </si>
  <si>
    <t>Племенные бычки</t>
  </si>
  <si>
    <t>Товарные бычки</t>
  </si>
  <si>
    <t>Потребление кормов</t>
  </si>
  <si>
    <t>Всего расходы на репродукторе</t>
  </si>
  <si>
    <t>Всего доращивание</t>
  </si>
  <si>
    <t>Дата выдачи</t>
  </si>
  <si>
    <t xml:space="preserve">Срок </t>
  </si>
  <si>
    <t>Льготный период</t>
  </si>
  <si>
    <t>каждые 12 мес.</t>
  </si>
  <si>
    <t>Погашение ОД</t>
  </si>
  <si>
    <t xml:space="preserve">Расчет заработной платы </t>
  </si>
  <si>
    <t>Фактор</t>
  </si>
  <si>
    <t>Налоговые ставки</t>
  </si>
  <si>
    <t>Месячный расчетный показатель</t>
  </si>
  <si>
    <t xml:space="preserve">Минимальная заработная плата </t>
  </si>
  <si>
    <t>тыс. тенге / мес.</t>
  </si>
  <si>
    <t>Максимальный объект расчета исчислений (для СО)</t>
  </si>
  <si>
    <t>Tax code, RoK</t>
  </si>
  <si>
    <t>Максимальный объект расчета исчислений (для ОСМС)</t>
  </si>
  <si>
    <t>Минимальный порог на вычеты</t>
  </si>
  <si>
    <t>МРП</t>
  </si>
  <si>
    <t>Уровень социальных отчислений</t>
  </si>
  <si>
    <t>Уровень социального налога</t>
  </si>
  <si>
    <t>Обязательное социальное медицинское страхование</t>
  </si>
  <si>
    <t xml:space="preserve">Взносы ОСМС работников </t>
  </si>
  <si>
    <t>Пенсионные отчисления</t>
  </si>
  <si>
    <t>Заработная плата</t>
  </si>
  <si>
    <t>Коэффициент с нэт ЗП в брутто ЗП (в случае резидента РК)</t>
  </si>
  <si>
    <t>Результат - ФОТ</t>
  </si>
  <si>
    <t>ФОТ</t>
  </si>
  <si>
    <t>Производственный персонал</t>
  </si>
  <si>
    <t>Персонал</t>
  </si>
  <si>
    <t>Социальные отчисления</t>
  </si>
  <si>
    <t>Социальный налог</t>
  </si>
  <si>
    <t>ОСМС</t>
  </si>
  <si>
    <t>Штатное расписание</t>
  </si>
  <si>
    <t>резидент РК</t>
  </si>
  <si>
    <t>Ветеринар</t>
  </si>
  <si>
    <t>Повар</t>
  </si>
  <si>
    <t>Тракторист</t>
  </si>
  <si>
    <t>Заработная плата (нетто)</t>
  </si>
  <si>
    <t>прогноз</t>
  </si>
  <si>
    <t>Расчет ЗП до вычета налогов и социальных отчислений</t>
  </si>
  <si>
    <t>Итого ЗП</t>
  </si>
  <si>
    <t>Заработная плата (брутто)</t>
  </si>
  <si>
    <t>Итого ЗП (резиндентов РК)</t>
  </si>
  <si>
    <t>x</t>
  </si>
  <si>
    <t>Взносы (удельники)</t>
  </si>
  <si>
    <t>Социальные отчисления (удельники)</t>
  </si>
  <si>
    <t>Социальный налог (удельники)</t>
  </si>
  <si>
    <t>ОСМС (удельники)</t>
  </si>
  <si>
    <t>Взносы (расчет)</t>
  </si>
  <si>
    <t>Итого платежи в бюджет</t>
  </si>
  <si>
    <t>—</t>
  </si>
  <si>
    <t>Конец листа</t>
  </si>
  <si>
    <t>Открытый загон для изолятора, норма-20м2 на корову с теленком</t>
  </si>
  <si>
    <t>Загон для быков -производителей, норма 25м2 на 1 голову</t>
  </si>
  <si>
    <t>Ветрозащита 20-30метров</t>
  </si>
  <si>
    <t>Кормовой стол, норома 0,5м2 на 1 голову</t>
  </si>
  <si>
    <t>Теплая поилка, 4 попловка, для быков 2 попловка</t>
  </si>
  <si>
    <t>Пастбища</t>
  </si>
  <si>
    <t>Автономный мобильный жилой дом/вагончик</t>
  </si>
  <si>
    <t>Поилки от скважин с ветренными насосами</t>
  </si>
  <si>
    <t>Ограждение пастбищ</t>
  </si>
  <si>
    <t>Непредвиденные расходы</t>
  </si>
  <si>
    <t>Электрический погонщик</t>
  </si>
  <si>
    <t>Поилки для молока</t>
  </si>
  <si>
    <t>Вакцинаторы</t>
  </si>
  <si>
    <t>Дренчер</t>
  </si>
  <si>
    <t>Копытные ножи</t>
  </si>
  <si>
    <t>Реаниматор для телят</t>
  </si>
  <si>
    <t>Молокоотсос</t>
  </si>
  <si>
    <t>Огнетушитель</t>
  </si>
  <si>
    <t>Набор лопат и вил</t>
  </si>
  <si>
    <t>Набор инструментов (электро)</t>
  </si>
  <si>
    <t>Набор инструментов (строительные)</t>
  </si>
  <si>
    <t>Тачка</t>
  </si>
  <si>
    <t>Ручные рации</t>
  </si>
  <si>
    <t>Набор для холодного таврирования</t>
  </si>
  <si>
    <t>Электронные весы</t>
  </si>
  <si>
    <t>Хирургический набор</t>
  </si>
  <si>
    <t>Кун с ковшом и стогометом</t>
  </si>
  <si>
    <t>Считыватель чипов</t>
  </si>
  <si>
    <t>Зернодробилка</t>
  </si>
  <si>
    <t>Прицеп самосвальный 10-15 т</t>
  </si>
  <si>
    <t>Прицеп с емкостью для воды</t>
  </si>
  <si>
    <t>Бензиновые генераторы на 3-5 квт</t>
  </si>
  <si>
    <t>Набор инструментов для трактористов</t>
  </si>
  <si>
    <t>Навес для техники-500м2</t>
  </si>
  <si>
    <t>Скважина</t>
  </si>
  <si>
    <t>Автовесы</t>
  </si>
  <si>
    <t>КПП с санпропускником-50м2</t>
  </si>
  <si>
    <t>Наружные сети электроснабжения-10 Кв</t>
  </si>
  <si>
    <t>Скотомогильник</t>
  </si>
  <si>
    <t>Трап для погрузки КРС-марка ТТ-1С</t>
  </si>
  <si>
    <t>Крытое помещение для ветрообработки КРС-200м2</t>
  </si>
  <si>
    <t>Раскол-деление на 20голов КРС</t>
  </si>
  <si>
    <t>Накопитель на 300 голов КРС</t>
  </si>
  <si>
    <t>Открытая площадка для хранения сена-40 000 рулонов сена</t>
  </si>
  <si>
    <t>Промежуточный итог:</t>
  </si>
  <si>
    <t>Инструменты и оборудовние</t>
  </si>
  <si>
    <t>Станок для фиксации КРС</t>
  </si>
  <si>
    <t>Родовспомогатель</t>
  </si>
  <si>
    <t>Термо Чемодан</t>
  </si>
  <si>
    <t>Спецодежда</t>
  </si>
  <si>
    <t>Спутниковые антенны</t>
  </si>
  <si>
    <t>Техника</t>
  </si>
  <si>
    <t>Колесный трактор 100–150 л.с. (дежурный)</t>
  </si>
  <si>
    <t>Кормораздатчик (миксер-кормораздатчик) 8–12 м³</t>
  </si>
  <si>
    <t>Прицеп для перевозки скота</t>
  </si>
  <si>
    <t>Статья</t>
  </si>
  <si>
    <t>Описание</t>
  </si>
  <si>
    <t>Кол-во</t>
  </si>
  <si>
    <t>Цена</t>
  </si>
  <si>
    <t>Инструменты и расходники</t>
  </si>
  <si>
    <t>1 на голову</t>
  </si>
  <si>
    <t>единицы</t>
  </si>
  <si>
    <t xml:space="preserve">Hot-Shot </t>
  </si>
  <si>
    <t xml:space="preserve">Kerbl </t>
  </si>
  <si>
    <t>Priefert либо можно отечественного произовдства, что намного дешевле</t>
  </si>
  <si>
    <t xml:space="preserve">Tru-Test </t>
  </si>
  <si>
    <t>Simcro</t>
  </si>
  <si>
    <t xml:space="preserve">Allflex </t>
  </si>
  <si>
    <t xml:space="preserve">Victorinox </t>
  </si>
  <si>
    <t>Agri-Plastics</t>
  </si>
  <si>
    <t xml:space="preserve">Stille </t>
  </si>
  <si>
    <t>DeLaval</t>
  </si>
  <si>
    <t xml:space="preserve">20 единиц, Kerbl </t>
  </si>
  <si>
    <t>Термо Чемодан </t>
  </si>
  <si>
    <t>Прочие расходы УК</t>
  </si>
  <si>
    <t>Связь</t>
  </si>
  <si>
    <t>Продукты питания</t>
  </si>
  <si>
    <t>Вода</t>
  </si>
  <si>
    <t>Аптека</t>
  </si>
  <si>
    <t>Электроэнергия</t>
  </si>
  <si>
    <t>Дизтопливо (тракторы+ген.+погрузчик)</t>
  </si>
  <si>
    <t>~25 000 л / в год</t>
  </si>
  <si>
    <t>Жидкий азот</t>
  </si>
  <si>
    <t>2100 литров в год</t>
  </si>
  <si>
    <t>Бензин (пикапы, мотоциклы)</t>
  </si>
  <si>
    <t>~4 500 л / в год</t>
  </si>
  <si>
    <t>Масла и смазочные материалы</t>
  </si>
  <si>
    <t>~700 л / в год</t>
  </si>
  <si>
    <t>Запасные части (техника)</t>
  </si>
  <si>
    <t>Услуги по ремонту техники (крупноузловая)</t>
  </si>
  <si>
    <t>Шпагат (пресс-подборщик)</t>
  </si>
  <si>
    <t>~4200 кг / в год</t>
  </si>
  <si>
    <t>Продукты питания (персонал)</t>
  </si>
  <si>
    <t>~10 чел. / в год</t>
  </si>
  <si>
    <t>Уголь</t>
  </si>
  <si>
    <t>~100 т / в год</t>
  </si>
  <si>
    <t>~262 800 кВт·ч / в год</t>
  </si>
  <si>
    <t>~17 чел. × 1 комплекта / в год</t>
  </si>
  <si>
    <t>Мелкие ремонты (инфраструктура)</t>
  </si>
  <si>
    <t>Командировочные</t>
  </si>
  <si>
    <t>ИТОГО (opex)</t>
  </si>
  <si>
    <t>Ед. изм.</t>
  </si>
  <si>
    <t>га</t>
  </si>
  <si>
    <t>Расчет стоимости инвестированного капитала</t>
  </si>
  <si>
    <t>Стоимость собственного капитала</t>
  </si>
  <si>
    <t>Значение</t>
  </si>
  <si>
    <t>Ссылка</t>
  </si>
  <si>
    <t>Ед.</t>
  </si>
  <si>
    <t>United States Rates &amp; Bonds - Bloomberg</t>
  </si>
  <si>
    <t>Финансовый долг</t>
  </si>
  <si>
    <t>Ставка по займу</t>
  </si>
  <si>
    <t>Ставка подоходного налога</t>
  </si>
  <si>
    <t>Стоимость заемного капитала</t>
  </si>
  <si>
    <t>Безрисковая ставка (доходность гос. облигаций США)</t>
  </si>
  <si>
    <t xml:space="preserve">Страновой риск </t>
  </si>
  <si>
    <t>https://pages.stern.nyu.edu/~adamodar/New_Home_Page/datafile/ctryprem.html</t>
  </si>
  <si>
    <t>Бета (безрычаговая)</t>
  </si>
  <si>
    <t>Премия за риск инвестирования в акции</t>
  </si>
  <si>
    <t>Стоимость собственного капитала, USD</t>
  </si>
  <si>
    <t>Инфляция  (годовая на ноябрь 2025)</t>
  </si>
  <si>
    <t>Стоимость собственного капитала, KZT</t>
  </si>
  <si>
    <t>Инфляция US (сентябрь 2025)</t>
  </si>
  <si>
    <t>Adjusted EBITDA</t>
  </si>
  <si>
    <t>см. P&amp;L</t>
  </si>
  <si>
    <t>Exit multiple</t>
  </si>
  <si>
    <t>Total Enterprise Value</t>
  </si>
  <si>
    <t>Plus: Cash</t>
  </si>
  <si>
    <t>Less: Long term debt</t>
  </si>
  <si>
    <t>Less: Short term debt</t>
  </si>
  <si>
    <t>см. Баланс</t>
  </si>
  <si>
    <t>Total Equity Value</t>
  </si>
  <si>
    <t>Mertic of return</t>
  </si>
  <si>
    <t>Net proceeds to LPs</t>
  </si>
  <si>
    <t>Waterfall Structure</t>
  </si>
  <si>
    <t>Оценка и Возвраты на Капитал</t>
  </si>
  <si>
    <t>MoIC</t>
  </si>
  <si>
    <t>LPs Equity</t>
  </si>
  <si>
    <t>Original LPs Investment</t>
  </si>
  <si>
    <t>отношение</t>
  </si>
  <si>
    <t>1ый год</t>
  </si>
  <si>
    <t>2ой год</t>
  </si>
  <si>
    <t>Максимальное количество</t>
  </si>
  <si>
    <t>Максимальное количество + без выбраковки+без падежей</t>
  </si>
  <si>
    <t>Этап доращивания</t>
  </si>
  <si>
    <t>Увеличение поголовья за счет репродуктора</t>
  </si>
  <si>
    <t>Маточное поголовье (выбраковка)</t>
  </si>
  <si>
    <t>Быки-производители (выбраковка)</t>
  </si>
  <si>
    <t>Итого увеличение поголовья за счет репродуктора</t>
  </si>
  <si>
    <t>Увеличение поголовья за счет закупа бычков</t>
  </si>
  <si>
    <t>Итого движение по откормочной площадки</t>
  </si>
  <si>
    <t>Ср. живой вес после доращивания, кг</t>
  </si>
  <si>
    <t xml:space="preserve">Итого живой вес </t>
  </si>
  <si>
    <t>Расчет</t>
  </si>
  <si>
    <t>Закупаемые бычки</t>
  </si>
  <si>
    <t>Собственные бычки</t>
  </si>
  <si>
    <t>Приобретаемые бычки</t>
  </si>
  <si>
    <t>Перевод в доращивание (бычки)</t>
  </si>
  <si>
    <t>Продажа после доращивания (бычки)</t>
  </si>
  <si>
    <t>Племенные бычки на доращивании</t>
  </si>
  <si>
    <t>Товарные бычки на доращивании</t>
  </si>
  <si>
    <t>Корма - собственные бычки</t>
  </si>
  <si>
    <t>Корма - товарные бычки</t>
  </si>
  <si>
    <t>Закупаемые товарные бычки</t>
  </si>
  <si>
    <t>Закуп товарных бычков</t>
  </si>
  <si>
    <t>Закупаемые товарные бычки - продажа</t>
  </si>
  <si>
    <t>Закуп товарных бычков - покупка</t>
  </si>
  <si>
    <t>Вес при закупе</t>
  </si>
  <si>
    <t>Закуп товарного стада</t>
  </si>
  <si>
    <t>Изменение в закупе бычков</t>
  </si>
  <si>
    <t>ФОТ адм</t>
  </si>
  <si>
    <t>Valuation</t>
  </si>
  <si>
    <t>Liquidation value</t>
  </si>
  <si>
    <t>Net Debt</t>
  </si>
  <si>
    <t>РАЦИОНЫ ПИТАНИЯ / FEEDING RATIONS</t>
  </si>
  <si>
    <t>Суточный рацион по месяцам (сезонный паттерн)</t>
  </si>
  <si>
    <t>дата</t>
  </si>
  <si>
    <t>Размер собственного участия</t>
  </si>
  <si>
    <t>кол-во голов</t>
  </si>
  <si>
    <t>Цена закупа 1 маточного поголовья</t>
  </si>
  <si>
    <t>Цена закупа 1 быка производителя</t>
  </si>
  <si>
    <t>Общие вводные данные</t>
  </si>
  <si>
    <t>Закуп быков-производителей</t>
  </si>
  <si>
    <t>ratio</t>
  </si>
  <si>
    <t>Расходы на строительство/работы</t>
  </si>
  <si>
    <t>Общая стоимость капитальных затрат основной фермы</t>
  </si>
  <si>
    <t>Изолятор на 15 голов, норма -8м2 на 1 голову (ветпункт 12х16м)</t>
  </si>
  <si>
    <t>Загон для 30 коров КРС , норма 20м2 на 1 голову</t>
  </si>
  <si>
    <t>Расходы на работы</t>
  </si>
  <si>
    <t>Размер паушального взноса</t>
  </si>
  <si>
    <t>Доля собственного участия</t>
  </si>
  <si>
    <t>Размер необходимого собственного участия</t>
  </si>
  <si>
    <t>Норма по количеству быков-производителей</t>
  </si>
  <si>
    <t>Условия финансирования</t>
  </si>
  <si>
    <t>Ставка вознаграждения</t>
  </si>
  <si>
    <t>Закуп поголовья</t>
  </si>
  <si>
    <t>Срок кредитования</t>
  </si>
  <si>
    <t>Единовременная мощность этапа доращивания</t>
  </si>
  <si>
    <t>Годовая мощность доращивания</t>
  </si>
  <si>
    <t>Займ АКК</t>
  </si>
  <si>
    <t>Доля займа</t>
  </si>
  <si>
    <t>Займы Большой Фермы Управляющей компании</t>
  </si>
  <si>
    <t>Директор фермы</t>
  </si>
  <si>
    <t>Норма тведых залогов</t>
  </si>
  <si>
    <t>Инвестиционный кредит АКК</t>
  </si>
  <si>
    <t>Всего Общая Инфраструктура</t>
  </si>
  <si>
    <t>Нематериальные активы</t>
  </si>
  <si>
    <t>базовая налоговая ставка</t>
  </si>
  <si>
    <t>Площадь пастбищ на 1 ферму</t>
  </si>
  <si>
    <t>Саммари проекта</t>
  </si>
  <si>
    <t>Капитальные затраты, итого</t>
  </si>
  <si>
    <t>Оборотный капитал, итого</t>
  </si>
  <si>
    <t>Займ</t>
  </si>
  <si>
    <t xml:space="preserve"> </t>
  </si>
  <si>
    <t>Проект финансируется АКК в рамках Национальной программы развития животноводства по целевому назначению: строительство инфраструктуры, закуп маточного поголовья и быков-производителей (долгосрочные займы) и финансирование оборотного капитала (закуп кормов, чипов, прочих расходников, оплата ФОТ пастухам, обязательное страхование).
Финансирование оборотного капитала необходимо в течение срока реализации проекта, со сроком погашения - 2 года.</t>
  </si>
  <si>
    <t>Оборотный капитал (первые 2 года)</t>
  </si>
  <si>
    <t>Первоначальный взнос</t>
  </si>
  <si>
    <t xml:space="preserve">Условия по займам </t>
  </si>
  <si>
    <t>Большая Ферма</t>
  </si>
  <si>
    <t>Требования программы (15% от суммы займа)</t>
  </si>
  <si>
    <t>Ставка по займу АКК</t>
  </si>
  <si>
    <t>Большая ферма</t>
  </si>
  <si>
    <t>Сумма займа АКК</t>
  </si>
  <si>
    <t>Отчет о прибылях и убытках Большая ферма</t>
  </si>
  <si>
    <t>Жилой дом</t>
  </si>
  <si>
    <t xml:space="preserve">Смета капитальных расходов </t>
  </si>
  <si>
    <t>Норма на пастбища</t>
  </si>
  <si>
    <t>га на 1 голову</t>
  </si>
  <si>
    <t>ФОТ (штат)</t>
  </si>
  <si>
    <t>1 ый год</t>
  </si>
  <si>
    <t xml:space="preserve">Бухглатер </t>
  </si>
  <si>
    <t>Займы 2ой год</t>
  </si>
  <si>
    <t>Проект Franchise Karabalyk</t>
  </si>
  <si>
    <t>Минимальный размер роялти, в год</t>
  </si>
  <si>
    <t>1 пастух по 250 тысяч тенге на руки</t>
  </si>
  <si>
    <t>Отруби/шрот</t>
  </si>
  <si>
    <t>Отруби/шроты</t>
  </si>
  <si>
    <t>Диаммонийфосфат (премикс)</t>
  </si>
  <si>
    <t>Монокальцийфосфат (премикс)</t>
  </si>
  <si>
    <t>БМВД (премикс)</t>
  </si>
  <si>
    <t>Зернохранилище 2000м2</t>
  </si>
  <si>
    <t>Общий ангар на 300 голов, норма 8м2 на 1 голову</t>
  </si>
  <si>
    <t>Резервуар для питьевой воды-2м3</t>
  </si>
  <si>
    <t>Проект Model Farm Zhailau</t>
  </si>
  <si>
    <t>Общие показатели проекта Model Farm Zhailau</t>
  </si>
  <si>
    <t>Наименование</t>
  </si>
  <si>
    <t>Ферма</t>
  </si>
  <si>
    <t>Гибкие параметры модели</t>
  </si>
  <si>
    <t>Стартовое маточное поголовье</t>
  </si>
  <si>
    <t>Тип отёла</t>
  </si>
  <si>
    <t>Зимний</t>
  </si>
  <si>
    <t>Материал закрытых сооружений</t>
  </si>
  <si>
    <t>Сэндвич-панель</t>
  </si>
  <si>
    <t>Материал вспомогательных сооружений</t>
  </si>
  <si>
    <t>Лёгкий каркас</t>
  </si>
  <si>
    <t>Справочник материалов / типов строительства</t>
  </si>
  <si>
    <t>Материал / тип исполнения</t>
  </si>
  <si>
    <t>Стоимость 1 м², тенге</t>
  </si>
  <si>
    <t>Металлоконструкция</t>
  </si>
  <si>
    <t>Кирпич / капитальное</t>
  </si>
  <si>
    <t>Выбранная цена м² (закрытые)</t>
  </si>
  <si>
    <t>Выбранная цена м² (вспомог.)</t>
  </si>
  <si>
    <t>Вкл.</t>
  </si>
  <si>
    <t>Норма м²/гол</t>
  </si>
  <si>
    <t>Расчётн. площ.</t>
  </si>
  <si>
    <t>НОРМАТИВНО-ТЕХНОЛОГИЧЕСКИЙ СПРАВОЧНИК — РЕПРОДУКТОР КРС МЯСНОГО НАПРАВЛЕНИЯ (РК)</t>
  </si>
  <si>
    <t>Вставьте этот лист в финансовую модель как справочный лист REF. Все расчётные листы должны ссылаться на этот лист через XLOOKUP / INDEX-MATCH по кодам (FAC-, MAT-, SCN-, REG-, COEF-, PAD-).</t>
  </si>
  <si>
    <t>Синий текст на жёлтом фоне = ввод пользователя (Input).  Зелёный фон = подтягивается формулой.  Чёрный = справочное/нормативное.</t>
  </si>
  <si>
    <t>1. ПОМЕЩЕНИЯ И СООРУЖЕНИЯ (Facility_Norms)</t>
  </si>
  <si>
    <t>Код</t>
  </si>
  <si>
    <t>Тип</t>
  </si>
  <si>
    <t>Категория скота</t>
  </si>
  <si>
    <t>Ед. расчёта</t>
  </si>
  <si>
    <t>Драйвер площади</t>
  </si>
  <si>
    <t>Норма пл. (м²/ед.)</t>
  </si>
  <si>
    <t>Min шир. (м)</t>
  </si>
  <si>
    <t>Min выс. без подст. (м)</t>
  </si>
  <si>
    <t>Min выс. с подст. (м)</t>
  </si>
  <si>
    <t>Завис. от сценария?</t>
  </si>
  <si>
    <t>Допуст. материалы</t>
  </si>
  <si>
    <t>В CAPEX?</t>
  </si>
  <si>
    <t>Комментарий</t>
  </si>
  <si>
    <t>FAC-001</t>
  </si>
  <si>
    <t>Коровник закрытый</t>
  </si>
  <si>
    <t>Закрытое</t>
  </si>
  <si>
    <t>Коровы мясные</t>
  </si>
  <si>
    <t>гол.</t>
  </si>
  <si>
    <t>Поголовье коров</t>
  </si>
  <si>
    <t>Да</t>
  </si>
  <si>
    <t>MAT-001;MAT-003;MAT-004</t>
  </si>
  <si>
    <t>Стойловый период; зимний отёл — обязателен</t>
  </si>
  <si>
    <t>FAC-002</t>
  </si>
  <si>
    <t>Коровник полуоткрытый (навес)</t>
  </si>
  <si>
    <t>Полуоткрытое</t>
  </si>
  <si>
    <t>MAT-003;MAT-002</t>
  </si>
  <si>
    <t>Летний отёл — доля растёт</t>
  </si>
  <si>
    <t>FAC-003</t>
  </si>
  <si>
    <t>Помещение для отёла (родильное)</t>
  </si>
  <si>
    <t>Коровы на отёле</t>
  </si>
  <si>
    <t>гол.одн.</t>
  </si>
  <si>
    <t>10–15% маточного погол.</t>
  </si>
  <si>
    <t>9 м²/гол., min 3 м шир.; кол-во мест = % маток</t>
  </si>
  <si>
    <t>FAC-004</t>
  </si>
  <si>
    <t>Денник индивидуальный</t>
  </si>
  <si>
    <t>Внутри FAC-003</t>
  </si>
  <si>
    <t>Корова+телёнок</t>
  </si>
  <si>
    <t>денник</t>
  </si>
  <si>
    <t>Нет (часть FAC-003)</t>
  </si>
  <si>
    <t>9 м², min 3 м; входит в FAC-003</t>
  </si>
  <si>
    <t>FAC-005</t>
  </si>
  <si>
    <t>Телятник (до отъёма)</t>
  </si>
  <si>
    <t>Закр./полуоткр.</t>
  </si>
  <si>
    <t>Телята 0–6 мес.</t>
  </si>
  <si>
    <t>Поголовье телят</t>
  </si>
  <si>
    <t>MAT-001;MAT-003;MAT-002</t>
  </si>
  <si>
    <t>Мясное напр.: телята с матерями; отдельный — опцион.</t>
  </si>
  <si>
    <t>FAC-006</t>
  </si>
  <si>
    <t>Помещение тёлок/нетелей</t>
  </si>
  <si>
    <t>Тёлки/нетели</t>
  </si>
  <si>
    <t>Поголовье тёлок</t>
  </si>
  <si>
    <t>Частично</t>
  </si>
  <si>
    <t>Может быть частью коровника</t>
  </si>
  <si>
    <t>FAC-007</t>
  </si>
  <si>
    <t>Помещение быков-производит.</t>
  </si>
  <si>
    <t>Быки</t>
  </si>
  <si>
    <t>Кол-во быков</t>
  </si>
  <si>
    <t>Нет</t>
  </si>
  <si>
    <t>MAT-001;MAT-003</t>
  </si>
  <si>
    <t>Индивид./мелкогрупповое</t>
  </si>
  <si>
    <t>FAC-008</t>
  </si>
  <si>
    <t>Выгул-корм. площадка (тв. покр.)</t>
  </si>
  <si>
    <t>Открытая</t>
  </si>
  <si>
    <t>Коровы+телята</t>
  </si>
  <si>
    <t>Поголовье</t>
  </si>
  <si>
    <t>MAT-011;MAT-012</t>
  </si>
  <si>
    <t>8 м²/гол. — коровы мясн. с подс. телятами</t>
  </si>
  <si>
    <t>FAC-009</t>
  </si>
  <si>
    <t>Выгул-корм. площадка (без покр.)</t>
  </si>
  <si>
    <t>MAT-013</t>
  </si>
  <si>
    <t>20–25 м²/гол.; default 22.5</t>
  </si>
  <si>
    <t>FAC-010</t>
  </si>
  <si>
    <t>Выгул откорм (тв. покр.)</t>
  </si>
  <si>
    <t>Откорм. скот</t>
  </si>
  <si>
    <t>Погол. откорма</t>
  </si>
  <si>
    <t>5 м²/гол.</t>
  </si>
  <si>
    <t>FAC-011</t>
  </si>
  <si>
    <t>Выгул откорм (без покр.)</t>
  </si>
  <si>
    <t>15 м²/гол.</t>
  </si>
  <si>
    <t>FAC-012</t>
  </si>
  <si>
    <t>Ветпункт / изолятор</t>
  </si>
  <si>
    <t>Все</t>
  </si>
  <si>
    <t>объект</t>
  </si>
  <si>
    <t>1 на ферму</t>
  </si>
  <si>
    <t>Обязателен по вет. треб.</t>
  </si>
  <si>
    <t>FAC-013</t>
  </si>
  <si>
    <t>Карантин</t>
  </si>
  <si>
    <t>Карантинные</t>
  </si>
  <si>
    <t>2–5% поголовья</t>
  </si>
  <si>
    <t>FAC-014</t>
  </si>
  <si>
    <t>Раскол / загон обработки</t>
  </si>
  <si>
    <t>Открытое</t>
  </si>
  <si>
    <t>1 компл. на ферму</t>
  </si>
  <si>
    <t>MAT-002</t>
  </si>
  <si>
    <t>Раскол, весы, загонные дорожки</t>
  </si>
  <si>
    <t>FAC-015</t>
  </si>
  <si>
    <t>Сенохранилище / навес кормов</t>
  </si>
  <si>
    <t>Полуоткр./откр.</t>
  </si>
  <si>
    <t>тн кормов</t>
  </si>
  <si>
    <t>Годовая потр. в кормах</t>
  </si>
  <si>
    <t>Объём от стойлового периода</t>
  </si>
  <si>
    <t>FAC-016</t>
  </si>
  <si>
    <t>Силосная яма / траншея</t>
  </si>
  <si>
    <t>тн силоса</t>
  </si>
  <si>
    <t>Годовая потребность</t>
  </si>
  <si>
    <t>MAT-014</t>
  </si>
  <si>
    <t>При заготовке силоса</t>
  </si>
  <si>
    <t>FAC-017</t>
  </si>
  <si>
    <t>Водопойный пункт / поилки</t>
  </si>
  <si>
    <t>Оборуд.</t>
  </si>
  <si>
    <t>шт.</t>
  </si>
  <si>
    <t>1 поилка на 40 гол.</t>
  </si>
  <si>
    <t>Тип по климату</t>
  </si>
  <si>
    <t>FAC-018</t>
  </si>
  <si>
    <t>Навозохранилище</t>
  </si>
  <si>
    <t>м³</t>
  </si>
  <si>
    <t>Погол. × накопл./гол.</t>
  </si>
  <si>
    <t>MAT-014;MAT-012</t>
  </si>
  <si>
    <t>Обязателен по вет-сан треб.</t>
  </si>
  <si>
    <t>FAC-019</t>
  </si>
  <si>
    <t>Дезбарьер</t>
  </si>
  <si>
    <t>Инфра</t>
  </si>
  <si>
    <t>1 на въезд</t>
  </si>
  <si>
    <t>FAC-020</t>
  </si>
  <si>
    <t>Ограждение периметра</t>
  </si>
  <si>
    <t>п.м.</t>
  </si>
  <si>
    <t>Периметр территории</t>
  </si>
  <si>
    <t>Металл/сетка/дерево</t>
  </si>
  <si>
    <t>2. НОРМЫ ВЫГУЛЬНО-КОРМОВЫХ ПЛОЩАДОК (Paddock_Norms)</t>
  </si>
  <si>
    <t>Тип покрытия</t>
  </si>
  <si>
    <t>Норма (м²/гол.)</t>
  </si>
  <si>
    <t>Min</t>
  </si>
  <si>
    <t>Max</t>
  </si>
  <si>
    <t>Источник</t>
  </si>
  <si>
    <t>User override?</t>
  </si>
  <si>
    <t>PAD-001</t>
  </si>
  <si>
    <t>Коровы мясные с подс. телятами</t>
  </si>
  <si>
    <t>Твёрдое</t>
  </si>
  <si>
    <t>НТП-1-99 (ref)</t>
  </si>
  <si>
    <t>Бетон, асфальт, щебень</t>
  </si>
  <si>
    <t>PAD-002</t>
  </si>
  <si>
    <t>Без покрытия</t>
  </si>
  <si>
    <t>20–25; default 22.5</t>
  </si>
  <si>
    <t>PAD-003</t>
  </si>
  <si>
    <t>Откормочный скот</t>
  </si>
  <si>
    <t>PAD-004</t>
  </si>
  <si>
    <t>PAD-005</t>
  </si>
  <si>
    <t>Тёлки / нетели</t>
  </si>
  <si>
    <t>Практика</t>
  </si>
  <si>
    <t>PAD-006</t>
  </si>
  <si>
    <t>PAD-007</t>
  </si>
  <si>
    <t>Индивид. выгул</t>
  </si>
  <si>
    <t>PAD-008</t>
  </si>
  <si>
    <t>Телята (после отъёма)</t>
  </si>
  <si>
    <t>3. СПРАВОЧНИК МАТЕРИАЛОВ (Material_Directory)</t>
  </si>
  <si>
    <t>Тип конструкции</t>
  </si>
  <si>
    <t>Стоим. (тыс.тг/м²)</t>
  </si>
  <si>
    <t>Срок (лет)</t>
  </si>
  <si>
    <t>К утепл.</t>
  </si>
  <si>
    <t>К сезон.</t>
  </si>
  <si>
    <t>К сложн.</t>
  </si>
  <si>
    <t>Закрытое?</t>
  </si>
  <si>
    <t>Полуоткр.?</t>
  </si>
  <si>
    <t>Открытое?</t>
  </si>
  <si>
    <t>MAT-001</t>
  </si>
  <si>
    <t>Каркасно-панельная</t>
  </si>
  <si>
    <t>Утеплённая; быстрый монтаж; закрытые помещения</t>
  </si>
  <si>
    <t>Лёгкая каркасная</t>
  </si>
  <si>
    <t>Навесы, трёхстенники, загоны, расколы</t>
  </si>
  <si>
    <t>MAT-003</t>
  </si>
  <si>
    <t>Каркасная металл.</t>
  </si>
  <si>
    <t>Да(с ут.)</t>
  </si>
  <si>
    <t>Универсальный; при утеплении K×1.3–1.5</t>
  </si>
  <si>
    <t>MAT-004</t>
  </si>
  <si>
    <t>Капитальная</t>
  </si>
  <si>
    <t>Max срок службы; дороже, дольше строить</t>
  </si>
  <si>
    <t>MAT-011</t>
  </si>
  <si>
    <t>Бетонная площадка</t>
  </si>
  <si>
    <t>Монолитная</t>
  </si>
  <si>
    <t>Выгульные площадки, твёрдое покрытие</t>
  </si>
  <si>
    <t>MAT-012</t>
  </si>
  <si>
    <t>Щебёночное покрытие</t>
  </si>
  <si>
    <t>Площадка</t>
  </si>
  <si>
    <t>Бюджетное покрытие; обновление</t>
  </si>
  <si>
    <t>Грунтовая планировка</t>
  </si>
  <si>
    <t>Земляные работы</t>
  </si>
  <si>
    <t>Минимум затрат; деградация</t>
  </si>
  <si>
    <t>Ж/б плиты/стены (силос, навоз)</t>
  </si>
  <si>
    <t>Монолит./сборная</t>
  </si>
  <si>
    <t>Силосные траншеи, навозохранилища</t>
  </si>
  <si>
    <t>4. СЦЕНАРИИ ОТЁЛА (Scenario_Directory)</t>
  </si>
  <si>
    <t>Период</t>
  </si>
  <si>
    <t>Потр. в отельных помещ.</t>
  </si>
  <si>
    <t>Доля закрытых</t>
  </si>
  <si>
    <t>Доля полуоткрытых</t>
  </si>
  <si>
    <t>Доля открытых</t>
  </si>
  <si>
    <t>Подстилка</t>
  </si>
  <si>
    <t>Влияние на CAPEX</t>
  </si>
  <si>
    <t>Влияние на OPEX</t>
  </si>
  <si>
    <t>SCN-WIN</t>
  </si>
  <si>
    <t>Зимний отёл</t>
  </si>
  <si>
    <t>Янв–Мар</t>
  </si>
  <si>
    <t>Max: 100% в помещении</t>
  </si>
  <si>
    <t>60–80%</t>
  </si>
  <si>
    <t>10–20%</t>
  </si>
  <si>
    <t>Глубокая обязат.; +1м высоты</t>
  </si>
  <si>
    <t>Высокий (утепл., энергия)</t>
  </si>
  <si>
    <t>Высокий (отопл., подстилка, корма)</t>
  </si>
  <si>
    <t>Преобладает в сев. регионах</t>
  </si>
  <si>
    <t>SCN-SUM</t>
  </si>
  <si>
    <t>Летний отёл</t>
  </si>
  <si>
    <t>Май–Июл</t>
  </si>
  <si>
    <t>Min: на пастбище/площадке</t>
  </si>
  <si>
    <t>20–40%</t>
  </si>
  <si>
    <t>30–40%</t>
  </si>
  <si>
    <t>Минимальна / не требуется</t>
  </si>
  <si>
    <t>Ниже (меньше утеплённых)</t>
  </si>
  <si>
    <t>Ниже (пастбище снижает корма)</t>
  </si>
  <si>
    <t>Оптимален для юга; экономия CAPEX</t>
  </si>
  <si>
    <t>5. ПАСТБИЩНЫЙ БЛОК (Regional_Pasture)</t>
  </si>
  <si>
    <t>Код региона</t>
  </si>
  <si>
    <t>Область</t>
  </si>
  <si>
    <t>Природная зона</t>
  </si>
  <si>
    <t>Базовая норма (га/усл.гол.)</t>
  </si>
  <si>
    <t>Override (га/усл.гол.)</t>
  </si>
  <si>
    <t>Итого норма</t>
  </si>
  <si>
    <t>Пастб. период (мес.)</t>
  </si>
  <si>
    <t>Доступная площадь (га)</t>
  </si>
  <si>
    <t>Поголовье (усл.гол.)</t>
  </si>
  <si>
    <t>Потребность (га)</t>
  </si>
  <si>
    <t>Профицит/Дефицит (га)</t>
  </si>
  <si>
    <t>Нужен местный план?</t>
  </si>
  <si>
    <t>REG-SKO</t>
  </si>
  <si>
    <t>Северо-Казахстанская</t>
  </si>
  <si>
    <t>Лесостепная</t>
  </si>
  <si>
    <t>5</t>
  </si>
  <si>
    <t>Высокая продуктивность</t>
  </si>
  <si>
    <t>REG-KOS</t>
  </si>
  <si>
    <t>Костанайская</t>
  </si>
  <si>
    <t>Степная</t>
  </si>
  <si>
    <t>5–6</t>
  </si>
  <si>
    <t>Засушливая степь</t>
  </si>
  <si>
    <t>REG-AKM</t>
  </si>
  <si>
    <t>Акмолинская</t>
  </si>
  <si>
    <t>Лесостепная/степная</t>
  </si>
  <si>
    <t>Пригородные р-ны ограничены</t>
  </si>
  <si>
    <t>REG-PAV</t>
  </si>
  <si>
    <t>Павлодарская</t>
  </si>
  <si>
    <t>Степная/полупустынная</t>
  </si>
  <si>
    <t>REG-ABY</t>
  </si>
  <si>
    <t>Абайская</t>
  </si>
  <si>
    <t>Новая область</t>
  </si>
  <si>
    <t>REG-VKO</t>
  </si>
  <si>
    <t>Восточно-Казахстанская</t>
  </si>
  <si>
    <t>Лесостепная/горная</t>
  </si>
  <si>
    <t>Горные пастбища</t>
  </si>
  <si>
    <t>REG-KAR</t>
  </si>
  <si>
    <t>Карагандинская</t>
  </si>
  <si>
    <t>REG-ULY</t>
  </si>
  <si>
    <t>Улытауская</t>
  </si>
  <si>
    <t>Полупустынная</t>
  </si>
  <si>
    <t>REG-AKT</t>
  </si>
  <si>
    <t>Актюбинская</t>
  </si>
  <si>
    <t>Полупустынная/степная</t>
  </si>
  <si>
    <t>Низкая продуктивность</t>
  </si>
  <si>
    <t>REG-ZKO</t>
  </si>
  <si>
    <t>Западно-Казахстанская</t>
  </si>
  <si>
    <t>REG-ATY</t>
  </si>
  <si>
    <t>Атырауская</t>
  </si>
  <si>
    <t>Полупустынная/пустынная</t>
  </si>
  <si>
    <t>6–7</t>
  </si>
  <si>
    <t>REG-MAN</t>
  </si>
  <si>
    <t>Мангистауская</t>
  </si>
  <si>
    <t>Пустынная</t>
  </si>
  <si>
    <t>8–9</t>
  </si>
  <si>
    <t>Крайне аридная</t>
  </si>
  <si>
    <t>REG-ZHA</t>
  </si>
  <si>
    <t>Жамбылская</t>
  </si>
  <si>
    <t>Полупустынная/предгорная</t>
  </si>
  <si>
    <t>REG-TUR</t>
  </si>
  <si>
    <t>Туркестанская</t>
  </si>
  <si>
    <t>Полупуст./пустынная</t>
  </si>
  <si>
    <t>7–8</t>
  </si>
  <si>
    <t>Очень низкая продуктивность</t>
  </si>
  <si>
    <t>REG-KYZ</t>
  </si>
  <si>
    <t>Кызылординская</t>
  </si>
  <si>
    <t>REG-ALM</t>
  </si>
  <si>
    <t>Алматинская</t>
  </si>
  <si>
    <t>Предгорная/горная</t>
  </si>
  <si>
    <t>Продуктивные предгорья</t>
  </si>
  <si>
    <t>REG-ZHE</t>
  </si>
  <si>
    <t>Жетысуская</t>
  </si>
  <si>
    <t>Предгорная/степная</t>
  </si>
  <si>
    <t>6</t>
  </si>
  <si>
    <t>6. КОЭФФИЦИЕНТЫ CAPEX (Capex_Coefficients)</t>
  </si>
  <si>
    <t>Default</t>
  </si>
  <si>
    <t>Единица</t>
  </si>
  <si>
    <t>Когда применяется</t>
  </si>
  <si>
    <t>COEF-001</t>
  </si>
  <si>
    <t>К утепления (зима)</t>
  </si>
  <si>
    <t>Удорожание при зимн. варианте</t>
  </si>
  <si>
    <t>множ.</t>
  </si>
  <si>
    <t>Зимний сценарий, закрытые помещ.</t>
  </si>
  <si>
    <t>К базовой стоимости м²</t>
  </si>
  <si>
    <t>COEF-002</t>
  </si>
  <si>
    <t>К сезонности строит.</t>
  </si>
  <si>
    <t>Корректировка по сезону строительства</t>
  </si>
  <si>
    <t>Зимнее строительство ≈1.1–1.2</t>
  </si>
  <si>
    <t>COEF-003</t>
  </si>
  <si>
    <t>К строит. сложности</t>
  </si>
  <si>
    <t>Логистика, удалённость, грунт</t>
  </si>
  <si>
    <t>Всегда; по участку</t>
  </si>
  <si>
    <t>Отдалённые р-ны 1.2–1.5</t>
  </si>
  <si>
    <t>COEF-004</t>
  </si>
  <si>
    <t>К региональный</t>
  </si>
  <si>
    <t>Удорожание по региону</t>
  </si>
  <si>
    <t>По региону</t>
  </si>
  <si>
    <t>Мангистау~1.3; Костанай~1.0</t>
  </si>
  <si>
    <t>COEF-005</t>
  </si>
  <si>
    <t>К инфляции строит.</t>
  </si>
  <si>
    <t>Годовой рост стройрасходов</t>
  </si>
  <si>
    <t>множ./год</t>
  </si>
  <si>
    <t>Прогнозный</t>
  </si>
  <si>
    <t>Историч. ~8–12%</t>
  </si>
  <si>
    <t>COEF-006</t>
  </si>
  <si>
    <t>К непредвиденных</t>
  </si>
  <si>
    <t>Contingency</t>
  </si>
  <si>
    <t>Всегда</t>
  </si>
  <si>
    <t>5–20% по стадии проекта</t>
  </si>
  <si>
    <t>COEF-007</t>
  </si>
  <si>
    <t>К ПИР</t>
  </si>
  <si>
    <t>Проектно-изыскательские</t>
  </si>
  <si>
    <t>доля CAPEX</t>
  </si>
  <si>
    <t>3–10% от строит. CAPEX</t>
  </si>
  <si>
    <t>COEF-008</t>
  </si>
  <si>
    <t>К технадзора</t>
  </si>
  <si>
    <t>Строительный надзор</t>
  </si>
  <si>
    <t>При внеш. надзоре</t>
  </si>
  <si>
    <t>2–5% от строит. CAPEX</t>
  </si>
  <si>
    <t>7. ЛОГИКА ИНТЕГРАЦИИ В ФИНАНСОВУЮ МОДЕЛЬ (инструкция для Claude в Excel)</t>
  </si>
  <si>
    <t>ШАГ 1. Поголовье по категориям → XLOOKUP(FAC-код, REF!A:A, REF!G:G) → потребность в местах по каждому объекту.</t>
  </si>
  <si>
    <t>ШАГ 2. Код сценария (SCN-WIN / SCN-SUM) → XLOOKUP → доли закрытых/полуоткрытых/открытых → скорректировать перечень объектов.</t>
  </si>
  <si>
    <t>ШАГ 3. Площадь = Кол-во мест × Норма площади (из блока 1).</t>
  </si>
  <si>
    <t>ШАГ 4. Для каждого объекта выбрать MAT-код → XLOOKUP(MAT-код, REF, стоимость/м²).</t>
  </si>
  <si>
    <t>ШАГ 5. CAPEX объекта = Площадь × Стоим./м² × COEF-001 × COEF-002 × COEF-003 × COEF-004 × COEF-006.</t>
  </si>
  <si>
    <t>ШАГ 6. Итого CAPEX строит. = SUM всех объектов. Добавить: × (1 + COEF-007) × (1 + COEF-008).</t>
  </si>
  <si>
    <t>ШАГ 7. Пастбищный модуль: XLOOKUP(регион, REF, норма га/гол.) × поголовье = потребность; сравнить с доступной площадью.</t>
  </si>
  <si>
    <t>ШАГ 8. Амортизация = CAPEX объекта / Срок службы материала (из блока 3). Линейная. → P&amp;L → Баланс.</t>
  </si>
  <si>
    <t>EXCEL-ПРАВИЛА:</t>
  </si>
  <si>
    <t>• Все нормативы — из этого листа REF через XLOOKUP / INDEX-MATCH. Ни одного hardcoded числа в формулах.</t>
  </si>
  <si>
    <t>• Scenario Switch: одна ячейка Input (выпадающий список SCN-WIN / SCN-SUM) управляет всей моделью.</t>
  </si>
  <si>
    <t>• Named Ranges: Scenario, Herd_Cows, Herd_Heifers, Herd_Bulls, Herd_Calves, Region.</t>
  </si>
  <si>
    <t>• Mapping table: промежуточная таблица FAC-код → выбранный MAT-код → стоимость (lookup из REF).</t>
  </si>
  <si>
    <t>• Слои: Input (синий) → REF (этот лист) → Calculations (чёрный) → Output.</t>
  </si>
  <si>
    <t>КОНТРОЛИ (добавить в модель):</t>
  </si>
  <si>
    <t>• Сценарий не выбран → ОШИБКА</t>
  </si>
  <si>
    <t>• Материал не выбран для объекта → ОШИБКА</t>
  </si>
  <si>
    <t>• Стоимость/м² = 0 или пусто → ОШИБКА</t>
  </si>
  <si>
    <t>• Зимний сценарий без закрытых помещений → ОШИБКА</t>
  </si>
  <si>
    <t>• Сумма долей (закр.+полуоткр.+откр.) ≠ 100% → ОШИБКА</t>
  </si>
  <si>
    <t>• Дефицит пастбищ → ПРЕДУПРЕЖДЕНИЕ</t>
  </si>
  <si>
    <t>• Коэффициент вне диапазона Min–Max → ПРЕДУПРЕЖДЕНИЕ</t>
  </si>
  <si>
    <t>• Отрицательные площади → ОШИБКА</t>
  </si>
  <si>
    <t>Параметры из Справочника</t>
  </si>
  <si>
    <t>Регион</t>
  </si>
  <si>
    <t>Пастбищная норма</t>
  </si>
  <si>
    <t>га/усл.гол.</t>
  </si>
  <si>
    <t>доля</t>
  </si>
  <si>
    <t>Цена/м² закрытых (из материала)</t>
  </si>
  <si>
    <t>тыс.тг/м²</t>
  </si>
  <si>
    <t>Цена/м² вспомогат. (из материала)</t>
  </si>
  <si>
    <t>Срок службы закрытых</t>
  </si>
  <si>
    <t>Срок службы вспомогат.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</si>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</sst>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5">
    <numFmt numFmtId="43" formatCode="_-* #,##0.00_-;\-* #,##0.00_-;_-* &quot;-&quot;??_-;_-@_-"/>
    <numFmt numFmtId="164" formatCode="0&quot;F&quot;"/>
    <numFmt numFmtId="165" formatCode="_(* #,##0_);_(* \(#,##0\);_(* &quot;-&quot;??_);_(@_)"/>
    <numFmt numFmtId="166" formatCode="#,##0_);\(#,##0\);@_)"/>
    <numFmt numFmtId="167" formatCode="0.0%"/>
    <numFmt numFmtId="168" formatCode="_(* #,##0.00_);_(* \(#,##0.00\);_(* &quot;-&quot;??_);_(@_)"/>
    <numFmt numFmtId="169" formatCode="#,##0_ ;[Red]\-#,##0\ "/>
    <numFmt numFmtId="170" formatCode="_-* #,##0_-;\-* #,##0_-;_-* &quot;-&quot;??_-;_-@"/>
    <numFmt numFmtId="171" formatCode="_-* #,##0.0_-;\-* #,##0.0_-;_-* &quot;-&quot;??_-;_-@"/>
    <numFmt numFmtId="172" formatCode="_(* #,##0.0_);_(* \(#,##0.0\);_(* &quot;-&quot;??_);_(@_)"/>
    <numFmt numFmtId="173" formatCode="_-* #,##0.00_-;\-* #,##0.00_-;_-* &quot;-&quot;??_-;_-@"/>
    <numFmt numFmtId="174" formatCode="#,##0.0_);\(#,##0.0\);&quot;--&quot;_);@_)"/>
    <numFmt numFmtId="175" formatCode="0.0\ \x_);\(0.0\ \x\);&quot;--&quot;_ _x_);@_ _x_)"/>
    <numFmt numFmtId="176" formatCode="#,##0.0%_);\(#,##0.0%\);&quot;--&quot;_%_);@_%_)"/>
    <numFmt numFmtId="177" formatCode="0.0\ &quot;лет&quot;"/>
    <numFmt numFmtId="178" formatCode="_-* #,##0.0\ _₽_-;\-* #,##0.0\ _₽_-;_-* &quot;-&quot;?\ _₽_-;_-@"/>
    <numFmt numFmtId="179" formatCode="#,##0.0"/>
    <numFmt numFmtId="180" formatCode="0.0%_);\ \(0.0%\);&quot;-&quot;_);@_)"/>
    <numFmt numFmtId="181" formatCode="0%_);\ \(0%\);&quot;-&quot;_);@_)"/>
    <numFmt numFmtId="182" formatCode="* #,##0_);* \(#,##0\);* &quot;-&quot;_);@_)"/>
    <numFmt numFmtId="183" formatCode="0.0"/>
    <numFmt numFmtId="184" formatCode="0.00\x"/>
    <numFmt numFmtId="185" formatCode="0.000"/>
    <numFmt numFmtId="186" formatCode="#,##0.00_);\(#,##0.00\);@_)"/>
    <numFmt numFmtId="187" formatCode="_-* #,##0_-;\-* #,##0_-;_-* &quot;-&quot;??_-;_-@_-"/>
  </numFmts>
  <fonts count="107" x14ac:knownFonts="1">
    <font>
      <sz val="10"/>
      <color rgb="FF000000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8"/>
      <color rgb="FF002060"/>
      <name val="Arial"/>
      <family val="2"/>
      <charset val="204"/>
    </font>
    <font>
      <sz val="10"/>
      <color theme="0"/>
      <name val="Calibri"/>
      <family val="2"/>
      <charset val="204"/>
    </font>
    <font>
      <b/>
      <sz val="10"/>
      <color theme="0"/>
      <name val="Calibri"/>
      <family val="2"/>
      <charset val="204"/>
    </font>
    <font>
      <b/>
      <sz val="10"/>
      <color rgb="FF000000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color rgb="FF000000"/>
      <name val="Calibri"/>
      <family val="2"/>
      <charset val="204"/>
    </font>
    <font>
      <i/>
      <sz val="10"/>
      <color theme="1"/>
      <name val="Calibri"/>
      <family val="2"/>
      <charset val="204"/>
    </font>
    <font>
      <i/>
      <sz val="10"/>
      <color rgb="FF000000"/>
      <name val="Calibri"/>
      <family val="2"/>
      <charset val="204"/>
    </font>
    <font>
      <sz val="10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b/>
      <i/>
      <sz val="10"/>
      <color rgb="FF000000"/>
      <name val="Calibri"/>
      <family val="2"/>
      <charset val="204"/>
    </font>
    <font>
      <sz val="10"/>
      <color rgb="FF3333FF"/>
      <name val="Calibri"/>
      <family val="2"/>
      <charset val="204"/>
    </font>
    <font>
      <b/>
      <sz val="10"/>
      <color rgb="FFFFFFFF"/>
      <name val="Calibri"/>
      <family val="2"/>
      <charset val="204"/>
    </font>
    <font>
      <sz val="10"/>
      <color rgb="FFFFFFFF"/>
      <name val="Calibri"/>
      <family val="2"/>
      <charset val="204"/>
    </font>
    <font>
      <u/>
      <sz val="10"/>
      <color theme="10"/>
      <name val="Calibri"/>
      <family val="2"/>
      <charset val="204"/>
    </font>
    <font>
      <sz val="10"/>
      <color rgb="FFCCCCCC"/>
      <name val="Calibri"/>
      <family val="2"/>
      <charset val="204"/>
    </font>
    <font>
      <b/>
      <sz val="10"/>
      <color rgb="FFD8D8D8"/>
      <name val="Calibri"/>
      <family val="2"/>
      <charset val="204"/>
    </font>
    <font>
      <sz val="10"/>
      <color rgb="FFD8D8D8"/>
      <name val="Calibri"/>
      <family val="2"/>
      <charset val="204"/>
    </font>
    <font>
      <sz val="10"/>
      <color rgb="FF0000FF"/>
      <name val="Calibri"/>
      <family val="2"/>
      <charset val="204"/>
    </font>
    <font>
      <b/>
      <sz val="10"/>
      <color rgb="FF3333FF"/>
      <name val="Calibri"/>
      <family val="2"/>
      <charset val="204"/>
    </font>
    <font>
      <b/>
      <sz val="10"/>
      <color rgb="FF0000FF"/>
      <name val="Calibri"/>
      <family val="2"/>
      <charset val="204"/>
    </font>
    <font>
      <i/>
      <sz val="10"/>
      <color rgb="FFF2F2F2"/>
      <name val="Calibri"/>
      <family val="2"/>
      <charset val="204"/>
    </font>
    <font>
      <sz val="10"/>
      <color rgb="FFFF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i/>
      <u/>
      <sz val="10"/>
      <color rgb="FF000000"/>
      <name val="Calibri"/>
      <family val="2"/>
      <charset val="204"/>
    </font>
    <font>
      <b/>
      <i/>
      <u/>
      <sz val="10"/>
      <color theme="1"/>
      <name val="Calibri"/>
      <family val="2"/>
      <charset val="204"/>
    </font>
    <font>
      <i/>
      <u/>
      <sz val="10"/>
      <color theme="1"/>
      <name val="Calibri"/>
      <family val="2"/>
      <charset val="204"/>
    </font>
    <font>
      <i/>
      <u/>
      <sz val="10"/>
      <color rgb="FF000000"/>
      <name val="Calibri"/>
      <family val="2"/>
      <charset val="204"/>
    </font>
    <font>
      <i/>
      <u/>
      <sz val="10"/>
      <color rgb="FF000000"/>
      <name val="Calibri"/>
      <family val="2"/>
      <charset val="204"/>
    </font>
    <font>
      <b/>
      <sz val="10"/>
      <color rgb="FF0070C0"/>
      <name val="Calibri"/>
      <family val="2"/>
      <charset val="204"/>
    </font>
    <font>
      <u/>
      <sz val="10"/>
      <color theme="1"/>
      <name val="Arial"/>
      <family val="2"/>
      <charset val="204"/>
    </font>
    <font>
      <i/>
      <u/>
      <sz val="10"/>
      <color theme="1"/>
      <name val="Arial"/>
      <family val="2"/>
      <charset val="204"/>
    </font>
    <font>
      <i/>
      <u/>
      <sz val="10"/>
      <color theme="1"/>
      <name val="Arial"/>
      <family val="2"/>
      <charset val="204"/>
    </font>
    <font>
      <sz val="10"/>
      <color rgb="FF0000FF"/>
      <name val="Arial"/>
      <family val="2"/>
      <charset val="204"/>
    </font>
    <font>
      <sz val="10"/>
      <color theme="1"/>
      <name val="Arial"/>
      <family val="2"/>
      <charset val="204"/>
    </font>
    <font>
      <u/>
      <sz val="10"/>
      <color theme="1"/>
      <name val="Calibri"/>
      <family val="2"/>
      <charset val="204"/>
    </font>
    <font>
      <sz val="10"/>
      <color rgb="FF0070C0"/>
      <name val="Calibri"/>
      <family val="2"/>
      <charset val="204"/>
    </font>
    <font>
      <b/>
      <sz val="10"/>
      <color rgb="FF002060"/>
      <name val="Calibri"/>
      <family val="2"/>
      <charset val="204"/>
    </font>
    <font>
      <b/>
      <i/>
      <sz val="10"/>
      <color rgb="FF002060"/>
      <name val="Calibri"/>
      <family val="2"/>
      <charset val="204"/>
    </font>
    <font>
      <i/>
      <sz val="10"/>
      <color rgb="FFFF0000"/>
      <name val="Calibri"/>
      <family val="2"/>
      <charset val="204"/>
    </font>
    <font>
      <b/>
      <i/>
      <sz val="10"/>
      <color rgb="FF0000FF"/>
      <name val="Calibri"/>
      <family val="2"/>
      <charset val="204"/>
    </font>
    <font>
      <sz val="10"/>
      <color rgb="FFBFBFBF"/>
      <name val="Calibri"/>
      <family val="2"/>
      <charset val="204"/>
    </font>
    <font>
      <sz val="10"/>
      <color rgb="FFA5A5A5"/>
      <name val="Calibri"/>
      <family val="2"/>
      <charset val="204"/>
    </font>
    <font>
      <b/>
      <sz val="10"/>
      <color rgb="FFC00000"/>
      <name val="Calibri"/>
      <family val="2"/>
      <charset val="204"/>
    </font>
    <font>
      <b/>
      <sz val="10"/>
      <color theme="1"/>
      <name val="Arial"/>
      <family val="2"/>
      <charset val="204"/>
    </font>
    <font>
      <sz val="10"/>
      <color rgb="FFA5A5A5"/>
      <name val="Arial"/>
      <family val="2"/>
      <charset val="204"/>
    </font>
    <font>
      <b/>
      <sz val="10"/>
      <color rgb="FFC00000"/>
      <name val="Arial"/>
      <family val="2"/>
      <charset val="204"/>
    </font>
    <font>
      <b/>
      <i/>
      <sz val="10"/>
      <color rgb="FFC00000"/>
      <name val="Calibri"/>
      <family val="2"/>
      <charset val="204"/>
    </font>
    <font>
      <b/>
      <i/>
      <sz val="10"/>
      <color rgb="FFC0000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0"/>
      <color theme="0"/>
      <name val="Arial"/>
      <family val="2"/>
      <charset val="204"/>
    </font>
    <font>
      <sz val="10"/>
      <color theme="0"/>
      <name val="Arial"/>
      <family val="2"/>
      <charset val="204"/>
    </font>
    <font>
      <b/>
      <sz val="11"/>
      <color rgb="FFFFFFFF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2"/>
      <color theme="0"/>
      <name val="Calibri"/>
      <family val="2"/>
      <charset val="204"/>
    </font>
    <font>
      <sz val="11"/>
      <color rgb="FFFFFFFF"/>
      <name val="Calibri"/>
      <family val="2"/>
      <charset val="204"/>
    </font>
    <font>
      <b/>
      <sz val="12"/>
      <color theme="1"/>
      <name val="Calibri"/>
      <family val="2"/>
      <charset val="204"/>
    </font>
    <font>
      <sz val="10"/>
      <color theme="1"/>
      <name val="Roboto"/>
    </font>
    <font>
      <b/>
      <sz val="10"/>
      <color theme="1"/>
      <name val="Roboto"/>
    </font>
    <font>
      <sz val="12"/>
      <color theme="1"/>
      <name val="Calibri"/>
      <family val="2"/>
      <charset val="204"/>
    </font>
    <font>
      <b/>
      <sz val="10"/>
      <color theme="1"/>
      <name val="Calibri"/>
      <family val="2"/>
      <charset val="204"/>
      <scheme val="minor"/>
    </font>
    <font>
      <sz val="10"/>
      <color rgb="FFB7B7B7"/>
      <name val="Calibri"/>
      <family val="2"/>
      <charset val="204"/>
    </font>
    <font>
      <u/>
      <sz val="10"/>
      <color theme="10"/>
      <name val="Calibri"/>
      <family val="2"/>
      <charset val="204"/>
    </font>
    <font>
      <sz val="10"/>
      <color rgb="FF00000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i/>
      <sz val="10"/>
      <color rgb="FF000000"/>
      <name val="Calibri"/>
      <family val="2"/>
      <charset val="204"/>
      <scheme val="minor"/>
    </font>
    <font>
      <i/>
      <sz val="10"/>
      <color rgb="FF0000FF"/>
      <name val="Calibri"/>
      <family val="2"/>
      <charset val="204"/>
    </font>
    <font>
      <i/>
      <sz val="10"/>
      <color rgb="FF3333FF"/>
      <name val="Calibri"/>
      <family val="2"/>
      <charset val="204"/>
    </font>
    <font>
      <b/>
      <sz val="10"/>
      <color rgb="FF00000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0"/>
      <color theme="3" tint="0.249977111117893"/>
      <name val="Calibri"/>
      <family val="2"/>
      <charset val="204"/>
    </font>
    <font>
      <b/>
      <sz val="10"/>
      <color theme="3" tint="0.249977111117893"/>
      <name val="Calibri"/>
      <family val="2"/>
      <charset val="204"/>
    </font>
    <font>
      <b/>
      <i/>
      <sz val="10"/>
      <color rgb="FF000000"/>
      <name val="Calibri"/>
      <family val="2"/>
      <charset val="204"/>
      <scheme val="minor"/>
    </font>
    <font>
      <b/>
      <sz val="10"/>
      <color rgb="FF002060"/>
      <name val="Calibri"/>
      <family val="2"/>
      <charset val="204"/>
      <scheme val="minor"/>
    </font>
    <font>
      <b/>
      <sz val="10"/>
      <color theme="0"/>
      <name val="Calibri"/>
      <family val="2"/>
      <charset val="204"/>
      <scheme val="minor"/>
    </font>
    <font>
      <b/>
      <sz val="10"/>
      <name val="Calibri"/>
      <family val="2"/>
      <charset val="204"/>
    </font>
    <font>
      <b/>
      <sz val="10"/>
      <color rgb="FF002060"/>
      <name val="Calibri"/>
      <scheme val="minor"/>
    </font>
    <font>
      <i/>
      <sz val="10"/>
      <color rgb="FF000000"/>
      <name val="Calibri"/>
      <scheme val="minor"/>
    </font>
    <font>
      <sz val="10"/>
      <color rgb="FF0000FF"/>
      <name val="Calibri"/>
      <scheme val="minor"/>
    </font>
    <font>
      <b/>
      <sz val="10"/>
      <color rgb="FF0000FF"/>
      <name val="Calibri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000000"/>
      <name val="Calibri"/>
      <scheme val="minor"/>
    </font>
    <font>
      <b/>
      <sz val="10"/>
      <color rgb="FFFFFFFF"/>
      <name val="Calibri"/>
      <scheme val="minor"/>
    </font>
    <font>
      <b/>
      <sz val="10"/>
      <color rgb="FF000000"/>
      <name val="Calibri"/>
      <scheme val="minor"/>
    </font>
    <font>
      <b/>
      <sz val="10"/>
      <color rgb="FF404040"/>
      <name val="Calibri"/>
      <scheme val="minor"/>
    </font>
    <font>
      <b/>
      <sz val="10"/>
      <color rgb="FFFFFFFF"/>
      <name val="Calibri"/>
    </font>
    <font>
      <sz val="10"/>
      <color rgb="FF0000FF"/>
      <name val="Calibri"/>
    </font>
    <font>
      <sz val="10"/>
      <color rgb="FF808080"/>
      <name val="Calibri"/>
    </font>
    <font>
      <sz val="10"/>
      <color rgb="FF404040"/>
      <name val="Calibri"/>
    </font>
    <font>
      <b/>
      <sz val="11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FFFFFF"/>
      <name val="Arial"/>
      <charset val="1"/>
    </font>
    <font>
      <sz val="9"/>
      <color rgb="FF0000FF"/>
      <name val="Arial"/>
      <charset val="1"/>
    </font>
    <font>
      <sz val="9"/>
      <color rgb="FF008000"/>
      <name val="Arial"/>
      <charset val="1"/>
    </font>
    <font>
      <b/>
      <sz val="9"/>
      <color rgb="FF000000"/>
      <name val="Arial"/>
      <charset val="1"/>
    </font>
    <font>
      <sz val="10"/>
      <color rgb="FF008000"/>
      <name val="Calibri"/>
      <scheme val="minor"/>
    </font>
    <font>
      <b/>
      <sz val="10"/>
      <color rgb="FFFFFFFF"/>
      <name val="Calibri"/>
      <family val="2"/>
      <charset val="204"/>
      <scheme val="minor"/>
    </font>
    <font>
      <sz val="9"/>
      <color rgb="FF808080"/>
      <name val="Calibri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DDEBF7"/>
        <bgColor rgb="FFDDEBF7"/>
      </patternFill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BF9000"/>
        <bgColor rgb="FFBF9000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rgb="FFF4CCCC"/>
        <bgColor rgb="FFF4CCCC"/>
      </patternFill>
    </fill>
    <fill>
      <patternFill patternType="solid">
        <fgColor rgb="FFFEF2CB"/>
        <bgColor rgb="FFFEF2CB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rgb="FFFFFFCC"/>
      </patternFill>
    </fill>
    <fill>
      <patternFill patternType="solid">
        <fgColor rgb="FFDEEAF6"/>
        <bgColor rgb="FFDEEAF6"/>
      </patternFill>
    </fill>
    <fill>
      <patternFill patternType="solid">
        <fgColor rgb="FF1F497D"/>
        <bgColor rgb="FF1F497D"/>
      </patternFill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D6DCE4"/>
        <bgColor rgb="FFD6DCE4"/>
      </patternFill>
    </fill>
    <fill>
      <patternFill patternType="solid">
        <fgColor rgb="FFE6C5FB"/>
        <bgColor rgb="FFE6C5FB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1F3864"/>
        <bgColor rgb="FF333333"/>
      </patternFill>
    </fill>
    <fill>
      <patternFill patternType="solid">
        <fgColor rgb="FF4472C4"/>
        <bgColor rgb="FF666699"/>
      </patternFill>
    </fill>
    <fill>
      <patternFill patternType="solid">
        <fgColor rgb="FFFFFFCC"/>
        <bgColor rgb="FFFFFFFF"/>
      </patternFill>
    </fill>
    <fill>
      <patternFill patternType="solid">
        <fgColor rgb="FFE2EFDA"/>
        <bgColor rgb="FFFFFFCC"/>
      </patternFill>
    </fill>
  </fills>
  <borders count="6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/>
      <bottom/>
      <diagonal/>
    </border>
    <border>
      <left/>
      <right style="thin">
        <color rgb="FFA5A5A5"/>
      </right>
      <top/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7F7F7F"/>
      </top>
      <bottom style="hair">
        <color rgb="FF7F7F7F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 style="thick">
        <color rgb="FFC00000"/>
      </left>
      <right style="hair">
        <color rgb="FF000000"/>
      </right>
      <top style="hair">
        <color rgb="FF7F7F7F"/>
      </top>
      <bottom style="hair">
        <color rgb="FF7F7F7F"/>
      </bottom>
      <diagonal/>
    </border>
    <border>
      <left/>
      <right style="thin">
        <color rgb="FF999999"/>
      </right>
      <top/>
      <bottom/>
      <diagonal/>
    </border>
    <border>
      <left style="thin">
        <color rgb="FF284E3F"/>
      </left>
      <right style="thin">
        <color rgb="FF999999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999999"/>
      </right>
      <top style="thin">
        <color rgb="FFD6DCE4"/>
      </top>
      <bottom style="thin">
        <color rgb="FFD6DCE4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D6DCE4"/>
      </left>
      <right style="thin">
        <color rgb="FF284E3F"/>
      </right>
      <top style="thin">
        <color rgb="FFD6DCE4"/>
      </top>
      <bottom style="thin">
        <color rgb="FFD6DCE4"/>
      </bottom>
      <diagonal/>
    </border>
    <border>
      <left style="thin">
        <color rgb="FF284E3F"/>
      </left>
      <right style="thin">
        <color rgb="FF999999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999999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284E3F"/>
      </left>
      <right style="thin">
        <color rgb="FF999999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284E3F"/>
      </left>
      <right style="thin">
        <color rgb="FF999999"/>
      </right>
      <top/>
      <bottom/>
      <diagonal/>
    </border>
    <border>
      <left style="thin">
        <color rgb="FF284E3F"/>
      </left>
      <right style="thin">
        <color rgb="FF999999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6">
    <xf numFmtId="0" fontId="0" fillId="0" borderId="0"/>
    <xf numFmtId="9" fontId="69" fillId="0" borderId="0" applyFont="0" applyFill="0" applyBorder="0" applyAlignment="0" applyProtection="0"/>
    <xf numFmtId="43" fontId="76" fillId="0" borderId="0" applyFont="0" applyFill="0" applyBorder="0" applyAlignment="0" applyProtection="0"/>
    <xf numFmtId="0" fontId="1" fillId="0" borderId="19"/>
    <xf numFmtId="43" fontId="1" fillId="0" borderId="19" applyFont="0" applyFill="0" applyBorder="0" applyAlignment="0" applyProtection="0"/>
    <xf numFmtId="9" fontId="1" fillId="0" borderId="19" applyFont="0" applyFill="0" applyBorder="0" applyAlignment="0" applyProtection="0"/>
  </cellStyleXfs>
  <cellXfs count="529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5" fillId="0" borderId="0" xfId="0" applyFont="1" applyAlignment="1">
      <alignment vertical="center"/>
    </xf>
    <xf numFmtId="0" fontId="5" fillId="0" borderId="0" xfId="0" applyFont="1"/>
    <xf numFmtId="164" fontId="6" fillId="3" borderId="2" xfId="0" applyNumberFormat="1" applyFont="1" applyFill="1" applyBorder="1"/>
    <xf numFmtId="0" fontId="7" fillId="0" borderId="0" xfId="0" applyFont="1"/>
    <xf numFmtId="165" fontId="7" fillId="0" borderId="3" xfId="0" applyNumberFormat="1" applyFont="1" applyBorder="1"/>
    <xf numFmtId="0" fontId="8" fillId="0" borderId="0" xfId="0" applyFont="1"/>
    <xf numFmtId="0" fontId="9" fillId="0" borderId="0" xfId="0" applyFont="1"/>
    <xf numFmtId="165" fontId="9" fillId="0" borderId="3" xfId="0" applyNumberFormat="1" applyFont="1" applyBorder="1"/>
    <xf numFmtId="165" fontId="5" fillId="0" borderId="3" xfId="0" applyNumberFormat="1" applyFont="1" applyBorder="1"/>
    <xf numFmtId="4" fontId="10" fillId="0" borderId="0" xfId="0" applyNumberFormat="1" applyFont="1"/>
    <xf numFmtId="0" fontId="6" fillId="0" borderId="0" xfId="0" applyFont="1"/>
    <xf numFmtId="0" fontId="11" fillId="0" borderId="0" xfId="0" applyFont="1"/>
    <xf numFmtId="166" fontId="11" fillId="0" borderId="0" xfId="0" applyNumberFormat="1" applyFont="1"/>
    <xf numFmtId="167" fontId="7" fillId="0" borderId="3" xfId="0" applyNumberFormat="1" applyFont="1" applyBorder="1"/>
    <xf numFmtId="10" fontId="11" fillId="0" borderId="0" xfId="0" applyNumberFormat="1" applyFont="1"/>
    <xf numFmtId="167" fontId="7" fillId="0" borderId="0" xfId="0" applyNumberFormat="1" applyFont="1"/>
    <xf numFmtId="0" fontId="10" fillId="0" borderId="0" xfId="0" applyFont="1"/>
    <xf numFmtId="165" fontId="7" fillId="0" borderId="4" xfId="0" applyNumberFormat="1" applyFont="1" applyBorder="1"/>
    <xf numFmtId="166" fontId="11" fillId="0" borderId="3" xfId="0" applyNumberFormat="1" applyFont="1" applyBorder="1"/>
    <xf numFmtId="166" fontId="7" fillId="0" borderId="3" xfId="0" applyNumberFormat="1" applyFont="1" applyBorder="1"/>
    <xf numFmtId="9" fontId="11" fillId="0" borderId="3" xfId="0" applyNumberFormat="1" applyFont="1" applyBorder="1"/>
    <xf numFmtId="0" fontId="11" fillId="4" borderId="5" xfId="0" applyFont="1" applyFill="1" applyBorder="1"/>
    <xf numFmtId="0" fontId="11" fillId="4" borderId="7" xfId="0" applyFont="1" applyFill="1" applyBorder="1"/>
    <xf numFmtId="0" fontId="11" fillId="0" borderId="8" xfId="0" applyFont="1" applyBorder="1"/>
    <xf numFmtId="0" fontId="7" fillId="0" borderId="9" xfId="0" applyFont="1" applyBorder="1"/>
    <xf numFmtId="165" fontId="11" fillId="0" borderId="8" xfId="0" applyNumberFormat="1" applyFont="1" applyBorder="1"/>
    <xf numFmtId="167" fontId="11" fillId="0" borderId="0" xfId="0" applyNumberFormat="1" applyFont="1"/>
    <xf numFmtId="165" fontId="11" fillId="0" borderId="0" xfId="0" applyNumberFormat="1" applyFont="1"/>
    <xf numFmtId="9" fontId="11" fillId="0" borderId="0" xfId="0" applyNumberFormat="1" applyFont="1"/>
    <xf numFmtId="0" fontId="6" fillId="0" borderId="8" xfId="0" applyFont="1" applyBorder="1"/>
    <xf numFmtId="0" fontId="5" fillId="0" borderId="9" xfId="0" applyFont="1" applyBorder="1"/>
    <xf numFmtId="165" fontId="6" fillId="0" borderId="8" xfId="0" applyNumberFormat="1" applyFont="1" applyBorder="1"/>
    <xf numFmtId="165" fontId="6" fillId="0" borderId="0" xfId="0" applyNumberFormat="1" applyFont="1"/>
    <xf numFmtId="0" fontId="6" fillId="0" borderId="11" xfId="0" applyFont="1" applyBorder="1"/>
    <xf numFmtId="0" fontId="5" fillId="0" borderId="12" xfId="0" applyFont="1" applyBorder="1"/>
    <xf numFmtId="165" fontId="6" fillId="0" borderId="11" xfId="0" applyNumberFormat="1" applyFont="1" applyBorder="1"/>
    <xf numFmtId="164" fontId="7" fillId="0" borderId="0" xfId="0" applyNumberFormat="1" applyFont="1"/>
    <xf numFmtId="0" fontId="3" fillId="0" borderId="0" xfId="0" applyFont="1"/>
    <xf numFmtId="9" fontId="7" fillId="0" borderId="3" xfId="0" applyNumberFormat="1" applyFont="1" applyBorder="1"/>
    <xf numFmtId="164" fontId="5" fillId="0" borderId="0" xfId="0" applyNumberFormat="1" applyFont="1"/>
    <xf numFmtId="0" fontId="7" fillId="0" borderId="3" xfId="0" applyFont="1" applyBorder="1"/>
    <xf numFmtId="10" fontId="7" fillId="0" borderId="15" xfId="0" applyNumberFormat="1" applyFont="1" applyBorder="1"/>
    <xf numFmtId="165" fontId="7" fillId="0" borderId="15" xfId="0" applyNumberFormat="1" applyFont="1" applyBorder="1"/>
    <xf numFmtId="168" fontId="7" fillId="0" borderId="15" xfId="0" applyNumberFormat="1" applyFont="1" applyBorder="1"/>
    <xf numFmtId="3" fontId="11" fillId="0" borderId="0" xfId="0" applyNumberFormat="1" applyFont="1"/>
    <xf numFmtId="9" fontId="7" fillId="0" borderId="0" xfId="0" applyNumberFormat="1" applyFont="1"/>
    <xf numFmtId="0" fontId="13" fillId="0" borderId="0" xfId="0" applyFont="1"/>
    <xf numFmtId="0" fontId="7" fillId="0" borderId="3" xfId="0" applyFont="1" applyBorder="1" applyAlignment="1">
      <alignment vertical="center"/>
    </xf>
    <xf numFmtId="167" fontId="14" fillId="0" borderId="3" xfId="0" applyNumberFormat="1" applyFont="1" applyBorder="1" applyAlignment="1">
      <alignment horizontal="right" wrapText="1"/>
    </xf>
    <xf numFmtId="0" fontId="7" fillId="0" borderId="0" xfId="0" applyFont="1" applyAlignment="1">
      <alignment wrapText="1"/>
    </xf>
    <xf numFmtId="10" fontId="16" fillId="5" borderId="1" xfId="0" applyNumberFormat="1" applyFont="1" applyFill="1" applyBorder="1" applyAlignment="1">
      <alignment horizontal="right" wrapText="1"/>
    </xf>
    <xf numFmtId="165" fontId="7" fillId="0" borderId="0" xfId="0" applyNumberFormat="1" applyFont="1"/>
    <xf numFmtId="14" fontId="9" fillId="0" borderId="0" xfId="0" applyNumberFormat="1" applyFont="1"/>
    <xf numFmtId="0" fontId="17" fillId="0" borderId="0" xfId="0" applyFont="1"/>
    <xf numFmtId="0" fontId="18" fillId="0" borderId="0" xfId="0" applyFont="1" applyAlignment="1">
      <alignment horizontal="right"/>
    </xf>
    <xf numFmtId="0" fontId="19" fillId="0" borderId="0" xfId="0" applyFont="1"/>
    <xf numFmtId="0" fontId="20" fillId="0" borderId="0" xfId="0" applyFont="1"/>
    <xf numFmtId="9" fontId="19" fillId="0" borderId="0" xfId="0" applyNumberFormat="1" applyFont="1"/>
    <xf numFmtId="17" fontId="21" fillId="0" borderId="0" xfId="0" applyNumberFormat="1" applyFont="1"/>
    <xf numFmtId="9" fontId="22" fillId="0" borderId="0" xfId="0" applyNumberFormat="1" applyFont="1"/>
    <xf numFmtId="166" fontId="21" fillId="0" borderId="0" xfId="0" applyNumberFormat="1" applyFont="1"/>
    <xf numFmtId="169" fontId="5" fillId="0" borderId="0" xfId="0" applyNumberFormat="1" applyFont="1"/>
    <xf numFmtId="166" fontId="7" fillId="0" borderId="0" xfId="0" applyNumberFormat="1" applyFont="1"/>
    <xf numFmtId="166" fontId="5" fillId="0" borderId="0" xfId="0" applyNumberFormat="1" applyFont="1"/>
    <xf numFmtId="170" fontId="7" fillId="0" borderId="0" xfId="0" applyNumberFormat="1" applyFont="1"/>
    <xf numFmtId="9" fontId="24" fillId="0" borderId="0" xfId="0" applyNumberFormat="1" applyFont="1"/>
    <xf numFmtId="170" fontId="5" fillId="0" borderId="0" xfId="0" applyNumberFormat="1" applyFont="1"/>
    <xf numFmtId="166" fontId="21" fillId="8" borderId="1" xfId="0" applyNumberFormat="1" applyFont="1" applyFill="1" applyBorder="1"/>
    <xf numFmtId="9" fontId="5" fillId="0" borderId="0" xfId="0" applyNumberFormat="1" applyFont="1"/>
    <xf numFmtId="166" fontId="6" fillId="0" borderId="0" xfId="0" applyNumberFormat="1" applyFont="1"/>
    <xf numFmtId="0" fontId="6" fillId="4" borderId="3" xfId="0" applyFont="1" applyFill="1" applyBorder="1" applyAlignment="1">
      <alignment horizontal="left"/>
    </xf>
    <xf numFmtId="169" fontId="11" fillId="0" borderId="3" xfId="0" applyNumberFormat="1" applyFont="1" applyBorder="1"/>
    <xf numFmtId="10" fontId="11" fillId="0" borderId="3" xfId="0" applyNumberFormat="1" applyFont="1" applyBorder="1"/>
    <xf numFmtId="168" fontId="11" fillId="0" borderId="3" xfId="0" applyNumberFormat="1" applyFont="1" applyBorder="1"/>
    <xf numFmtId="168" fontId="11" fillId="0" borderId="0" xfId="0" applyNumberFormat="1" applyFont="1"/>
    <xf numFmtId="17" fontId="6" fillId="3" borderId="2" xfId="0" applyNumberFormat="1" applyFont="1" applyFill="1" applyBorder="1"/>
    <xf numFmtId="0" fontId="4" fillId="9" borderId="1" xfId="0" applyFont="1" applyFill="1" applyBorder="1"/>
    <xf numFmtId="0" fontId="7" fillId="9" borderId="1" xfId="0" applyFont="1" applyFill="1" applyBorder="1"/>
    <xf numFmtId="0" fontId="5" fillId="0" borderId="0" xfId="0" applyFont="1" applyAlignment="1">
      <alignment horizontal="center"/>
    </xf>
    <xf numFmtId="17" fontId="6" fillId="3" borderId="1" xfId="0" applyNumberFormat="1" applyFont="1" applyFill="1" applyBorder="1"/>
    <xf numFmtId="170" fontId="22" fillId="0" borderId="3" xfId="0" applyNumberFormat="1" applyFont="1" applyBorder="1"/>
    <xf numFmtId="165" fontId="7" fillId="8" borderId="3" xfId="0" applyNumberFormat="1" applyFont="1" applyFill="1" applyBorder="1"/>
    <xf numFmtId="166" fontId="14" fillId="8" borderId="3" xfId="0" applyNumberFormat="1" applyFont="1" applyFill="1" applyBorder="1"/>
    <xf numFmtId="170" fontId="14" fillId="0" borderId="4" xfId="0" applyNumberFormat="1" applyFont="1" applyBorder="1"/>
    <xf numFmtId="170" fontId="7" fillId="0" borderId="3" xfId="0" applyNumberFormat="1" applyFont="1" applyBorder="1"/>
    <xf numFmtId="0" fontId="11" fillId="0" borderId="0" xfId="0" applyFont="1" applyAlignment="1">
      <alignment horizontal="center" vertical="center"/>
    </xf>
    <xf numFmtId="167" fontId="21" fillId="0" borderId="3" xfId="0" applyNumberFormat="1" applyFont="1" applyBorder="1"/>
    <xf numFmtId="167" fontId="14" fillId="0" borderId="3" xfId="0" applyNumberFormat="1" applyFont="1" applyBorder="1"/>
    <xf numFmtId="0" fontId="25" fillId="0" borderId="0" xfId="0" applyFont="1"/>
    <xf numFmtId="0" fontId="25" fillId="0" borderId="0" xfId="0" applyFont="1" applyAlignment="1">
      <alignment horizontal="center" vertical="center"/>
    </xf>
    <xf numFmtId="165" fontId="25" fillId="0" borderId="3" xfId="0" applyNumberFormat="1" applyFont="1" applyBorder="1"/>
    <xf numFmtId="170" fontId="14" fillId="0" borderId="3" xfId="0" applyNumberFormat="1" applyFont="1" applyBorder="1"/>
    <xf numFmtId="0" fontId="6" fillId="0" borderId="0" xfId="0" applyFont="1" applyAlignment="1">
      <alignment horizontal="left" vertical="center"/>
    </xf>
    <xf numFmtId="9" fontId="14" fillId="0" borderId="3" xfId="0" applyNumberFormat="1" applyFont="1" applyBorder="1"/>
    <xf numFmtId="0" fontId="21" fillId="0" borderId="0" xfId="0" applyFont="1"/>
    <xf numFmtId="10" fontId="21" fillId="0" borderId="3" xfId="0" applyNumberFormat="1" applyFont="1" applyBorder="1"/>
    <xf numFmtId="9" fontId="9" fillId="0" borderId="0" xfId="0" applyNumberFormat="1" applyFont="1"/>
    <xf numFmtId="165" fontId="9" fillId="0" borderId="0" xfId="0" applyNumberFormat="1" applyFont="1"/>
    <xf numFmtId="49" fontId="6" fillId="0" borderId="0" xfId="0" applyNumberFormat="1" applyFont="1" applyAlignment="1">
      <alignment horizontal="left"/>
    </xf>
    <xf numFmtId="165" fontId="13" fillId="0" borderId="0" xfId="0" applyNumberFormat="1" applyFont="1"/>
    <xf numFmtId="165" fontId="5" fillId="0" borderId="0" xfId="0" applyNumberFormat="1" applyFont="1"/>
    <xf numFmtId="0" fontId="5" fillId="9" borderId="1" xfId="0" applyFont="1" applyFill="1" applyBorder="1"/>
    <xf numFmtId="165" fontId="5" fillId="9" borderId="1" xfId="0" applyNumberFormat="1" applyFont="1" applyFill="1" applyBorder="1"/>
    <xf numFmtId="170" fontId="21" fillId="0" borderId="0" xfId="0" applyNumberFormat="1" applyFont="1"/>
    <xf numFmtId="170" fontId="11" fillId="0" borderId="3" xfId="0" applyNumberFormat="1" applyFont="1" applyBorder="1"/>
    <xf numFmtId="170" fontId="21" fillId="0" borderId="3" xfId="0" applyNumberFormat="1" applyFont="1" applyBorder="1"/>
    <xf numFmtId="170" fontId="9" fillId="0" borderId="0" xfId="0" applyNumberFormat="1" applyFont="1"/>
    <xf numFmtId="167" fontId="23" fillId="0" borderId="3" xfId="0" applyNumberFormat="1" applyFont="1" applyBorder="1"/>
    <xf numFmtId="10" fontId="23" fillId="0" borderId="3" xfId="0" applyNumberFormat="1" applyFont="1" applyBorder="1"/>
    <xf numFmtId="10" fontId="7" fillId="0" borderId="13" xfId="0" applyNumberFormat="1" applyFont="1" applyBorder="1"/>
    <xf numFmtId="9" fontId="26" fillId="0" borderId="0" xfId="0" applyNumberFormat="1" applyFont="1"/>
    <xf numFmtId="171" fontId="25" fillId="0" borderId="0" xfId="0" applyNumberFormat="1" applyFont="1"/>
    <xf numFmtId="0" fontId="27" fillId="0" borderId="0" xfId="0" applyFont="1"/>
    <xf numFmtId="9" fontId="28" fillId="0" borderId="0" xfId="0" applyNumberFormat="1" applyFont="1"/>
    <xf numFmtId="165" fontId="7" fillId="0" borderId="13" xfId="0" applyNumberFormat="1" applyFont="1" applyBorder="1"/>
    <xf numFmtId="4" fontId="7" fillId="0" borderId="0" xfId="0" applyNumberFormat="1" applyFont="1"/>
    <xf numFmtId="9" fontId="14" fillId="0" borderId="0" xfId="0" applyNumberFormat="1" applyFont="1"/>
    <xf numFmtId="165" fontId="5" fillId="0" borderId="15" xfId="0" applyNumberFormat="1" applyFont="1" applyBorder="1"/>
    <xf numFmtId="0" fontId="7" fillId="2" borderId="1" xfId="0" applyFont="1" applyFill="1" applyBorder="1"/>
    <xf numFmtId="3" fontId="9" fillId="0" borderId="0" xfId="0" applyNumberFormat="1" applyFont="1"/>
    <xf numFmtId="170" fontId="5" fillId="0" borderId="4" xfId="0" applyNumberFormat="1" applyFont="1" applyBorder="1"/>
    <xf numFmtId="165" fontId="7" fillId="10" borderId="3" xfId="0" applyNumberFormat="1" applyFont="1" applyFill="1" applyBorder="1"/>
    <xf numFmtId="0" fontId="7" fillId="10" borderId="3" xfId="0" applyFont="1" applyFill="1" applyBorder="1"/>
    <xf numFmtId="167" fontId="11" fillId="0" borderId="3" xfId="0" applyNumberFormat="1" applyFont="1" applyBorder="1"/>
    <xf numFmtId="172" fontId="7" fillId="0" borderId="3" xfId="0" applyNumberFormat="1" applyFont="1" applyBorder="1"/>
    <xf numFmtId="164" fontId="6" fillId="0" borderId="0" xfId="0" applyNumberFormat="1" applyFont="1"/>
    <xf numFmtId="10" fontId="7" fillId="0" borderId="0" xfId="0" applyNumberFormat="1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10" fontId="32" fillId="0" borderId="0" xfId="0" applyNumberFormat="1" applyFont="1"/>
    <xf numFmtId="165" fontId="33" fillId="0" borderId="0" xfId="0" applyNumberFormat="1" applyFont="1"/>
    <xf numFmtId="165" fontId="5" fillId="6" borderId="3" xfId="0" applyNumberFormat="1" applyFont="1" applyFill="1" applyBorder="1"/>
    <xf numFmtId="164" fontId="6" fillId="3" borderId="1" xfId="0" applyNumberFormat="1" applyFont="1" applyFill="1" applyBorder="1"/>
    <xf numFmtId="0" fontId="7" fillId="0" borderId="13" xfId="0" applyFont="1" applyBorder="1"/>
    <xf numFmtId="165" fontId="6" fillId="8" borderId="3" xfId="0" applyNumberFormat="1" applyFont="1" applyFill="1" applyBorder="1"/>
    <xf numFmtId="1" fontId="7" fillId="0" borderId="0" xfId="0" applyNumberFormat="1" applyFont="1"/>
    <xf numFmtId="0" fontId="4" fillId="0" borderId="0" xfId="0" applyFont="1"/>
    <xf numFmtId="165" fontId="7" fillId="0" borderId="20" xfId="0" applyNumberFormat="1" applyFont="1" applyBorder="1"/>
    <xf numFmtId="0" fontId="7" fillId="0" borderId="0" xfId="0" applyFont="1" applyAlignment="1">
      <alignment horizontal="left"/>
    </xf>
    <xf numFmtId="0" fontId="9" fillId="10" borderId="3" xfId="0" applyFont="1" applyFill="1" applyBorder="1"/>
    <xf numFmtId="173" fontId="9" fillId="0" borderId="3" xfId="0" applyNumberFormat="1" applyFont="1" applyBorder="1"/>
    <xf numFmtId="10" fontId="34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7" fillId="10" borderId="1" xfId="0" applyFont="1" applyFill="1" applyBorder="1"/>
    <xf numFmtId="0" fontId="7" fillId="0" borderId="0" xfId="0" quotePrefix="1" applyFont="1" applyAlignment="1">
      <alignment horizontal="left"/>
    </xf>
    <xf numFmtId="165" fontId="5" fillId="10" borderId="3" xfId="0" applyNumberFormat="1" applyFont="1" applyFill="1" applyBorder="1"/>
    <xf numFmtId="0" fontId="35" fillId="0" borderId="0" xfId="0" applyFont="1"/>
    <xf numFmtId="174" fontId="36" fillId="10" borderId="21" xfId="0" applyNumberFormat="1" applyFont="1" applyFill="1" applyBorder="1" applyAlignment="1">
      <alignment horizontal="right"/>
    </xf>
    <xf numFmtId="174" fontId="37" fillId="10" borderId="22" xfId="0" applyNumberFormat="1" applyFont="1" applyFill="1" applyBorder="1" applyAlignment="1">
      <alignment horizontal="right"/>
    </xf>
    <xf numFmtId="0" fontId="38" fillId="0" borderId="0" xfId="0" applyFont="1" applyAlignment="1">
      <alignment horizontal="left"/>
    </xf>
    <xf numFmtId="175" fontId="39" fillId="10" borderId="23" xfId="0" applyNumberFormat="1" applyFont="1" applyFill="1" applyBorder="1"/>
    <xf numFmtId="176" fontId="39" fillId="10" borderId="24" xfId="0" applyNumberFormat="1" applyFont="1" applyFill="1" applyBorder="1"/>
    <xf numFmtId="175" fontId="39" fillId="10" borderId="25" xfId="0" applyNumberFormat="1" applyFont="1" applyFill="1" applyBorder="1"/>
    <xf numFmtId="176" fontId="39" fillId="10" borderId="26" xfId="0" applyNumberFormat="1" applyFont="1" applyFill="1" applyBorder="1"/>
    <xf numFmtId="0" fontId="5" fillId="0" borderId="20" xfId="0" applyFont="1" applyBorder="1"/>
    <xf numFmtId="169" fontId="7" fillId="0" borderId="3" xfId="0" applyNumberFormat="1" applyFont="1" applyBorder="1"/>
    <xf numFmtId="169" fontId="7" fillId="0" borderId="0" xfId="0" applyNumberFormat="1" applyFont="1"/>
    <xf numFmtId="0" fontId="7" fillId="0" borderId="20" xfId="0" applyFont="1" applyBorder="1"/>
    <xf numFmtId="168" fontId="7" fillId="0" borderId="3" xfId="0" applyNumberFormat="1" applyFont="1" applyBorder="1"/>
    <xf numFmtId="168" fontId="7" fillId="0" borderId="0" xfId="0" applyNumberFormat="1" applyFont="1"/>
    <xf numFmtId="0" fontId="40" fillId="0" borderId="0" xfId="0" applyFont="1" applyAlignment="1">
      <alignment horizontal="center"/>
    </xf>
    <xf numFmtId="164" fontId="38" fillId="0" borderId="0" xfId="0" applyNumberFormat="1" applyFont="1" applyAlignment="1">
      <alignment horizontal="left"/>
    </xf>
    <xf numFmtId="177" fontId="21" fillId="11" borderId="3" xfId="0" applyNumberFormat="1" applyFont="1" applyFill="1" applyBorder="1" applyAlignment="1">
      <alignment horizontal="center"/>
    </xf>
    <xf numFmtId="170" fontId="5" fillId="0" borderId="3" xfId="0" applyNumberFormat="1" applyFont="1" applyBorder="1"/>
    <xf numFmtId="173" fontId="6" fillId="0" borderId="0" xfId="0" applyNumberFormat="1" applyFont="1"/>
    <xf numFmtId="170" fontId="41" fillId="0" borderId="0" xfId="0" applyNumberFormat="1" applyFont="1"/>
    <xf numFmtId="9" fontId="41" fillId="0" borderId="0" xfId="0" applyNumberFormat="1" applyFont="1"/>
    <xf numFmtId="0" fontId="7" fillId="0" borderId="15" xfId="0" applyFont="1" applyBorder="1"/>
    <xf numFmtId="0" fontId="7" fillId="0" borderId="8" xfId="0" applyFont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7" fillId="0" borderId="27" xfId="0" applyFont="1" applyBorder="1"/>
    <xf numFmtId="3" fontId="7" fillId="0" borderId="0" xfId="0" applyNumberFormat="1" applyFont="1"/>
    <xf numFmtId="165" fontId="5" fillId="0" borderId="4" xfId="0" applyNumberFormat="1" applyFont="1" applyBorder="1"/>
    <xf numFmtId="3" fontId="5" fillId="0" borderId="3" xfId="0" applyNumberFormat="1" applyFont="1" applyBorder="1"/>
    <xf numFmtId="14" fontId="7" fillId="0" borderId="0" xfId="0" applyNumberFormat="1" applyFont="1"/>
    <xf numFmtId="172" fontId="11" fillId="0" borderId="3" xfId="0" applyNumberFormat="1" applyFont="1" applyBorder="1"/>
    <xf numFmtId="172" fontId="11" fillId="0" borderId="0" xfId="0" applyNumberFormat="1" applyFont="1"/>
    <xf numFmtId="178" fontId="7" fillId="0" borderId="0" xfId="0" applyNumberFormat="1" applyFont="1"/>
    <xf numFmtId="165" fontId="11" fillId="0" borderId="3" xfId="0" applyNumberFormat="1" applyFont="1" applyBorder="1"/>
    <xf numFmtId="0" fontId="42" fillId="0" borderId="0" xfId="0" applyFont="1"/>
    <xf numFmtId="16" fontId="5" fillId="0" borderId="0" xfId="0" applyNumberFormat="1" applyFont="1"/>
    <xf numFmtId="167" fontId="9" fillId="0" borderId="0" xfId="0" applyNumberFormat="1" applyFont="1"/>
    <xf numFmtId="0" fontId="43" fillId="0" borderId="0" xfId="0" applyFont="1"/>
    <xf numFmtId="0" fontId="13" fillId="6" borderId="3" xfId="0" applyFont="1" applyFill="1" applyBorder="1"/>
    <xf numFmtId="165" fontId="13" fillId="6" borderId="3" xfId="0" applyNumberFormat="1" applyFont="1" applyFill="1" applyBorder="1"/>
    <xf numFmtId="0" fontId="13" fillId="6" borderId="28" xfId="0" applyFont="1" applyFill="1" applyBorder="1"/>
    <xf numFmtId="16" fontId="9" fillId="0" borderId="0" xfId="0" applyNumberFormat="1" applyFont="1"/>
    <xf numFmtId="0" fontId="5" fillId="0" borderId="3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7" fillId="0" borderId="0" xfId="0" quotePrefix="1" applyFont="1"/>
    <xf numFmtId="0" fontId="5" fillId="0" borderId="3" xfId="0" applyFont="1" applyBorder="1" applyAlignment="1">
      <alignment wrapText="1"/>
    </xf>
    <xf numFmtId="0" fontId="5" fillId="0" borderId="20" xfId="0" applyFont="1" applyBorder="1" applyAlignment="1">
      <alignment wrapText="1"/>
    </xf>
    <xf numFmtId="165" fontId="11" fillId="0" borderId="20" xfId="0" applyNumberFormat="1" applyFont="1" applyBorder="1"/>
    <xf numFmtId="165" fontId="25" fillId="0" borderId="20" xfId="0" applyNumberFormat="1" applyFont="1" applyBorder="1"/>
    <xf numFmtId="179" fontId="7" fillId="0" borderId="3" xfId="0" applyNumberFormat="1" applyFont="1" applyBorder="1"/>
    <xf numFmtId="0" fontId="9" fillId="0" borderId="4" xfId="0" applyFont="1" applyBorder="1"/>
    <xf numFmtId="165" fontId="9" fillId="0" borderId="4" xfId="0" applyNumberFormat="1" applyFont="1" applyBorder="1"/>
    <xf numFmtId="165" fontId="9" fillId="0" borderId="29" xfId="0" applyNumberFormat="1" applyFont="1" applyBorder="1"/>
    <xf numFmtId="165" fontId="44" fillId="0" borderId="4" xfId="0" applyNumberFormat="1" applyFont="1" applyBorder="1"/>
    <xf numFmtId="1" fontId="5" fillId="0" borderId="0" xfId="0" applyNumberFormat="1" applyFont="1"/>
    <xf numFmtId="0" fontId="5" fillId="0" borderId="4" xfId="0" applyFont="1" applyBorder="1"/>
    <xf numFmtId="3" fontId="9" fillId="12" borderId="1" xfId="0" applyNumberFormat="1" applyFont="1" applyFill="1" applyBorder="1"/>
    <xf numFmtId="172" fontId="5" fillId="0" borderId="0" xfId="0" applyNumberFormat="1" applyFont="1"/>
    <xf numFmtId="165" fontId="5" fillId="6" borderId="6" xfId="0" applyNumberFormat="1" applyFont="1" applyFill="1" applyBorder="1"/>
    <xf numFmtId="165" fontId="7" fillId="6" borderId="3" xfId="0" applyNumberFormat="1" applyFont="1" applyFill="1" applyBorder="1"/>
    <xf numFmtId="167" fontId="45" fillId="0" borderId="0" xfId="0" applyNumberFormat="1" applyFont="1"/>
    <xf numFmtId="172" fontId="7" fillId="0" borderId="0" xfId="0" applyNumberFormat="1" applyFont="1"/>
    <xf numFmtId="9" fontId="5" fillId="0" borderId="8" xfId="0" applyNumberFormat="1" applyFont="1" applyBorder="1"/>
    <xf numFmtId="0" fontId="5" fillId="0" borderId="3" xfId="0" applyFont="1" applyBorder="1"/>
    <xf numFmtId="0" fontId="46" fillId="0" borderId="0" xfId="0" applyFont="1"/>
    <xf numFmtId="0" fontId="1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65" fontId="11" fillId="7" borderId="30" xfId="0" applyNumberFormat="1" applyFont="1" applyFill="1" applyBorder="1" applyAlignment="1">
      <alignment horizontal="right"/>
    </xf>
    <xf numFmtId="180" fontId="11" fillId="13" borderId="31" xfId="0" applyNumberFormat="1" applyFont="1" applyFill="1" applyBorder="1" applyAlignment="1">
      <alignment vertical="center"/>
    </xf>
    <xf numFmtId="165" fontId="11" fillId="7" borderId="30" xfId="0" applyNumberFormat="1" applyFont="1" applyFill="1" applyBorder="1" applyAlignment="1">
      <alignment vertical="center"/>
    </xf>
    <xf numFmtId="0" fontId="47" fillId="0" borderId="0" xfId="0" applyFont="1" applyAlignment="1">
      <alignment horizontal="center"/>
    </xf>
    <xf numFmtId="165" fontId="11" fillId="13" borderId="30" xfId="0" applyNumberFormat="1" applyFont="1" applyFill="1" applyBorder="1" applyAlignment="1">
      <alignment vertical="center"/>
    </xf>
    <xf numFmtId="167" fontId="11" fillId="7" borderId="30" xfId="0" applyNumberFormat="1" applyFont="1" applyFill="1" applyBorder="1" applyAlignment="1">
      <alignment vertical="center"/>
    </xf>
    <xf numFmtId="9" fontId="11" fillId="14" borderId="32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168" fontId="11" fillId="14" borderId="30" xfId="0" applyNumberFormat="1" applyFont="1" applyFill="1" applyBorder="1" applyAlignment="1">
      <alignment vertical="center"/>
    </xf>
    <xf numFmtId="0" fontId="48" fillId="0" borderId="0" xfId="0" applyFont="1" applyAlignment="1">
      <alignment vertical="center"/>
    </xf>
    <xf numFmtId="0" fontId="48" fillId="0" borderId="0" xfId="0" applyFont="1" applyAlignment="1">
      <alignment horizontal="center" vertical="center"/>
    </xf>
    <xf numFmtId="165" fontId="48" fillId="7" borderId="30" xfId="0" applyNumberFormat="1" applyFont="1" applyFill="1" applyBorder="1" applyAlignment="1">
      <alignment vertical="center"/>
    </xf>
    <xf numFmtId="165" fontId="48" fillId="7" borderId="33" xfId="0" applyNumberFormat="1" applyFont="1" applyFill="1" applyBorder="1" applyAlignment="1">
      <alignment vertical="center"/>
    </xf>
    <xf numFmtId="165" fontId="11" fillId="15" borderId="30" xfId="0" applyNumberFormat="1" applyFont="1" applyFill="1" applyBorder="1" applyAlignment="1">
      <alignment vertical="center"/>
    </xf>
    <xf numFmtId="165" fontId="11" fillId="16" borderId="30" xfId="0" applyNumberFormat="1" applyFont="1" applyFill="1" applyBorder="1" applyAlignment="1">
      <alignment vertical="center"/>
    </xf>
    <xf numFmtId="165" fontId="11" fillId="17" borderId="30" xfId="0" applyNumberFormat="1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165" fontId="6" fillId="7" borderId="30" xfId="0" applyNumberFormat="1" applyFont="1" applyFill="1" applyBorder="1" applyAlignment="1">
      <alignment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center" vertical="center"/>
    </xf>
    <xf numFmtId="0" fontId="39" fillId="0" borderId="14" xfId="0" applyFont="1" applyBorder="1" applyAlignment="1">
      <alignment vertical="center"/>
    </xf>
    <xf numFmtId="0" fontId="39" fillId="0" borderId="14" xfId="0" applyFont="1" applyBorder="1" applyAlignment="1">
      <alignment horizontal="center" vertical="center"/>
    </xf>
    <xf numFmtId="0" fontId="49" fillId="0" borderId="0" xfId="0" applyFont="1" applyAlignment="1">
      <alignment vertical="center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vertical="center"/>
    </xf>
    <xf numFmtId="0" fontId="52" fillId="0" borderId="0" xfId="0" applyFont="1"/>
    <xf numFmtId="0" fontId="53" fillId="0" borderId="0" xfId="0" applyFont="1"/>
    <xf numFmtId="181" fontId="39" fillId="0" borderId="0" xfId="0" applyNumberFormat="1" applyFont="1" applyAlignment="1">
      <alignment vertical="center"/>
    </xf>
    <xf numFmtId="182" fontId="39" fillId="0" borderId="0" xfId="0" applyNumberFormat="1" applyFont="1" applyAlignment="1">
      <alignment horizontal="right"/>
    </xf>
    <xf numFmtId="0" fontId="51" fillId="0" borderId="0" xfId="0" applyFont="1"/>
    <xf numFmtId="0" fontId="54" fillId="0" borderId="0" xfId="0" applyFont="1"/>
    <xf numFmtId="0" fontId="48" fillId="0" borderId="0" xfId="0" applyFont="1"/>
    <xf numFmtId="0" fontId="55" fillId="18" borderId="1" xfId="0" applyFont="1" applyFill="1" applyBorder="1" applyAlignment="1">
      <alignment horizontal="right" vertical="center"/>
    </xf>
    <xf numFmtId="0" fontId="55" fillId="19" borderId="1" xfId="0" applyFont="1" applyFill="1" applyBorder="1" applyAlignment="1">
      <alignment vertical="center"/>
    </xf>
    <xf numFmtId="0" fontId="56" fillId="19" borderId="1" xfId="0" applyFont="1" applyFill="1" applyBorder="1" applyAlignment="1">
      <alignment vertical="center"/>
    </xf>
    <xf numFmtId="0" fontId="66" fillId="0" borderId="34" xfId="0" applyFont="1" applyBorder="1" applyAlignment="1">
      <alignment horizontal="left"/>
    </xf>
    <xf numFmtId="0" fontId="11" fillId="0" borderId="35" xfId="0" applyFont="1" applyBorder="1" applyAlignment="1">
      <alignment horizontal="left" vertical="center"/>
    </xf>
    <xf numFmtId="0" fontId="61" fillId="0" borderId="36" xfId="0" applyFont="1" applyBorder="1" applyAlignment="1">
      <alignment horizontal="left"/>
    </xf>
    <xf numFmtId="0" fontId="64" fillId="0" borderId="36" xfId="0" applyFont="1" applyBorder="1" applyAlignment="1">
      <alignment horizontal="left"/>
    </xf>
    <xf numFmtId="0" fontId="64" fillId="0" borderId="37" xfId="0" applyFont="1" applyBorder="1" applyAlignment="1">
      <alignment horizontal="left"/>
    </xf>
    <xf numFmtId="0" fontId="66" fillId="23" borderId="38" xfId="0" applyFont="1" applyFill="1" applyBorder="1" applyAlignment="1">
      <alignment horizontal="left" vertical="center"/>
    </xf>
    <xf numFmtId="0" fontId="61" fillId="23" borderId="39" xfId="0" applyFont="1" applyFill="1" applyBorder="1"/>
    <xf numFmtId="0" fontId="64" fillId="23" borderId="39" xfId="0" applyFont="1" applyFill="1" applyBorder="1"/>
    <xf numFmtId="0" fontId="11" fillId="23" borderId="39" xfId="0" applyFont="1" applyFill="1" applyBorder="1" applyAlignment="1">
      <alignment vertical="center"/>
    </xf>
    <xf numFmtId="3" fontId="11" fillId="23" borderId="39" xfId="0" applyNumberFormat="1" applyFont="1" applyFill="1" applyBorder="1" applyAlignment="1">
      <alignment vertical="center"/>
    </xf>
    <xf numFmtId="3" fontId="11" fillId="23" borderId="40" xfId="0" applyNumberFormat="1" applyFont="1" applyFill="1" applyBorder="1" applyAlignment="1">
      <alignment vertical="center"/>
    </xf>
    <xf numFmtId="0" fontId="66" fillId="0" borderId="41" xfId="0" applyFont="1" applyBorder="1" applyAlignment="1">
      <alignment horizontal="left" vertical="center"/>
    </xf>
    <xf numFmtId="0" fontId="64" fillId="8" borderId="42" xfId="0" applyFont="1" applyFill="1" applyBorder="1"/>
    <xf numFmtId="0" fontId="11" fillId="8" borderId="42" xfId="0" applyFont="1" applyFill="1" applyBorder="1" applyAlignment="1">
      <alignment vertical="center"/>
    </xf>
    <xf numFmtId="3" fontId="11" fillId="8" borderId="42" xfId="0" applyNumberFormat="1" applyFont="1" applyFill="1" applyBorder="1" applyAlignment="1">
      <alignment vertical="center"/>
    </xf>
    <xf numFmtId="3" fontId="11" fillId="8" borderId="43" xfId="0" applyNumberFormat="1" applyFont="1" applyFill="1" applyBorder="1" applyAlignment="1">
      <alignment vertical="center"/>
    </xf>
    <xf numFmtId="0" fontId="66" fillId="0" borderId="44" xfId="0" applyFont="1" applyBorder="1" applyAlignment="1">
      <alignment horizontal="left" vertical="center"/>
    </xf>
    <xf numFmtId="0" fontId="64" fillId="12" borderId="45" xfId="0" applyFont="1" applyFill="1" applyBorder="1"/>
    <xf numFmtId="0" fontId="64" fillId="8" borderId="45" xfId="0" applyFont="1" applyFill="1" applyBorder="1"/>
    <xf numFmtId="0" fontId="11" fillId="8" borderId="45" xfId="0" applyFont="1" applyFill="1" applyBorder="1" applyAlignment="1">
      <alignment vertical="center"/>
    </xf>
    <xf numFmtId="3" fontId="11" fillId="8" borderId="45" xfId="0" applyNumberFormat="1" applyFont="1" applyFill="1" applyBorder="1" applyAlignment="1">
      <alignment vertical="center"/>
    </xf>
    <xf numFmtId="3" fontId="11" fillId="8" borderId="46" xfId="0" applyNumberFormat="1" applyFont="1" applyFill="1" applyBorder="1" applyAlignment="1">
      <alignment vertical="center"/>
    </xf>
    <xf numFmtId="0" fontId="64" fillId="12" borderId="42" xfId="0" applyFont="1" applyFill="1" applyBorder="1"/>
    <xf numFmtId="0" fontId="61" fillId="0" borderId="42" xfId="0" applyFont="1" applyBorder="1"/>
    <xf numFmtId="0" fontId="64" fillId="0" borderId="42" xfId="0" applyFont="1" applyBorder="1"/>
    <xf numFmtId="0" fontId="11" fillId="0" borderId="42" xfId="0" applyFont="1" applyBorder="1" applyAlignment="1">
      <alignment vertical="center"/>
    </xf>
    <xf numFmtId="3" fontId="11" fillId="0" borderId="42" xfId="0" applyNumberFormat="1" applyFont="1" applyBorder="1" applyAlignment="1">
      <alignment vertical="center"/>
    </xf>
    <xf numFmtId="3" fontId="6" fillId="0" borderId="43" xfId="0" applyNumberFormat="1" applyFont="1" applyBorder="1" applyAlignment="1">
      <alignment vertical="center"/>
    </xf>
    <xf numFmtId="0" fontId="11" fillId="23" borderId="38" xfId="0" applyFont="1" applyFill="1" applyBorder="1" applyAlignment="1">
      <alignment vertical="center"/>
    </xf>
    <xf numFmtId="0" fontId="11" fillId="23" borderId="47" xfId="0" applyFont="1" applyFill="1" applyBorder="1" applyAlignment="1">
      <alignment vertical="center"/>
    </xf>
    <xf numFmtId="3" fontId="64" fillId="0" borderId="42" xfId="0" applyNumberFormat="1" applyFont="1" applyBorder="1"/>
    <xf numFmtId="3" fontId="11" fillId="0" borderId="43" xfId="0" applyNumberFormat="1" applyFont="1" applyBorder="1" applyAlignment="1">
      <alignment vertical="center"/>
    </xf>
    <xf numFmtId="170" fontId="58" fillId="0" borderId="48" xfId="0" applyNumberFormat="1" applyFont="1" applyBorder="1"/>
    <xf numFmtId="0" fontId="11" fillId="0" borderId="45" xfId="0" applyFont="1" applyBorder="1" applyAlignment="1">
      <alignment vertical="center"/>
    </xf>
    <xf numFmtId="170" fontId="58" fillId="0" borderId="49" xfId="0" applyNumberFormat="1" applyFont="1" applyBorder="1"/>
    <xf numFmtId="0" fontId="66" fillId="0" borderId="50" xfId="0" applyFont="1" applyBorder="1" applyAlignment="1">
      <alignment horizontal="left" vertical="center"/>
    </xf>
    <xf numFmtId="3" fontId="64" fillId="0" borderId="45" xfId="0" applyNumberFormat="1" applyFont="1" applyBorder="1"/>
    <xf numFmtId="3" fontId="11" fillId="0" borderId="46" xfId="0" applyNumberFormat="1" applyFont="1" applyBorder="1" applyAlignment="1">
      <alignment vertical="center"/>
    </xf>
    <xf numFmtId="3" fontId="64" fillId="0" borderId="45" xfId="0" applyNumberFormat="1" applyFont="1" applyBorder="1" applyAlignment="1">
      <alignment horizontal="right"/>
    </xf>
    <xf numFmtId="3" fontId="64" fillId="0" borderId="42" xfId="0" applyNumberFormat="1" applyFont="1" applyBorder="1" applyAlignment="1">
      <alignment horizontal="right"/>
    </xf>
    <xf numFmtId="3" fontId="7" fillId="0" borderId="45" xfId="0" applyNumberFormat="1" applyFont="1" applyBorder="1" applyAlignment="1">
      <alignment vertical="center"/>
    </xf>
    <xf numFmtId="0" fontId="61" fillId="0" borderId="45" xfId="0" applyFont="1" applyBorder="1"/>
    <xf numFmtId="0" fontId="6" fillId="0" borderId="45" xfId="0" applyFont="1" applyBorder="1" applyAlignment="1">
      <alignment vertical="center"/>
    </xf>
    <xf numFmtId="3" fontId="6" fillId="0" borderId="45" xfId="0" applyNumberFormat="1" applyFont="1" applyBorder="1" applyAlignment="1">
      <alignment vertical="center"/>
    </xf>
    <xf numFmtId="3" fontId="6" fillId="0" borderId="46" xfId="0" applyNumberFormat="1" applyFont="1" applyBorder="1" applyAlignment="1">
      <alignment vertical="center"/>
    </xf>
    <xf numFmtId="0" fontId="11" fillId="0" borderId="51" xfId="0" applyFont="1" applyBorder="1" applyAlignment="1">
      <alignment vertical="center"/>
    </xf>
    <xf numFmtId="0" fontId="61" fillId="0" borderId="52" xfId="0" applyFont="1" applyBorder="1"/>
    <xf numFmtId="3" fontId="62" fillId="0" borderId="52" xfId="0" applyNumberFormat="1" applyFont="1" applyBorder="1"/>
    <xf numFmtId="3" fontId="6" fillId="0" borderId="53" xfId="0" applyNumberFormat="1" applyFont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11" fillId="0" borderId="29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4" fontId="11" fillId="24" borderId="5" xfId="0" applyNumberFormat="1" applyFont="1" applyFill="1" applyBorder="1" applyAlignment="1">
      <alignment horizontal="center" vertical="center"/>
    </xf>
    <xf numFmtId="0" fontId="67" fillId="0" borderId="3" xfId="0" applyFont="1" applyBorder="1" applyAlignment="1">
      <alignment vertical="center"/>
    </xf>
    <xf numFmtId="0" fontId="11" fillId="0" borderId="8" xfId="0" applyFont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4" fontId="11" fillId="0" borderId="9" xfId="0" applyNumberFormat="1" applyFont="1" applyBorder="1" applyAlignment="1">
      <alignment horizontal="center" vertical="center"/>
    </xf>
    <xf numFmtId="167" fontId="11" fillId="0" borderId="9" xfId="0" applyNumberFormat="1" applyFont="1" applyBorder="1" applyAlignment="1">
      <alignment horizontal="center" vertical="center"/>
    </xf>
    <xf numFmtId="9" fontId="11" fillId="0" borderId="9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10" fontId="11" fillId="0" borderId="5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10" fontId="11" fillId="0" borderId="9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10" fontId="6" fillId="24" borderId="3" xfId="0" applyNumberFormat="1" applyFont="1" applyFill="1" applyBorder="1" applyAlignment="1">
      <alignment horizontal="center" vertical="center"/>
    </xf>
    <xf numFmtId="10" fontId="6" fillId="24" borderId="7" xfId="0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183" fontId="7" fillId="0" borderId="0" xfId="0" applyNumberFormat="1" applyFont="1"/>
    <xf numFmtId="165" fontId="7" fillId="0" borderId="6" xfId="0" applyNumberFormat="1" applyFont="1" applyBorder="1"/>
    <xf numFmtId="165" fontId="7" fillId="0" borderId="55" xfId="0" applyNumberFormat="1" applyFont="1" applyBorder="1"/>
    <xf numFmtId="165" fontId="7" fillId="0" borderId="19" xfId="0" applyNumberFormat="1" applyFont="1" applyBorder="1"/>
    <xf numFmtId="165" fontId="5" fillId="0" borderId="55" xfId="0" applyNumberFormat="1" applyFont="1" applyBorder="1"/>
    <xf numFmtId="170" fontId="7" fillId="0" borderId="55" xfId="0" applyNumberFormat="1" applyFont="1" applyBorder="1"/>
    <xf numFmtId="10" fontId="5" fillId="0" borderId="55" xfId="1" applyNumberFormat="1" applyFont="1" applyBorder="1" applyAlignment="1">
      <alignment horizontal="right"/>
    </xf>
    <xf numFmtId="184" fontId="41" fillId="0" borderId="55" xfId="0" applyNumberFormat="1" applyFont="1" applyBorder="1"/>
    <xf numFmtId="164" fontId="6" fillId="3" borderId="55" xfId="0" applyNumberFormat="1" applyFont="1" applyFill="1" applyBorder="1"/>
    <xf numFmtId="170" fontId="0" fillId="0" borderId="0" xfId="0" applyNumberFormat="1"/>
    <xf numFmtId="170" fontId="21" fillId="25" borderId="3" xfId="0" applyNumberFormat="1" applyFont="1" applyFill="1" applyBorder="1"/>
    <xf numFmtId="166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0" fontId="7" fillId="26" borderId="3" xfId="0" applyNumberFormat="1" applyFont="1" applyFill="1" applyBorder="1"/>
    <xf numFmtId="165" fontId="7" fillId="26" borderId="3" xfId="0" applyNumberFormat="1" applyFont="1" applyFill="1" applyBorder="1"/>
    <xf numFmtId="0" fontId="7" fillId="9" borderId="19" xfId="0" applyFont="1" applyFill="1" applyBorder="1"/>
    <xf numFmtId="165" fontId="5" fillId="9" borderId="19" xfId="0" applyNumberFormat="1" applyFont="1" applyFill="1" applyBorder="1"/>
    <xf numFmtId="165" fontId="9" fillId="0" borderId="19" xfId="0" applyNumberFormat="1" applyFont="1" applyBorder="1"/>
    <xf numFmtId="0" fontId="7" fillId="0" borderId="19" xfId="0" applyFont="1" applyBorder="1"/>
    <xf numFmtId="185" fontId="7" fillId="0" borderId="0" xfId="0" applyNumberFormat="1" applyFont="1"/>
    <xf numFmtId="0" fontId="4" fillId="9" borderId="19" xfId="0" applyFont="1" applyFill="1" applyBorder="1"/>
    <xf numFmtId="0" fontId="5" fillId="9" borderId="19" xfId="0" applyFont="1" applyFill="1" applyBorder="1"/>
    <xf numFmtId="170" fontId="23" fillId="0" borderId="3" xfId="0" applyNumberFormat="1" applyFont="1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5" fontId="11" fillId="0" borderId="19" xfId="0" applyNumberFormat="1" applyFont="1" applyBorder="1"/>
    <xf numFmtId="9" fontId="7" fillId="0" borderId="0" xfId="1" applyFont="1"/>
    <xf numFmtId="0" fontId="7" fillId="0" borderId="55" xfId="0" applyFont="1" applyBorder="1"/>
    <xf numFmtId="0" fontId="5" fillId="0" borderId="19" xfId="0" applyFont="1" applyBorder="1"/>
    <xf numFmtId="170" fontId="21" fillId="0" borderId="19" xfId="0" applyNumberFormat="1" applyFont="1" applyBorder="1"/>
    <xf numFmtId="0" fontId="72" fillId="0" borderId="0" xfId="0" applyFont="1"/>
    <xf numFmtId="0" fontId="8" fillId="0" borderId="0" xfId="0" applyFont="1" applyAlignment="1">
      <alignment horizontal="left"/>
    </xf>
    <xf numFmtId="170" fontId="73" fillId="0" borderId="3" xfId="0" applyNumberFormat="1" applyFont="1" applyBorder="1"/>
    <xf numFmtId="170" fontId="74" fillId="0" borderId="19" xfId="0" applyNumberFormat="1" applyFont="1" applyBorder="1"/>
    <xf numFmtId="165" fontId="9" fillId="0" borderId="55" xfId="0" applyNumberFormat="1" applyFont="1" applyBorder="1"/>
    <xf numFmtId="0" fontId="11" fillId="27" borderId="1" xfId="0" quotePrefix="1" applyFont="1" applyFill="1" applyBorder="1"/>
    <xf numFmtId="0" fontId="11" fillId="27" borderId="1" xfId="0" applyFont="1" applyFill="1" applyBorder="1"/>
    <xf numFmtId="184" fontId="5" fillId="0" borderId="55" xfId="0" applyNumberFormat="1" applyFont="1" applyBorder="1" applyAlignment="1">
      <alignment horizontal="right"/>
    </xf>
    <xf numFmtId="0" fontId="68" fillId="0" borderId="0" xfId="0" applyFont="1"/>
    <xf numFmtId="170" fontId="44" fillId="0" borderId="0" xfId="0" applyNumberFormat="1" applyFont="1"/>
    <xf numFmtId="184" fontId="7" fillId="0" borderId="55" xfId="0" applyNumberFormat="1" applyFont="1" applyBorder="1" applyAlignment="1">
      <alignment horizontal="right"/>
    </xf>
    <xf numFmtId="10" fontId="0" fillId="0" borderId="55" xfId="0" applyNumberFormat="1" applyBorder="1" applyAlignment="1">
      <alignment horizontal="right"/>
    </xf>
    <xf numFmtId="0" fontId="75" fillId="28" borderId="0" xfId="0" applyFont="1" applyFill="1"/>
    <xf numFmtId="1" fontId="6" fillId="3" borderId="2" xfId="0" applyNumberFormat="1" applyFont="1" applyFill="1" applyBorder="1"/>
    <xf numFmtId="0" fontId="75" fillId="0" borderId="0" xfId="0" applyFont="1"/>
    <xf numFmtId="0" fontId="77" fillId="0" borderId="19" xfId="3" applyFont="1"/>
    <xf numFmtId="0" fontId="1" fillId="0" borderId="19" xfId="3"/>
    <xf numFmtId="0" fontId="10" fillId="0" borderId="28" xfId="3" applyFont="1" applyBorder="1" applyAlignment="1">
      <alignment horizontal="left" wrapText="1"/>
    </xf>
    <xf numFmtId="170" fontId="10" fillId="0" borderId="55" xfId="3" applyNumberFormat="1" applyFont="1" applyBorder="1" applyAlignment="1">
      <alignment vertical="center"/>
    </xf>
    <xf numFmtId="3" fontId="10" fillId="0" borderId="28" xfId="3" applyNumberFormat="1" applyFont="1" applyBorder="1" applyAlignment="1">
      <alignment wrapText="1"/>
    </xf>
    <xf numFmtId="3" fontId="7" fillId="0" borderId="28" xfId="3" applyNumberFormat="1" applyFont="1" applyBorder="1" applyAlignment="1">
      <alignment wrapText="1"/>
    </xf>
    <xf numFmtId="0" fontId="59" fillId="2" borderId="3" xfId="3" applyFont="1" applyFill="1" applyBorder="1"/>
    <xf numFmtId="0" fontId="60" fillId="2" borderId="3" xfId="3" applyFont="1" applyFill="1" applyBorder="1"/>
    <xf numFmtId="170" fontId="57" fillId="2" borderId="3" xfId="3" applyNumberFormat="1" applyFont="1" applyFill="1" applyBorder="1"/>
    <xf numFmtId="0" fontId="4" fillId="5" borderId="28" xfId="3" applyFont="1" applyFill="1" applyBorder="1" applyAlignment="1">
      <alignment horizontal="center" vertical="center"/>
    </xf>
    <xf numFmtId="3" fontId="58" fillId="0" borderId="11" xfId="3" applyNumberFormat="1" applyFont="1" applyBorder="1"/>
    <xf numFmtId="0" fontId="1" fillId="0" borderId="55" xfId="3" applyBorder="1"/>
    <xf numFmtId="3" fontId="58" fillId="0" borderId="11" xfId="3" applyNumberFormat="1" applyFont="1" applyBorder="1" applyAlignment="1">
      <alignment wrapText="1"/>
    </xf>
    <xf numFmtId="167" fontId="1" fillId="0" borderId="55" xfId="3" applyNumberFormat="1" applyBorder="1"/>
    <xf numFmtId="0" fontId="61" fillId="20" borderId="3" xfId="3" applyFont="1" applyFill="1" applyBorder="1"/>
    <xf numFmtId="3" fontId="63" fillId="20" borderId="3" xfId="3" applyNumberFormat="1" applyFont="1" applyFill="1" applyBorder="1"/>
    <xf numFmtId="3" fontId="6" fillId="20" borderId="55" xfId="3" applyNumberFormat="1" applyFont="1" applyFill="1" applyBorder="1" applyAlignment="1">
      <alignment vertical="center"/>
    </xf>
    <xf numFmtId="0" fontId="61" fillId="6" borderId="3" xfId="3" applyFont="1" applyFill="1" applyBorder="1"/>
    <xf numFmtId="0" fontId="4" fillId="6" borderId="3" xfId="3" applyFont="1" applyFill="1" applyBorder="1" applyAlignment="1">
      <alignment vertical="center"/>
    </xf>
    <xf numFmtId="3" fontId="4" fillId="6" borderId="3" xfId="3" applyNumberFormat="1" applyFont="1" applyFill="1" applyBorder="1" applyAlignment="1">
      <alignment vertical="center"/>
    </xf>
    <xf numFmtId="0" fontId="26" fillId="22" borderId="13" xfId="3" applyFont="1" applyFill="1" applyBorder="1"/>
    <xf numFmtId="0" fontId="61" fillId="6" borderId="28" xfId="3" applyFont="1" applyFill="1" applyBorder="1"/>
    <xf numFmtId="3" fontId="63" fillId="20" borderId="13" xfId="3" applyNumberFormat="1" applyFont="1" applyFill="1" applyBorder="1"/>
    <xf numFmtId="3" fontId="58" fillId="0" borderId="13" xfId="3" applyNumberFormat="1" applyFont="1" applyBorder="1"/>
    <xf numFmtId="0" fontId="58" fillId="0" borderId="15" xfId="3" applyFont="1" applyBorder="1" applyAlignment="1">
      <alignment horizontal="right"/>
    </xf>
    <xf numFmtId="0" fontId="58" fillId="0" borderId="12" xfId="3" applyFont="1" applyBorder="1" applyAlignment="1">
      <alignment horizontal="right"/>
    </xf>
    <xf numFmtId="0" fontId="58" fillId="21" borderId="12" xfId="3" applyFont="1" applyFill="1" applyBorder="1" applyAlignment="1">
      <alignment horizontal="right"/>
    </xf>
    <xf numFmtId="0" fontId="58" fillId="22" borderId="12" xfId="3" applyFont="1" applyFill="1" applyBorder="1" applyAlignment="1">
      <alignment horizontal="right"/>
    </xf>
    <xf numFmtId="0" fontId="10" fillId="20" borderId="3" xfId="3" applyFont="1" applyFill="1" applyBorder="1" applyAlignment="1">
      <alignment vertical="center"/>
    </xf>
    <xf numFmtId="3" fontId="10" fillId="20" borderId="3" xfId="3" applyNumberFormat="1" applyFont="1" applyFill="1" applyBorder="1" applyAlignment="1">
      <alignment vertical="center"/>
    </xf>
    <xf numFmtId="3" fontId="6" fillId="20" borderId="3" xfId="3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right"/>
    </xf>
    <xf numFmtId="0" fontId="65" fillId="0" borderId="0" xfId="0" applyFont="1"/>
    <xf numFmtId="166" fontId="21" fillId="0" borderId="55" xfId="0" applyNumberFormat="1" applyFont="1" applyBorder="1"/>
    <xf numFmtId="186" fontId="21" fillId="0" borderId="55" xfId="0" applyNumberFormat="1" applyFont="1" applyBorder="1"/>
    <xf numFmtId="166" fontId="21" fillId="8" borderId="55" xfId="0" applyNumberFormat="1" applyFont="1" applyFill="1" applyBorder="1"/>
    <xf numFmtId="0" fontId="0" fillId="0" borderId="55" xfId="0" applyBorder="1"/>
    <xf numFmtId="0" fontId="72" fillId="0" borderId="55" xfId="0" applyFont="1" applyBorder="1"/>
    <xf numFmtId="0" fontId="68" fillId="0" borderId="55" xfId="0" applyFont="1" applyBorder="1"/>
    <xf numFmtId="9" fontId="0" fillId="0" borderId="55" xfId="0" applyNumberFormat="1" applyBorder="1"/>
    <xf numFmtId="0" fontId="75" fillId="0" borderId="55" xfId="0" applyFont="1" applyBorder="1"/>
    <xf numFmtId="0" fontId="11" fillId="0" borderId="55" xfId="0" applyFont="1" applyBorder="1"/>
    <xf numFmtId="0" fontId="10" fillId="0" borderId="55" xfId="0" applyFont="1" applyBorder="1"/>
    <xf numFmtId="17" fontId="21" fillId="0" borderId="55" xfId="0" applyNumberFormat="1" applyFont="1" applyBorder="1"/>
    <xf numFmtId="166" fontId="78" fillId="0" borderId="55" xfId="0" applyNumberFormat="1" applyFont="1" applyBorder="1"/>
    <xf numFmtId="9" fontId="21" fillId="0" borderId="55" xfId="1" applyFont="1" applyBorder="1"/>
    <xf numFmtId="0" fontId="5" fillId="0" borderId="55" xfId="0" applyFont="1" applyBorder="1"/>
    <xf numFmtId="0" fontId="80" fillId="0" borderId="55" xfId="0" applyFont="1" applyBorder="1"/>
    <xf numFmtId="0" fontId="8" fillId="0" borderId="55" xfId="0" applyFont="1" applyBorder="1"/>
    <xf numFmtId="166" fontId="79" fillId="0" borderId="55" xfId="0" applyNumberFormat="1" applyFont="1" applyBorder="1"/>
    <xf numFmtId="166" fontId="75" fillId="0" borderId="55" xfId="0" applyNumberFormat="1" applyFont="1" applyBorder="1"/>
    <xf numFmtId="166" fontId="68" fillId="0" borderId="55" xfId="0" applyNumberFormat="1" applyFont="1" applyBorder="1"/>
    <xf numFmtId="166" fontId="0" fillId="0" borderId="55" xfId="0" applyNumberFormat="1" applyBorder="1"/>
    <xf numFmtId="0" fontId="0" fillId="0" borderId="19" xfId="0" applyBorder="1"/>
    <xf numFmtId="0" fontId="72" fillId="0" borderId="19" xfId="0" applyFont="1" applyBorder="1"/>
    <xf numFmtId="0" fontId="81" fillId="0" borderId="0" xfId="0" applyFont="1"/>
    <xf numFmtId="187" fontId="7" fillId="0" borderId="0" xfId="2" applyNumberFormat="1" applyFont="1"/>
    <xf numFmtId="187" fontId="9" fillId="0" borderId="0" xfId="2" applyNumberFormat="1" applyFont="1"/>
    <xf numFmtId="0" fontId="10" fillId="0" borderId="0" xfId="0" applyFont="1" applyAlignment="1">
      <alignment vertical="center"/>
    </xf>
    <xf numFmtId="166" fontId="79" fillId="0" borderId="19" xfId="0" applyNumberFormat="1" applyFont="1" applyBorder="1"/>
    <xf numFmtId="9" fontId="80" fillId="0" borderId="55" xfId="0" applyNumberFormat="1" applyFont="1" applyBorder="1"/>
    <xf numFmtId="167" fontId="10" fillId="0" borderId="55" xfId="5" applyNumberFormat="1" applyFont="1" applyBorder="1" applyAlignment="1">
      <alignment vertical="center"/>
    </xf>
    <xf numFmtId="173" fontId="21" fillId="0" borderId="3" xfId="0" applyNumberFormat="1" applyFont="1" applyBorder="1"/>
    <xf numFmtId="10" fontId="7" fillId="0" borderId="3" xfId="0" applyNumberFormat="1" applyFont="1" applyBorder="1"/>
    <xf numFmtId="164" fontId="6" fillId="3" borderId="2" xfId="0" applyNumberFormat="1" applyFont="1" applyFill="1" applyBorder="1" applyAlignment="1">
      <alignment horizontal="center" vertical="center" wrapText="1"/>
    </xf>
    <xf numFmtId="166" fontId="12" fillId="0" borderId="0" xfId="0" applyNumberFormat="1" applyFont="1"/>
    <xf numFmtId="167" fontId="21" fillId="0" borderId="55" xfId="1" applyNumberFormat="1" applyFont="1" applyBorder="1"/>
    <xf numFmtId="166" fontId="12" fillId="0" borderId="55" xfId="0" applyNumberFormat="1" applyFont="1" applyBorder="1"/>
    <xf numFmtId="167" fontId="12" fillId="0" borderId="55" xfId="1" applyNumberFormat="1" applyFont="1" applyBorder="1"/>
    <xf numFmtId="0" fontId="6" fillId="0" borderId="19" xfId="0" applyFont="1" applyBorder="1"/>
    <xf numFmtId="165" fontId="6" fillId="0" borderId="19" xfId="0" applyNumberFormat="1" applyFont="1" applyBorder="1"/>
    <xf numFmtId="167" fontId="6" fillId="0" borderId="19" xfId="0" applyNumberFormat="1" applyFont="1" applyBorder="1"/>
    <xf numFmtId="0" fontId="6" fillId="4" borderId="59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 wrapText="1"/>
    </xf>
    <xf numFmtId="0" fontId="6" fillId="4" borderId="60" xfId="0" applyFont="1" applyFill="1" applyBorder="1" applyAlignment="1">
      <alignment horizontal="center" vertical="center"/>
    </xf>
    <xf numFmtId="165" fontId="11" fillId="0" borderId="61" xfId="0" applyNumberFormat="1" applyFont="1" applyBorder="1"/>
    <xf numFmtId="167" fontId="11" fillId="0" borderId="19" xfId="0" applyNumberFormat="1" applyFont="1" applyBorder="1"/>
    <xf numFmtId="167" fontId="11" fillId="0" borderId="62" xfId="0" applyNumberFormat="1" applyFont="1" applyBorder="1"/>
    <xf numFmtId="165" fontId="6" fillId="0" borderId="61" xfId="0" applyNumberFormat="1" applyFont="1" applyBorder="1"/>
    <xf numFmtId="167" fontId="6" fillId="0" borderId="62" xfId="0" applyNumberFormat="1" applyFont="1" applyBorder="1"/>
    <xf numFmtId="165" fontId="6" fillId="0" borderId="62" xfId="0" applyNumberFormat="1" applyFont="1" applyBorder="1"/>
    <xf numFmtId="165" fontId="6" fillId="0" borderId="63" xfId="0" applyNumberFormat="1" applyFont="1" applyBorder="1"/>
    <xf numFmtId="167" fontId="6" fillId="0" borderId="64" xfId="0" applyNumberFormat="1" applyFont="1" applyBorder="1"/>
    <xf numFmtId="165" fontId="6" fillId="0" borderId="64" xfId="0" applyNumberFormat="1" applyFont="1" applyBorder="1"/>
    <xf numFmtId="167" fontId="6" fillId="0" borderId="65" xfId="0" applyNumberFormat="1" applyFont="1" applyBorder="1"/>
    <xf numFmtId="9" fontId="7" fillId="0" borderId="19" xfId="0" applyNumberFormat="1" applyFont="1" applyBorder="1"/>
    <xf numFmtId="166" fontId="23" fillId="0" borderId="55" xfId="0" applyNumberFormat="1" applyFont="1" applyBorder="1"/>
    <xf numFmtId="166" fontId="83" fillId="0" borderId="0" xfId="0" applyNumberFormat="1" applyFont="1"/>
    <xf numFmtId="166" fontId="78" fillId="0" borderId="19" xfId="0" applyNumberFormat="1" applyFont="1" applyBorder="1"/>
    <xf numFmtId="172" fontId="11" fillId="16" borderId="30" xfId="0" applyNumberFormat="1" applyFont="1" applyFill="1" applyBorder="1" applyAlignment="1">
      <alignment vertical="center"/>
    </xf>
    <xf numFmtId="187" fontId="27" fillId="20" borderId="55" xfId="2" applyNumberFormat="1" applyFont="1" applyFill="1" applyBorder="1" applyAlignment="1">
      <alignment vertical="center"/>
    </xf>
    <xf numFmtId="10" fontId="0" fillId="0" borderId="0" xfId="1" applyNumberFormat="1" applyFont="1"/>
    <xf numFmtId="0" fontId="5" fillId="0" borderId="0" xfId="0" applyFont="1" applyAlignment="1">
      <alignment horizontal="left" wrapText="1"/>
    </xf>
    <xf numFmtId="0" fontId="0" fillId="0" borderId="0" xfId="0"/>
    <xf numFmtId="0" fontId="15" fillId="5" borderId="16" xfId="0" applyFont="1" applyFill="1" applyBorder="1" applyAlignment="1">
      <alignment horizontal="center" wrapText="1"/>
    </xf>
    <xf numFmtId="0" fontId="12" fillId="0" borderId="17" xfId="0" applyFont="1" applyBorder="1"/>
    <xf numFmtId="0" fontId="15" fillId="5" borderId="18" xfId="0" applyFont="1" applyFill="1" applyBorder="1" applyAlignment="1">
      <alignment horizontal="center" vertical="center" wrapText="1"/>
    </xf>
    <xf numFmtId="0" fontId="12" fillId="0" borderId="19" xfId="0" applyFont="1" applyBorder="1"/>
    <xf numFmtId="0" fontId="82" fillId="29" borderId="0" xfId="0" applyFont="1" applyFill="1" applyAlignment="1">
      <alignment horizontal="center"/>
    </xf>
    <xf numFmtId="0" fontId="6" fillId="4" borderId="29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/>
    </xf>
    <xf numFmtId="0" fontId="6" fillId="4" borderId="57" xfId="0" applyFont="1" applyFill="1" applyBorder="1" applyAlignment="1">
      <alignment horizontal="center"/>
    </xf>
    <xf numFmtId="0" fontId="6" fillId="4" borderId="58" xfId="0" applyFont="1" applyFill="1" applyBorder="1" applyAlignment="1">
      <alignment horizontal="center"/>
    </xf>
    <xf numFmtId="165" fontId="0" fillId="0" borderId="0" xfId="0" applyNumberFormat="1"/>
    <xf numFmtId="0" fontId="84" fillId="0" borderId="0" xfId="0" applyFont="1"/>
    <xf numFmtId="0" fontId="0" fillId="0" borderId="0" xfId="0" applyFont="1"/>
    <xf numFmtId="0" fontId="85" fillId="0" borderId="0" xfId="0" applyFont="1"/>
    <xf numFmtId="0" fontId="86" fillId="25" borderId="19" xfId="0" applyFont="1" applyFill="1" applyBorder="1"/>
    <xf numFmtId="0" fontId="0" fillId="0" borderId="64" xfId="0" applyBorder="1"/>
    <xf numFmtId="0" fontId="0" fillId="0" borderId="66" xfId="0" applyBorder="1"/>
    <xf numFmtId="0" fontId="85" fillId="0" borderId="66" xfId="0" applyFont="1" applyBorder="1"/>
    <xf numFmtId="166" fontId="86" fillId="30" borderId="67" xfId="0" applyNumberFormat="1" applyFont="1" applyFill="1" applyBorder="1"/>
    <xf numFmtId="166" fontId="87" fillId="30" borderId="67" xfId="0" applyNumberFormat="1" applyFont="1" applyFill="1" applyBorder="1"/>
    <xf numFmtId="0" fontId="86" fillId="25" borderId="67" xfId="0" applyFont="1" applyFill="1" applyBorder="1"/>
    <xf numFmtId="0" fontId="0" fillId="0" borderId="66" xfId="0" applyFont="1" applyBorder="1"/>
    <xf numFmtId="0" fontId="0" fillId="0" borderId="62" xfId="0" applyBorder="1"/>
    <xf numFmtId="0" fontId="84" fillId="30" borderId="64" xfId="0" applyFont="1" applyFill="1" applyBorder="1"/>
    <xf numFmtId="0" fontId="91" fillId="31" borderId="55" xfId="3" applyFont="1" applyFill="1" applyBorder="1" applyAlignment="1">
      <alignment horizontal="center"/>
    </xf>
    <xf numFmtId="0" fontId="0" fillId="0" borderId="55" xfId="3" applyFont="1" applyBorder="1"/>
    <xf numFmtId="170" fontId="86" fillId="0" borderId="55" xfId="3" applyNumberFormat="1" applyFont="1" applyBorder="1"/>
    <xf numFmtId="0" fontId="92" fillId="0" borderId="55" xfId="3" applyFont="1" applyBorder="1"/>
    <xf numFmtId="170" fontId="93" fillId="0" borderId="55" xfId="3" applyNumberFormat="1" applyFont="1" applyBorder="1"/>
    <xf numFmtId="3" fontId="93" fillId="0" borderId="55" xfId="3" applyNumberFormat="1" applyFont="1" applyBorder="1"/>
    <xf numFmtId="0" fontId="85" fillId="0" borderId="55" xfId="3" applyFont="1" applyBorder="1"/>
    <xf numFmtId="0" fontId="90" fillId="0" borderId="64" xfId="3" applyFont="1" applyBorder="1"/>
    <xf numFmtId="0" fontId="1" fillId="0" borderId="64" xfId="3" applyBorder="1"/>
    <xf numFmtId="3" fontId="58" fillId="0" borderId="19" xfId="3" applyNumberFormat="1" applyFont="1" applyBorder="1"/>
    <xf numFmtId="0" fontId="26" fillId="22" borderId="19" xfId="3" applyFont="1" applyFill="1" applyBorder="1"/>
    <xf numFmtId="0" fontId="61" fillId="20" borderId="13" xfId="3" applyFont="1" applyFill="1" applyBorder="1"/>
    <xf numFmtId="3" fontId="58" fillId="0" borderId="12" xfId="3" applyNumberFormat="1" applyFont="1" applyBorder="1"/>
    <xf numFmtId="0" fontId="94" fillId="31" borderId="28" xfId="3" applyFont="1" applyFill="1" applyBorder="1" applyAlignment="1">
      <alignment horizontal="center" vertical="center"/>
    </xf>
    <xf numFmtId="3" fontId="95" fillId="0" borderId="19" xfId="3" applyNumberFormat="1" applyFont="1" applyBorder="1"/>
    <xf numFmtId="3" fontId="95" fillId="0" borderId="19" xfId="3" applyNumberFormat="1" applyFont="1" applyBorder="1" applyAlignment="1">
      <alignment horizontal="center"/>
    </xf>
    <xf numFmtId="3" fontId="96" fillId="0" borderId="19" xfId="3" applyNumberFormat="1" applyFont="1" applyBorder="1"/>
    <xf numFmtId="3" fontId="97" fillId="0" borderId="19" xfId="3" applyNumberFormat="1" applyFont="1" applyBorder="1"/>
    <xf numFmtId="3" fontId="95" fillId="0" borderId="19" xfId="3" applyNumberFormat="1" applyFont="1" applyBorder="1" applyAlignment="1">
      <alignment wrapText="1"/>
    </xf>
    <xf numFmtId="3" fontId="95" fillId="0" borderId="19" xfId="3" applyNumberFormat="1" applyFont="1" applyBorder="1" applyAlignment="1">
      <alignment horizontal="center" wrapText="1"/>
    </xf>
    <xf numFmtId="3" fontId="96" fillId="0" borderId="19" xfId="3" applyNumberFormat="1" applyFont="1" applyBorder="1" applyAlignment="1">
      <alignment wrapText="1"/>
    </xf>
    <xf numFmtId="3" fontId="97" fillId="0" borderId="19" xfId="3" applyNumberFormat="1" applyFont="1" applyBorder="1" applyAlignment="1">
      <alignment wrapText="1"/>
    </xf>
    <xf numFmtId="0" fontId="95" fillId="0" borderId="19" xfId="3" applyFont="1" applyBorder="1" applyAlignment="1">
      <alignment horizontal="left" wrapText="1"/>
    </xf>
    <xf numFmtId="0" fontId="95" fillId="0" borderId="19" xfId="3" applyFont="1" applyBorder="1" applyAlignment="1">
      <alignment horizontal="center" wrapText="1"/>
    </xf>
    <xf numFmtId="0" fontId="97" fillId="0" borderId="19" xfId="3" applyFont="1" applyBorder="1" applyAlignment="1">
      <alignment horizontal="left" wrapText="1"/>
    </xf>
    <xf numFmtId="0" fontId="96" fillId="0" borderId="19" xfId="3" applyFont="1" applyBorder="1" applyAlignment="1">
      <alignment horizontal="left" wrapText="1"/>
    </xf>
    <xf numFmtId="3" fontId="86" fillId="0" borderId="55" xfId="3" applyNumberFormat="1" applyFont="1" applyBorder="1"/>
    <xf numFmtId="0" fontId="98" fillId="32" borderId="0" xfId="0" applyFont="1" applyFill="1" applyAlignment="1">
      <alignment horizontal="left" vertical="center"/>
    </xf>
    <xf numFmtId="0" fontId="99" fillId="0" borderId="0" xfId="0" applyFont="1"/>
    <xf numFmtId="0" fontId="100" fillId="33" borderId="55" xfId="0" applyFont="1" applyFill="1" applyBorder="1" applyAlignment="1">
      <alignment horizontal="center" vertical="center" wrapText="1"/>
    </xf>
    <xf numFmtId="0" fontId="99" fillId="0" borderId="55" xfId="0" applyFont="1" applyBorder="1" applyAlignment="1">
      <alignment vertical="top" wrapText="1"/>
    </xf>
    <xf numFmtId="0" fontId="101" fillId="34" borderId="55" xfId="0" applyFont="1" applyFill="1" applyBorder="1" applyAlignment="1">
      <alignment vertical="top" wrapText="1"/>
    </xf>
    <xf numFmtId="0" fontId="99" fillId="0" borderId="0" xfId="0" applyFont="1" applyAlignment="1">
      <alignment vertical="top" wrapText="1"/>
    </xf>
    <xf numFmtId="0" fontId="102" fillId="35" borderId="55" xfId="0" applyFont="1" applyFill="1" applyBorder="1" applyAlignment="1">
      <alignment vertical="top" wrapText="1"/>
    </xf>
    <xf numFmtId="0" fontId="103" fillId="0" borderId="0" xfId="0" applyFont="1" applyAlignment="1">
      <alignment vertical="top" wrapText="1"/>
    </xf>
    <xf numFmtId="0" fontId="99" fillId="0" borderId="0" xfId="0" applyFont="1" applyAlignment="1">
      <alignment vertical="top" wrapText="1"/>
    </xf>
    <xf numFmtId="0" fontId="0" fillId="0" borderId="19" xfId="0" applyFont="1" applyFill="1" applyBorder="1"/>
    <xf numFmtId="0" fontId="104" fillId="0" borderId="0" xfId="0" applyFont="1"/>
    <xf numFmtId="0" fontId="105" fillId="31" borderId="19" xfId="3" applyFont="1" applyFill="1" applyAlignment="1">
      <alignment horizontal="center"/>
    </xf>
    <xf numFmtId="0" fontId="106" fillId="0" borderId="19" xfId="3" applyFont="1"/>
  </cellXfs>
  <cellStyles count="6">
    <cellStyle name="Обычный" xfId="0" builtinId="0"/>
    <cellStyle name="Обычный 2" xfId="3" xr:uid="{61FDDBBF-5026-4DEB-88AF-F97C50141394}"/>
    <cellStyle name="Процентный" xfId="1" builtinId="5"/>
    <cellStyle name="Процентный 2" xfId="5" xr:uid="{9940823D-3375-4A77-AFF3-01F780ED74A7}"/>
    <cellStyle name="Финансовый" xfId="2" builtinId="3"/>
    <cellStyle name="Финансовый 2" xfId="4" xr:uid="{EFF7C241-00A5-4A51-B8F7-9585186416F2}"/>
  </cellStyles>
  <dxfs count="36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204"/>
        <scheme val="none"/>
      </font>
      <numFmt numFmtId="187" formatCode="_-* #,##0_-;\-* #,##0_-;_-* &quot;-&quot;??_-;_-@_-"/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6">
    <tableStyle name="OPEX -style" pivot="0" count="2" xr9:uid="{00000000-0011-0000-FFFF-FFFF00000000}">
      <tableStyleElement type="firstRowStripe" dxfId="35"/>
      <tableStyleElement type="secondRowStripe" dxfId="34"/>
    </tableStyle>
    <tableStyle name="OPEX -style 2" pivot="0" count="2" xr9:uid="{00000000-0011-0000-FFFF-FFFF01000000}">
      <tableStyleElement type="firstRowStripe" dxfId="33"/>
      <tableStyleElement type="secondRowStripe" dxfId="32"/>
    </tableStyle>
    <tableStyle name="Input-style" pivot="0" count="2" xr9:uid="{00000000-0011-0000-FFFF-FFFF02000000}">
      <tableStyleElement type="firstRowStripe" dxfId="31"/>
      <tableStyleElement type="secondRowStripe" dxfId="30"/>
    </tableStyle>
    <tableStyle name="Input-style 2" pivot="0" count="2" xr9:uid="{00000000-0011-0000-FFFF-FFFF03000000}">
      <tableStyleElement type="firstRowStripe" dxfId="29"/>
      <tableStyleElement type="secondRowStripe" dxfId="28"/>
    </tableStyle>
    <tableStyle name="Input-style 3" pivot="0" count="2" xr9:uid="{00000000-0011-0000-FFFF-FFFF04000000}">
      <tableStyleElement type="firstRowStripe" dxfId="27"/>
      <tableStyleElement type="secondRowStripe" dxfId="26"/>
    </tableStyle>
    <tableStyle name="Input-style 4" pivot="0" count="2" xr9:uid="{00000000-0011-0000-FFFF-FFFF05000000}">
      <tableStyleElement type="firstRowStripe" dxfId="25"/>
      <tableStyleElement type="secondRowStripe" dxfId="24"/>
    </tableStyle>
    <tableStyle name="Input-style 5" pivot="0" count="2" xr9:uid="{00000000-0011-0000-FFFF-FFFF06000000}">
      <tableStyleElement type="firstRowStripe" dxfId="23"/>
      <tableStyleElement type="secondRowStripe" dxfId="22"/>
    </tableStyle>
    <tableStyle name="Input-style 6" pivot="0" count="2" xr9:uid="{00000000-0011-0000-FFFF-FFFF07000000}">
      <tableStyleElement type="firstRowStripe" dxfId="21"/>
      <tableStyleElement type="secondRowStripe" dxfId="20"/>
    </tableStyle>
    <tableStyle name="Input-style 7" pivot="0" count="2" xr9:uid="{00000000-0011-0000-FFFF-FFFF08000000}">
      <tableStyleElement type="firstRowStripe" dxfId="19"/>
      <tableStyleElement type="secondRowStripe" dxfId="18"/>
    </tableStyle>
    <tableStyle name="Input-style 8" pivot="0" count="2" xr9:uid="{00000000-0011-0000-FFFF-FFFF09000000}">
      <tableStyleElement type="firstRowStripe" dxfId="17"/>
      <tableStyleElement type="secondRowStripe" dxfId="16"/>
    </tableStyle>
    <tableStyle name="Input-style 9" pivot="0" count="2" xr9:uid="{00000000-0011-0000-FFFF-FFFF0A000000}">
      <tableStyleElement type="firstRowStripe" dxfId="15"/>
      <tableStyleElement type="secondRowStripe" dxfId="14"/>
    </tableStyle>
    <tableStyle name="Input-style 10" pivot="0" count="2" xr9:uid="{00000000-0011-0000-FFFF-FFFF0B000000}">
      <tableStyleElement type="firstRowStripe" dxfId="13"/>
      <tableStyleElement type="secondRowStripe" dxfId="12"/>
    </tableStyle>
    <tableStyle name="Input-style 11" pivot="0" count="2" xr9:uid="{00000000-0011-0000-FFFF-FFFF0C000000}">
      <tableStyleElement type="firstRowStripe" dxfId="11"/>
      <tableStyleElement type="secondRowStripe" dxfId="10"/>
    </tableStyle>
    <tableStyle name="Input-style 12" pivot="0" count="2" xr9:uid="{00000000-0011-0000-FFFF-FFFF0D000000}">
      <tableStyleElement type="firstRowStripe" dxfId="9"/>
      <tableStyleElement type="secondRowStripe" dxfId="8"/>
    </tableStyle>
    <tableStyle name="Input-style 13" pivot="0" count="2" xr9:uid="{00000000-0011-0000-FFFF-FFFF0E000000}">
      <tableStyleElement type="firstRowStripe" dxfId="7"/>
      <tableStyleElement type="secondRowStripe" dxfId="6"/>
    </tableStyle>
    <tableStyle name="WACC-style" pivot="0" count="3" xr9:uid="{00000000-0011-0000-FFFF-FFFF0F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26" Type="http://schemas.microsoft.com/office/2023/09/relationships/Python" Target="python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Output!$C$269</c:f>
              <c:strCache>
                <c:ptCount val="1"/>
                <c:pt idx="0">
                  <c:v>Adjusted EBITDA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Output!$D$268:$O$268</c:f>
              <c:numCache>
                <c:formatCode>General</c:formatCode>
                <c:ptCount val="1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</c:numCache>
            </c:numRef>
          </c:cat>
          <c:val>
            <c:numRef>
              <c:f>Output!$D$269:$O$269</c:f>
              <c:numCache>
                <c:formatCode>_(* #\ ##0_);_(* \(#\ ##0\);_(* "-"??_);_(@_)</c:formatCode>
                <c:ptCount val="12"/>
                <c:pt idx="0">
                  <c:v>33.109589687177575</c:v>
                </c:pt>
                <c:pt idx="1">
                  <c:v>-24.411518267009654</c:v>
                </c:pt>
                <c:pt idx="2">
                  <c:v>30.35115581696239</c:v>
                </c:pt>
                <c:pt idx="3">
                  <c:v>52.695600439420303</c:v>
                </c:pt>
                <c:pt idx="4">
                  <c:v>89.003238836817388</c:v>
                </c:pt>
                <c:pt idx="5">
                  <c:v>198.66125497344208</c:v>
                </c:pt>
                <c:pt idx="6">
                  <c:v>220.68305197567389</c:v>
                </c:pt>
                <c:pt idx="7">
                  <c:v>236.13073269024713</c:v>
                </c:pt>
                <c:pt idx="8">
                  <c:v>251.43831922719636</c:v>
                </c:pt>
                <c:pt idx="9">
                  <c:v>266.45398906801239</c:v>
                </c:pt>
                <c:pt idx="10">
                  <c:v>279.71158170886042</c:v>
                </c:pt>
                <c:pt idx="11">
                  <c:v>293.59981366203687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7-4C09-A06C-4A8EAD307344}"/>
            </c:ext>
          </c:extLst>
        </c:ser>
        <c:ser>
          <c:idx val="1"/>
          <c:order val="1"/>
          <c:tx>
            <c:strRef>
              <c:f>Output!$C$270</c:f>
              <c:strCache>
                <c:ptCount val="1"/>
                <c:pt idx="0">
                  <c:v>Liquidation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Output!$D$268:$O$268</c:f>
              <c:numCache>
                <c:formatCode>General</c:formatCode>
                <c:ptCount val="1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</c:numCache>
            </c:numRef>
          </c:cat>
          <c:val>
            <c:numRef>
              <c:f>Output!$D$270:$O$270</c:f>
              <c:numCache>
                <c:formatCode>_(* #\ ##0_);_(* \(#\ ##0\);_(* "-"??_);_(@_)</c:formatCode>
                <c:ptCount val="12"/>
                <c:pt idx="0">
                  <c:v>236.94808650843748</c:v>
                </c:pt>
                <c:pt idx="1">
                  <c:v>220.35257098613499</c:v>
                </c:pt>
                <c:pt idx="2">
                  <c:v>285.91107181282234</c:v>
                </c:pt>
                <c:pt idx="3">
                  <c:v>385.78374047427872</c:v>
                </c:pt>
                <c:pt idx="4">
                  <c:v>509.60560173818891</c:v>
                </c:pt>
                <c:pt idx="5">
                  <c:v>561.94464188362508</c:v>
                </c:pt>
                <c:pt idx="6">
                  <c:v>606.90021323431517</c:v>
                </c:pt>
                <c:pt idx="7">
                  <c:v>649.38322816071729</c:v>
                </c:pt>
                <c:pt idx="8">
                  <c:v>691.59313799116376</c:v>
                </c:pt>
                <c:pt idx="9">
                  <c:v>733.08872627063363</c:v>
                </c:pt>
                <c:pt idx="10">
                  <c:v>769.74316258416536</c:v>
                </c:pt>
                <c:pt idx="11">
                  <c:v>808.23032071337354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37-4C09-A06C-4A8EAD307344}"/>
            </c:ext>
          </c:extLst>
        </c:ser>
        <c:ser>
          <c:idx val="2"/>
          <c:order val="2"/>
          <c:tx>
            <c:strRef>
              <c:f>Output!$C$271</c:f>
              <c:strCache>
                <c:ptCount val="1"/>
                <c:pt idx="0">
                  <c:v>Net Debt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Output!$D$268:$O$268</c:f>
              <c:numCache>
                <c:formatCode>General</c:formatCode>
                <c:ptCount val="1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</c:numCache>
            </c:numRef>
          </c:cat>
          <c:val>
            <c:numRef>
              <c:f>Output!$D$271:$O$271</c:f>
              <c:numCache>
                <c:formatCode>_(* #\ ##0_);_(* \(#\ ##0\);_(* "-"??_);_(@_)</c:formatCode>
                <c:ptCount val="12"/>
                <c:pt idx="0">
                  <c:v>-339.70891864720676</c:v>
                </c:pt>
                <c:pt idx="1">
                  <c:v>-372.43690357507325</c:v>
                </c:pt>
                <c:pt idx="2">
                  <c:v>-373.9298981874739</c:v>
                </c:pt>
                <c:pt idx="3">
                  <c:v>-401.20353049016711</c:v>
                </c:pt>
                <c:pt idx="4">
                  <c:v>-365.42720671276186</c:v>
                </c:pt>
                <c:pt idx="5">
                  <c:v>-235.24266116989222</c:v>
                </c:pt>
                <c:pt idx="6">
                  <c:v>-88.256198062445421</c:v>
                </c:pt>
                <c:pt idx="7">
                  <c:v>72.430958558752849</c:v>
                </c:pt>
                <c:pt idx="8">
                  <c:v>253.06840611851936</c:v>
                </c:pt>
                <c:pt idx="9">
                  <c:v>453.91687520134747</c:v>
                </c:pt>
                <c:pt idx="10">
                  <c:v>667.93123860105004</c:v>
                </c:pt>
                <c:pt idx="11">
                  <c:v>897.60448102178987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37-4C09-A06C-4A8EAD307344}"/>
            </c:ext>
          </c:extLst>
        </c:ser>
        <c:ser>
          <c:idx val="3"/>
          <c:order val="3"/>
          <c:tx>
            <c:strRef>
              <c:f>Output!$C$272</c:f>
              <c:strCache>
                <c:ptCount val="1"/>
                <c:pt idx="0">
                  <c:v>Total Equity Value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Output!$D$268:$O$268</c:f>
              <c:numCache>
                <c:formatCode>General</c:formatCode>
                <c:ptCount val="1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</c:numCache>
            </c:numRef>
          </c:cat>
          <c:val>
            <c:numRef>
              <c:f>Output!$D$272:$O$272</c:f>
              <c:numCache>
                <c:formatCode>_(* #\ ##0_);_(* \(#\ ##0\);_(* "-"??_);_(@_)</c:formatCode>
                <c:ptCount val="12"/>
                <c:pt idx="0">
                  <c:v>-69.651242451591656</c:v>
                </c:pt>
                <c:pt idx="1">
                  <c:v>-176.49585085594788</c:v>
                </c:pt>
                <c:pt idx="2">
                  <c:v>-57.667670557689156</c:v>
                </c:pt>
                <c:pt idx="3">
                  <c:v>37.275810423531922</c:v>
                </c:pt>
                <c:pt idx="4">
                  <c:v>233.1816338622445</c:v>
                </c:pt>
                <c:pt idx="5">
                  <c:v>525.36323568717501</c:v>
                </c:pt>
                <c:pt idx="6">
                  <c:v>739.32706714754363</c:v>
                </c:pt>
                <c:pt idx="7">
                  <c:v>957.94491940971716</c:v>
                </c:pt>
                <c:pt idx="8">
                  <c:v>1196.0998633368795</c:v>
                </c:pt>
                <c:pt idx="9">
                  <c:v>1453.4595905399935</c:v>
                </c:pt>
                <c:pt idx="10">
                  <c:v>1717.3859828940756</c:v>
                </c:pt>
                <c:pt idx="11">
                  <c:v>1999.4346153972003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37-4C09-A06C-4A8EAD307344}"/>
            </c:ext>
          </c:extLst>
        </c:ser>
        <c:ser>
          <c:idx val="4"/>
          <c:order val="4"/>
          <c:tx>
            <c:strRef>
              <c:f>Output!$C$273</c:f>
              <c:strCache>
                <c:ptCount val="1"/>
                <c:pt idx="0">
                  <c:v>LPs Equity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Output!$D$268:$O$268</c:f>
              <c:numCache>
                <c:formatCode>General</c:formatCode>
                <c:ptCount val="1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</c:numCache>
            </c:numRef>
          </c:cat>
          <c:val>
            <c:numRef>
              <c:f>Output!$D$273:$O$273</c:f>
              <c:numCache>
                <c:formatCode>_(* #\ ##0_);_(* \(#\ ##0\);_(* "-"??_);_(@_)</c:formatCode>
                <c:ptCount val="12"/>
                <c:pt idx="0">
                  <c:v>-69.651242451591656</c:v>
                </c:pt>
                <c:pt idx="1">
                  <c:v>-176.49585085594788</c:v>
                </c:pt>
                <c:pt idx="2">
                  <c:v>-57.667670557689156</c:v>
                </c:pt>
                <c:pt idx="3">
                  <c:v>37.275810423531922</c:v>
                </c:pt>
                <c:pt idx="4">
                  <c:v>233.1816338622445</c:v>
                </c:pt>
                <c:pt idx="5">
                  <c:v>525.36323568717501</c:v>
                </c:pt>
                <c:pt idx="6">
                  <c:v>739.32706714754363</c:v>
                </c:pt>
                <c:pt idx="7">
                  <c:v>957.94491940971716</c:v>
                </c:pt>
                <c:pt idx="8">
                  <c:v>1196.0998633368795</c:v>
                </c:pt>
                <c:pt idx="9">
                  <c:v>1453.4595905399935</c:v>
                </c:pt>
                <c:pt idx="10">
                  <c:v>1717.3859828940756</c:v>
                </c:pt>
                <c:pt idx="11">
                  <c:v>1999.4346153972003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37-4C09-A06C-4A8EAD307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91501968"/>
        <c:axId val="1291515888"/>
      </c:barChart>
      <c:lineChart>
        <c:grouping val="standard"/>
        <c:varyColors val="0"/>
        <c:ser>
          <c:idx val="5"/>
          <c:order val="5"/>
          <c:tx>
            <c:strRef>
              <c:f>Output!$C$274</c:f>
              <c:strCache>
                <c:ptCount val="1"/>
                <c:pt idx="0">
                  <c:v>MoIC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Output!$D$268:$O$268</c:f>
              <c:numCache>
                <c:formatCode>General</c:formatCode>
                <c:ptCount val="1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</c:numCache>
            </c:numRef>
          </c:cat>
          <c:val>
            <c:numRef>
              <c:f>Output!$D$274:$O$274</c:f>
              <c:numCache>
                <c:formatCode>0.00\x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0.58948280106322692</c:v>
                </c:pt>
                <c:pt idx="4">
                  <c:v>3.6875539692851445</c:v>
                </c:pt>
                <c:pt idx="5">
                  <c:v>8.3081383940350158</c:v>
                </c:pt>
                <c:pt idx="6">
                  <c:v>11.691780419852776</c:v>
                </c:pt>
                <c:pt idx="7">
                  <c:v>15.149021522049638</c:v>
                </c:pt>
                <c:pt idx="8">
                  <c:v>18.915223834974093</c:v>
                </c:pt>
                <c:pt idx="9">
                  <c:v>22.985132205813613</c:v>
                </c:pt>
                <c:pt idx="10">
                  <c:v>27.158886371629954</c:v>
                </c:pt>
                <c:pt idx="11">
                  <c:v>31.619227167306775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437-4C09-A06C-4A8EAD307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8613552"/>
        <c:axId val="828612592"/>
      </c:lineChart>
      <c:catAx>
        <c:axId val="129150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extralight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ru-KZ"/>
          </a:p>
        </c:txPr>
        <c:crossAx val="1291515888"/>
        <c:crosses val="autoZero"/>
        <c:auto val="1"/>
        <c:lblAlgn val="ctr"/>
        <c:lblOffset val="100"/>
        <c:noMultiLvlLbl val="0"/>
      </c:catAx>
      <c:valAx>
        <c:axId val="129151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\ ##0_);_(* \(#\ 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extralight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ru-KZ"/>
          </a:p>
        </c:txPr>
        <c:crossAx val="1291501968"/>
        <c:crosses val="autoZero"/>
        <c:crossBetween val="between"/>
      </c:valAx>
      <c:valAx>
        <c:axId val="828612592"/>
        <c:scaling>
          <c:orientation val="minMax"/>
        </c:scaling>
        <c:delete val="0"/>
        <c:axPos val="r"/>
        <c:numFmt formatCode="0.00\x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extralight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ru-KZ"/>
          </a:p>
        </c:txPr>
        <c:crossAx val="828613552"/>
        <c:crosses val="max"/>
        <c:crossBetween val="between"/>
      </c:valAx>
      <c:catAx>
        <c:axId val="8286135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86125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extralight"/>
              <a:ea typeface="Roboto" panose="02000000000000000000" pitchFamily="2" charset="0"/>
              <a:cs typeface="Roboto" panose="02000000000000000000" pitchFamily="2" charset="0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Roboto extralight"/>
          <a:ea typeface="Roboto" panose="02000000000000000000" pitchFamily="2" charset="0"/>
          <a:cs typeface="Roboto" panose="02000000000000000000" pitchFamily="2" charset="0"/>
        </a:defRPr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Output!$C$281</c:f>
              <c:strCache>
                <c:ptCount val="1"/>
                <c:pt idx="0">
                  <c:v>Adjusted EBITDA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Output!$D$280:$O$280</c:f>
              <c:numCache>
                <c:formatCode>General</c:formatCode>
                <c:ptCount val="1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</c:numCache>
            </c:numRef>
          </c:cat>
          <c:val>
            <c:numRef>
              <c:f>Output!$D$281:$O$281</c:f>
              <c:numCache>
                <c:formatCode>_(* #\ ##0_);_(* \(#\ ##0\);_(* "-"??_);_(@_)</c:formatCode>
                <c:ptCount val="12"/>
                <c:pt idx="0">
                  <c:v>33.109589687177575</c:v>
                </c:pt>
                <c:pt idx="1">
                  <c:v>-24.411518267009654</c:v>
                </c:pt>
                <c:pt idx="2">
                  <c:v>30.35115581696239</c:v>
                </c:pt>
                <c:pt idx="3">
                  <c:v>52.695600439420303</c:v>
                </c:pt>
                <c:pt idx="4">
                  <c:v>89.003238836817388</c:v>
                </c:pt>
                <c:pt idx="5">
                  <c:v>198.66125497344208</c:v>
                </c:pt>
                <c:pt idx="6">
                  <c:v>220.68305197567389</c:v>
                </c:pt>
                <c:pt idx="7">
                  <c:v>236.13073269024713</c:v>
                </c:pt>
                <c:pt idx="8">
                  <c:v>251.43831922719636</c:v>
                </c:pt>
                <c:pt idx="9">
                  <c:v>266.45398906801239</c:v>
                </c:pt>
                <c:pt idx="10">
                  <c:v>279.71158170886042</c:v>
                </c:pt>
                <c:pt idx="11">
                  <c:v>293.59981366203687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1-4F9F-932E-688D2451D751}"/>
            </c:ext>
          </c:extLst>
        </c:ser>
        <c:ser>
          <c:idx val="1"/>
          <c:order val="1"/>
          <c:tx>
            <c:strRef>
              <c:f>Output!$C$282</c:f>
              <c:strCache>
                <c:ptCount val="1"/>
                <c:pt idx="0">
                  <c:v>Liquidation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Output!$D$280:$O$280</c:f>
              <c:numCache>
                <c:formatCode>General</c:formatCode>
                <c:ptCount val="1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</c:numCache>
            </c:numRef>
          </c:cat>
          <c:val>
            <c:numRef>
              <c:f>Output!$D$282:$O$282</c:f>
              <c:numCache>
                <c:formatCode>_(* #\ ##0_);_(* \(#\ ##0\);_(* "-"??_);_(@_)</c:formatCode>
                <c:ptCount val="12"/>
                <c:pt idx="0">
                  <c:v>236.94808650843748</c:v>
                </c:pt>
                <c:pt idx="1">
                  <c:v>220.35257098613499</c:v>
                </c:pt>
                <c:pt idx="2">
                  <c:v>285.91107181282234</c:v>
                </c:pt>
                <c:pt idx="3">
                  <c:v>385.78374047427872</c:v>
                </c:pt>
                <c:pt idx="4">
                  <c:v>509.60560173818891</c:v>
                </c:pt>
                <c:pt idx="5">
                  <c:v>561.94464188362508</c:v>
                </c:pt>
                <c:pt idx="6">
                  <c:v>606.90021323431517</c:v>
                </c:pt>
                <c:pt idx="7">
                  <c:v>649.38322816071729</c:v>
                </c:pt>
                <c:pt idx="8">
                  <c:v>691.59313799116376</c:v>
                </c:pt>
                <c:pt idx="9">
                  <c:v>733.08872627063363</c:v>
                </c:pt>
                <c:pt idx="10">
                  <c:v>769.74316258416536</c:v>
                </c:pt>
                <c:pt idx="11">
                  <c:v>808.23032071337354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11-4F9F-932E-688D2451D751}"/>
            </c:ext>
          </c:extLst>
        </c:ser>
        <c:ser>
          <c:idx val="2"/>
          <c:order val="2"/>
          <c:tx>
            <c:strRef>
              <c:f>Output!$C$283</c:f>
              <c:strCache>
                <c:ptCount val="1"/>
                <c:pt idx="0">
                  <c:v>Net Debt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Output!$D$280:$O$280</c:f>
              <c:numCache>
                <c:formatCode>General</c:formatCode>
                <c:ptCount val="1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</c:numCache>
            </c:numRef>
          </c:cat>
          <c:val>
            <c:numRef>
              <c:f>Output!$D$283:$O$283</c:f>
              <c:numCache>
                <c:formatCode>_(* #\ ##0_);_(* \(#\ ##0\);_(* "-"??_);_(@_)</c:formatCode>
                <c:ptCount val="12"/>
                <c:pt idx="0">
                  <c:v>-339.70891864720676</c:v>
                </c:pt>
                <c:pt idx="1">
                  <c:v>-372.43690357507325</c:v>
                </c:pt>
                <c:pt idx="2">
                  <c:v>-373.9298981874739</c:v>
                </c:pt>
                <c:pt idx="3">
                  <c:v>-401.20353049016711</c:v>
                </c:pt>
                <c:pt idx="4">
                  <c:v>-365.42720671276186</c:v>
                </c:pt>
                <c:pt idx="5">
                  <c:v>-235.24266116989222</c:v>
                </c:pt>
                <c:pt idx="6">
                  <c:v>-88.256198062445421</c:v>
                </c:pt>
                <c:pt idx="7">
                  <c:v>72.430958558752849</c:v>
                </c:pt>
                <c:pt idx="8">
                  <c:v>253.06840611851936</c:v>
                </c:pt>
                <c:pt idx="9">
                  <c:v>453.91687520134747</c:v>
                </c:pt>
                <c:pt idx="10">
                  <c:v>667.93123860105004</c:v>
                </c:pt>
                <c:pt idx="11">
                  <c:v>897.60448102178987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11-4F9F-932E-688D2451D751}"/>
            </c:ext>
          </c:extLst>
        </c:ser>
        <c:ser>
          <c:idx val="3"/>
          <c:order val="3"/>
          <c:tx>
            <c:strRef>
              <c:f>Output!$C$284</c:f>
              <c:strCache>
                <c:ptCount val="1"/>
                <c:pt idx="0">
                  <c:v>Total Equity Value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Output!$D$280:$O$280</c:f>
              <c:numCache>
                <c:formatCode>General</c:formatCode>
                <c:ptCount val="1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</c:numCache>
            </c:numRef>
          </c:cat>
          <c:val>
            <c:numRef>
              <c:f>Output!$D$284:$O$284</c:f>
              <c:numCache>
                <c:formatCode>_(* #\ ##0_);_(* \(#\ ##0\);_(* "-"??_);_(@_)</c:formatCode>
                <c:ptCount val="12"/>
                <c:pt idx="0">
                  <c:v>-69.651242451591656</c:v>
                </c:pt>
                <c:pt idx="1">
                  <c:v>-176.49585085594788</c:v>
                </c:pt>
                <c:pt idx="2">
                  <c:v>-57.667670557689156</c:v>
                </c:pt>
                <c:pt idx="3">
                  <c:v>37.275810423531922</c:v>
                </c:pt>
                <c:pt idx="4">
                  <c:v>233.1816338622445</c:v>
                </c:pt>
                <c:pt idx="5">
                  <c:v>525.36323568717501</c:v>
                </c:pt>
                <c:pt idx="6">
                  <c:v>739.32706714754363</c:v>
                </c:pt>
                <c:pt idx="7">
                  <c:v>957.94491940971716</c:v>
                </c:pt>
                <c:pt idx="8">
                  <c:v>1196.0998633368795</c:v>
                </c:pt>
                <c:pt idx="9">
                  <c:v>1453.4595905399935</c:v>
                </c:pt>
                <c:pt idx="10">
                  <c:v>1717.3859828940756</c:v>
                </c:pt>
                <c:pt idx="11">
                  <c:v>1999.4346153972003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11-4F9F-932E-688D2451D751}"/>
            </c:ext>
          </c:extLst>
        </c:ser>
        <c:ser>
          <c:idx val="4"/>
          <c:order val="4"/>
          <c:tx>
            <c:strRef>
              <c:f>Output!$C$285</c:f>
              <c:strCache>
                <c:ptCount val="1"/>
                <c:pt idx="0">
                  <c:v>LPs Equity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Output!$D$280:$O$280</c:f>
              <c:numCache>
                <c:formatCode>General</c:formatCode>
                <c:ptCount val="1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</c:numCache>
            </c:numRef>
          </c:cat>
          <c:val>
            <c:numRef>
              <c:f>Output!$D$285:$O$285</c:f>
              <c:numCache>
                <c:formatCode>_(* #\ ##0_);_(* \(#\ ##0\);_(* "-"??_);_(@_)</c:formatCode>
                <c:ptCount val="12"/>
                <c:pt idx="0">
                  <c:v>-69.651242451591656</c:v>
                </c:pt>
                <c:pt idx="1">
                  <c:v>-176.49585085594788</c:v>
                </c:pt>
                <c:pt idx="2">
                  <c:v>-57.667670557689156</c:v>
                </c:pt>
                <c:pt idx="3">
                  <c:v>37.275810423531922</c:v>
                </c:pt>
                <c:pt idx="4">
                  <c:v>233.1816338622445</c:v>
                </c:pt>
                <c:pt idx="5">
                  <c:v>525.36323568717501</c:v>
                </c:pt>
                <c:pt idx="6">
                  <c:v>739.32706714754363</c:v>
                </c:pt>
                <c:pt idx="7">
                  <c:v>957.94491940971716</c:v>
                </c:pt>
                <c:pt idx="8">
                  <c:v>1196.0998633368795</c:v>
                </c:pt>
                <c:pt idx="9">
                  <c:v>1453.4595905399935</c:v>
                </c:pt>
                <c:pt idx="10">
                  <c:v>1717.3859828940756</c:v>
                </c:pt>
                <c:pt idx="11">
                  <c:v>1999.4346153972003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11-4F9F-932E-688D2451D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91507728"/>
        <c:axId val="1291527408"/>
      </c:barChart>
      <c:lineChart>
        <c:grouping val="standard"/>
        <c:varyColors val="0"/>
        <c:ser>
          <c:idx val="5"/>
          <c:order val="5"/>
          <c:tx>
            <c:strRef>
              <c:f>Output!$C$286</c:f>
              <c:strCache>
                <c:ptCount val="1"/>
                <c:pt idx="0">
                  <c:v>IRR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Output!$D$280:$O$280</c:f>
              <c:numCache>
                <c:formatCode>General</c:formatCode>
                <c:ptCount val="1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</c:numCache>
            </c:numRef>
          </c:cat>
          <c:val>
            <c:numRef>
              <c:f>Output!$D$286:$O$286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0.35128583946681879</c:v>
                </c:pt>
                <c:pt idx="5">
                  <c:v>0.48719395861854542</c:v>
                </c:pt>
                <c:pt idx="6">
                  <c:v>0.47426164257645609</c:v>
                </c:pt>
                <c:pt idx="7">
                  <c:v>0.44854333647348366</c:v>
                </c:pt>
                <c:pt idx="8">
                  <c:v>0.42296147814569385</c:v>
                </c:pt>
                <c:pt idx="9">
                  <c:v>0.39910192347793583</c:v>
                </c:pt>
                <c:pt idx="10">
                  <c:v>0.37640656960471186</c:v>
                </c:pt>
                <c:pt idx="11">
                  <c:v>0.35622784160758414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211-4F9F-932E-688D2451D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1513488"/>
        <c:axId val="1291501008"/>
      </c:lineChart>
      <c:catAx>
        <c:axId val="129150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extralight"/>
                <a:ea typeface="+mn-ea"/>
                <a:cs typeface="+mn-cs"/>
              </a:defRPr>
            </a:pPr>
            <a:endParaRPr lang="ru-KZ"/>
          </a:p>
        </c:txPr>
        <c:crossAx val="1291527408"/>
        <c:crosses val="autoZero"/>
        <c:auto val="1"/>
        <c:lblAlgn val="ctr"/>
        <c:lblOffset val="100"/>
        <c:noMultiLvlLbl val="0"/>
      </c:catAx>
      <c:valAx>
        <c:axId val="129152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\ ##0_);_(* \(#\ 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extralight"/>
                <a:ea typeface="+mn-ea"/>
                <a:cs typeface="+mn-cs"/>
              </a:defRPr>
            </a:pPr>
            <a:endParaRPr lang="ru-KZ"/>
          </a:p>
        </c:txPr>
        <c:crossAx val="1291507728"/>
        <c:crosses val="autoZero"/>
        <c:crossBetween val="between"/>
      </c:valAx>
      <c:valAx>
        <c:axId val="129150100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extralight"/>
                <a:ea typeface="+mn-ea"/>
                <a:cs typeface="+mn-cs"/>
              </a:defRPr>
            </a:pPr>
            <a:endParaRPr lang="ru-KZ"/>
          </a:p>
        </c:txPr>
        <c:crossAx val="1291513488"/>
        <c:crosses val="max"/>
        <c:crossBetween val="between"/>
      </c:valAx>
      <c:catAx>
        <c:axId val="12915134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91501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extraligh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Roboto extralight"/>
        </a:defRPr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157842</xdr:colOff>
      <xdr:row>264</xdr:row>
      <xdr:rowOff>0</xdr:rowOff>
    </xdr:from>
    <xdr:to>
      <xdr:col>29</xdr:col>
      <xdr:colOff>87085</xdr:colOff>
      <xdr:row>283</xdr:row>
      <xdr:rowOff>130628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4729CDC-FB59-D18A-B560-38E3FBCCB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146957</xdr:colOff>
      <xdr:row>292</xdr:row>
      <xdr:rowOff>59871</xdr:rowOff>
    </xdr:from>
    <xdr:to>
      <xdr:col>29</xdr:col>
      <xdr:colOff>489857</xdr:colOff>
      <xdr:row>314</xdr:row>
      <xdr:rowOff>119742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C9AC24A5-BF7A-C9C9-32A8-F937D386A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F42" headerRowCount="0">
  <tableColumns count="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</tableColumns>
  <tableStyleInfo name="OPEX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H22:H27" headerRowCount="0" totalsRowCount="1">
  <tableColumns count="1">
    <tableColumn id="1" xr3:uid="{00000000-0010-0000-0100-000001000000}" name="Column1" totalsRowFunction="custom" totalsRowDxfId="2" totalsRowCellStyle="Финансовый">
      <totalsRowFormula>SUBTOTAL(109,Table_2[[#All],[Column1]])</totalsRowFormula>
    </tableColumn>
  </tableColumns>
  <tableStyleInfo name="OPEX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C4:F18">
  <tableColumns count="4">
    <tableColumn id="1" xr3:uid="{00000000-0010-0000-0F00-000001000000}" name="Стоимость собственного капитала"/>
    <tableColumn id="2" xr3:uid="{00000000-0010-0000-0F00-000002000000}" name="Ед. изм."/>
    <tableColumn id="3" xr3:uid="{00000000-0010-0000-0F00-000003000000}" name="Значение"/>
    <tableColumn id="4" xr3:uid="{00000000-0010-0000-0F00-000004000000}" name="Ссылка"/>
  </tableColumns>
  <tableStyleInfo name="WACC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0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309FF50-5754-4865-B175-032E73723F1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7911647-0b02-4429-bd11-55e37b974fc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mf.org/external/datamapper/profile/KAZ" TargetMode="External"/><Relationship Id="rId2" Type="http://schemas.openxmlformats.org/officeDocument/2006/relationships/hyperlink" Target="https://www.imf.org/external/datamapper/profile/KAZ" TargetMode="External"/><Relationship Id="rId1" Type="http://schemas.openxmlformats.org/officeDocument/2006/relationships/hyperlink" Target="https://adilet.zan.kz/rus/docs/V2500036215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imf.org/external/datamapper/profile/KAZ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4.xml"/><Relationship Id="rId4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pages.stern.nyu.edu/~adamodar/New_Home_Page/datafile/ctryprem.html" TargetMode="External"/><Relationship Id="rId2" Type="http://schemas.openxmlformats.org/officeDocument/2006/relationships/hyperlink" Target="https://pages.stern.nyu.edu/~adamodar/New_Home_Page/datafile/ctryprem.html" TargetMode="External"/><Relationship Id="rId1" Type="http://schemas.openxmlformats.org/officeDocument/2006/relationships/hyperlink" Target="https://www.bloomberg.com/markets/rates-bonds/government-bonds/us" TargetMode="External"/><Relationship Id="rId5" Type="http://schemas.openxmlformats.org/officeDocument/2006/relationships/table" Target="../tables/table3.xml"/><Relationship Id="rId4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85623"/>
  </sheetPr>
  <dimension ref="A1:Z982"/>
  <sheetViews>
    <sheetView zoomScale="70" zoomScaleNormal="70" workbookViewId="0">
      <selection activeCell="H15" sqref="H15"/>
    </sheetView>
  </sheetViews>
  <sheetFormatPr defaultColWidth="14.44140625" defaultRowHeight="15" customHeight="1" x14ac:dyDescent="0.3"/>
  <cols>
    <col min="1" max="1" width="3.44140625" customWidth="1"/>
    <col min="2" max="2" width="2.6640625" customWidth="1"/>
    <col min="3" max="3" width="51" customWidth="1"/>
    <col min="4" max="4" width="12.44140625" customWidth="1"/>
    <col min="5" max="5" width="14.77734375" customWidth="1"/>
    <col min="6" max="6" width="12.5546875" customWidth="1"/>
    <col min="7" max="7" width="14.77734375" customWidth="1"/>
    <col min="8" max="8" width="11.33203125" customWidth="1"/>
    <col min="9" max="9" width="11.109375" customWidth="1"/>
    <col min="10" max="10" width="11.5546875" customWidth="1"/>
    <col min="11" max="11" width="13.77734375" customWidth="1"/>
    <col min="12" max="12" width="12.44140625" customWidth="1"/>
    <col min="13" max="13" width="10.5546875" customWidth="1"/>
    <col min="14" max="15" width="11.6640625" customWidth="1"/>
    <col min="16" max="17" width="10.5546875" customWidth="1"/>
    <col min="18" max="19" width="12" customWidth="1"/>
    <col min="20" max="20" width="8.6640625" customWidth="1"/>
    <col min="21" max="21" width="15.33203125" customWidth="1"/>
    <col min="22" max="22" width="11.6640625" customWidth="1"/>
    <col min="23" max="26" width="8.6640625" customWidth="1"/>
  </cols>
  <sheetData>
    <row r="1" spans="1:26" ht="13.5" customHeight="1" x14ac:dyDescent="0.3"/>
    <row r="2" spans="1:26" ht="22.8" x14ac:dyDescent="0.4">
      <c r="A2" s="1"/>
      <c r="B2" s="1" t="s">
        <v>760</v>
      </c>
    </row>
    <row r="3" spans="1:26" ht="13.5" customHeight="1" x14ac:dyDescent="0.3"/>
    <row r="4" spans="1:26" ht="13.5" customHeight="1" x14ac:dyDescent="0.3">
      <c r="A4" s="2" t="s">
        <v>0</v>
      </c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26" ht="13.5" customHeight="1" x14ac:dyDescent="0.3"/>
    <row r="6" spans="1:26" ht="42" customHeight="1" x14ac:dyDescent="0.3">
      <c r="A6" s="4">
        <v>1</v>
      </c>
      <c r="B6" s="463" t="s">
        <v>730</v>
      </c>
      <c r="C6" s="464"/>
      <c r="D6" s="464"/>
      <c r="E6" s="464"/>
      <c r="F6" s="464"/>
      <c r="G6" s="464"/>
      <c r="H6" s="464"/>
      <c r="I6" s="464"/>
      <c r="J6" s="464"/>
      <c r="K6" s="464"/>
      <c r="L6" s="464"/>
      <c r="M6" s="464"/>
      <c r="N6" s="464"/>
      <c r="O6" s="464"/>
      <c r="P6" s="464"/>
      <c r="Q6" s="464"/>
      <c r="R6" s="464"/>
    </row>
    <row r="7" spans="1:26" ht="13.5" customHeight="1" x14ac:dyDescent="0.3">
      <c r="B7" s="5" t="s">
        <v>2</v>
      </c>
    </row>
    <row r="8" spans="1:26" ht="29.4" customHeight="1" x14ac:dyDescent="0.3">
      <c r="E8" s="434" t="s">
        <v>656</v>
      </c>
      <c r="F8" s="434" t="s">
        <v>657</v>
      </c>
    </row>
    <row r="9" spans="1:26" ht="13.5" customHeight="1" x14ac:dyDescent="0.3">
      <c r="B9" s="7" t="s">
        <v>3</v>
      </c>
      <c r="D9" s="7" t="s">
        <v>4</v>
      </c>
      <c r="E9" s="8">
        <f>SUM(E10:E12)</f>
        <v>302465.14554</v>
      </c>
      <c r="F9" s="8">
        <f>SUM(F10:F12)</f>
        <v>0</v>
      </c>
    </row>
    <row r="10" spans="1:26" ht="13.5" customHeight="1" x14ac:dyDescent="0.3">
      <c r="B10" s="7"/>
      <c r="C10" s="9" t="str">
        <f>'Operating Model'!C17</f>
        <v>Предварительные расходы</v>
      </c>
      <c r="D10" s="10" t="s">
        <v>4</v>
      </c>
      <c r="E10" s="11">
        <f>'Operating Model'!F17</f>
        <v>20000</v>
      </c>
      <c r="F10" s="11">
        <f>'Operating Model'!G17</f>
        <v>0</v>
      </c>
    </row>
    <row r="11" spans="1:26" ht="13.5" customHeight="1" x14ac:dyDescent="0.3">
      <c r="A11" s="9"/>
      <c r="B11" s="10"/>
      <c r="C11" s="9" t="str">
        <f>'Operating Model'!C18</f>
        <v>Строительство зданий и инфраструктура</v>
      </c>
      <c r="D11" s="10" t="s">
        <v>4</v>
      </c>
      <c r="E11" s="11">
        <f>'Operating Model'!F18</f>
        <v>224825.14554</v>
      </c>
      <c r="F11" s="11">
        <f>'Operating Model'!G18</f>
        <v>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3.5" customHeight="1" x14ac:dyDescent="0.3">
      <c r="A12" s="9"/>
      <c r="B12" s="10"/>
      <c r="C12" s="9" t="str">
        <f>'Operating Model'!C19</f>
        <v>Спецтехника и оборудование</v>
      </c>
      <c r="D12" s="10" t="s">
        <v>4</v>
      </c>
      <c r="E12" s="11">
        <f>'Operating Model'!F19</f>
        <v>57640</v>
      </c>
      <c r="F12" s="11">
        <f>'Operating Model'!G19</f>
        <v>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3.5" customHeight="1" x14ac:dyDescent="0.3">
      <c r="B13" s="7" t="s">
        <v>5</v>
      </c>
      <c r="D13" s="7" t="s">
        <v>4</v>
      </c>
      <c r="E13" s="8">
        <f>SUM(E14:E16)</f>
        <v>119100</v>
      </c>
      <c r="F13" s="8">
        <f>SUM(F14:F16)</f>
        <v>0</v>
      </c>
    </row>
    <row r="14" spans="1:26" ht="13.5" customHeight="1" x14ac:dyDescent="0.3">
      <c r="B14" s="5"/>
      <c r="C14" s="9" t="str">
        <f>'Operating Model'!C22</f>
        <v>Маточное поголовье</v>
      </c>
      <c r="D14" s="10" t="s">
        <v>4</v>
      </c>
      <c r="E14" s="11">
        <f>'Operating Model'!F22</f>
        <v>110000</v>
      </c>
      <c r="F14" s="11">
        <f>'Operating Model'!G22</f>
        <v>0</v>
      </c>
    </row>
    <row r="15" spans="1:26" ht="13.5" customHeight="1" x14ac:dyDescent="0.3">
      <c r="B15" s="5"/>
      <c r="C15" s="9" t="str">
        <f>'Operating Model'!C23</f>
        <v>Быки-проивзодители</v>
      </c>
      <c r="D15" s="10" t="s">
        <v>4</v>
      </c>
      <c r="E15" s="11">
        <f>'Operating Model'!F23</f>
        <v>9100</v>
      </c>
      <c r="F15" s="11">
        <f>'Operating Model'!G23</f>
        <v>0</v>
      </c>
    </row>
    <row r="16" spans="1:26" ht="13.5" customHeight="1" x14ac:dyDescent="0.3">
      <c r="B16" s="5"/>
      <c r="C16" s="9" t="str">
        <f>'Operating Model'!C24</f>
        <v>Закуп товарного стада</v>
      </c>
      <c r="D16" s="10" t="s">
        <v>4</v>
      </c>
      <c r="E16" s="11">
        <f>'Operating Model'!F24</f>
        <v>0</v>
      </c>
      <c r="F16" s="11">
        <f>'Operating Model'!G24</f>
        <v>0</v>
      </c>
    </row>
    <row r="17" spans="2:23" ht="13.5" customHeight="1" x14ac:dyDescent="0.3">
      <c r="B17" s="5" t="s">
        <v>6</v>
      </c>
      <c r="D17" s="5" t="s">
        <v>4</v>
      </c>
      <c r="E17" s="12">
        <f>E9+E13</f>
        <v>421565.14554</v>
      </c>
      <c r="F17" s="12">
        <f>F9+F13</f>
        <v>0</v>
      </c>
    </row>
    <row r="18" spans="2:23" ht="13.5" customHeight="1" x14ac:dyDescent="0.3">
      <c r="B18" s="7" t="s">
        <v>731</v>
      </c>
      <c r="D18" s="7" t="s">
        <v>4</v>
      </c>
      <c r="E18" s="8">
        <f ca="1">'Operating Model'!F26</f>
        <v>56436.079391446037</v>
      </c>
      <c r="F18" s="8">
        <f>'Operating Model'!G26</f>
        <v>0</v>
      </c>
      <c r="H18" s="475"/>
    </row>
    <row r="19" spans="2:23" ht="13.5" customHeight="1" x14ac:dyDescent="0.3">
      <c r="B19" s="5" t="s">
        <v>37</v>
      </c>
      <c r="D19" s="5" t="s">
        <v>4</v>
      </c>
      <c r="E19" s="12">
        <f ca="1">SUM(E17,E18)</f>
        <v>478001.22493144602</v>
      </c>
      <c r="F19" s="12">
        <f>SUM(F17,F18)</f>
        <v>0</v>
      </c>
    </row>
    <row r="20" spans="2:23" ht="13.5" customHeight="1" x14ac:dyDescent="0.3">
      <c r="F20" s="13"/>
    </row>
    <row r="21" spans="2:23" ht="13.5" customHeight="1" x14ac:dyDescent="0.3">
      <c r="F21" s="13"/>
    </row>
    <row r="22" spans="2:23" ht="13.5" customHeight="1" x14ac:dyDescent="0.3">
      <c r="B22" s="5" t="s">
        <v>733</v>
      </c>
      <c r="E22" s="369" t="s">
        <v>734</v>
      </c>
      <c r="U22" s="14"/>
      <c r="V22" s="15"/>
    </row>
    <row r="23" spans="2:23" ht="13.5" customHeight="1" x14ac:dyDescent="0.3">
      <c r="B23" s="7" t="s">
        <v>7</v>
      </c>
      <c r="U23" s="15"/>
      <c r="V23" s="16"/>
    </row>
    <row r="24" spans="2:23" ht="13.5" customHeight="1" x14ac:dyDescent="0.3">
      <c r="B24" s="7" t="s">
        <v>8</v>
      </c>
      <c r="D24" s="7" t="s">
        <v>4</v>
      </c>
      <c r="E24" s="8">
        <f>'Operating Model'!AL9</f>
        <v>379408.630986</v>
      </c>
      <c r="U24" s="15"/>
      <c r="V24" s="16"/>
    </row>
    <row r="25" spans="2:23" ht="13.5" customHeight="1" x14ac:dyDescent="0.3">
      <c r="B25" s="7" t="s">
        <v>9</v>
      </c>
      <c r="D25" s="7" t="s">
        <v>10</v>
      </c>
      <c r="E25" s="17">
        <f>Loans!E4</f>
        <v>0.05</v>
      </c>
      <c r="U25" s="15"/>
      <c r="V25" s="16"/>
    </row>
    <row r="26" spans="2:23" ht="13.5" customHeight="1" x14ac:dyDescent="0.3">
      <c r="B26" s="7" t="s">
        <v>11</v>
      </c>
      <c r="D26" s="7" t="s">
        <v>12</v>
      </c>
      <c r="E26" s="8">
        <f>Loans!E5</f>
        <v>10</v>
      </c>
    </row>
    <row r="27" spans="2:23" ht="13.5" customHeight="1" x14ac:dyDescent="0.3">
      <c r="U27" s="14"/>
      <c r="V27" s="16"/>
      <c r="W27" s="18"/>
    </row>
    <row r="28" spans="2:23" ht="13.5" customHeight="1" x14ac:dyDescent="0.3">
      <c r="B28" s="7" t="s">
        <v>13</v>
      </c>
      <c r="E28" s="6">
        <f t="shared" ref="E28:O28" si="0">E71</f>
        <v>2026</v>
      </c>
      <c r="F28" s="6">
        <f t="shared" si="0"/>
        <v>2027</v>
      </c>
      <c r="G28" s="6">
        <f t="shared" si="0"/>
        <v>2028</v>
      </c>
      <c r="H28" s="6">
        <f t="shared" si="0"/>
        <v>2029</v>
      </c>
      <c r="I28" s="6">
        <f t="shared" si="0"/>
        <v>2030</v>
      </c>
      <c r="J28" s="6">
        <f t="shared" si="0"/>
        <v>2031</v>
      </c>
      <c r="K28" s="6">
        <f t="shared" si="0"/>
        <v>2032</v>
      </c>
      <c r="L28" s="6">
        <f t="shared" si="0"/>
        <v>2033</v>
      </c>
      <c r="M28" s="6">
        <f t="shared" si="0"/>
        <v>2034</v>
      </c>
      <c r="N28" s="6">
        <f t="shared" si="0"/>
        <v>2035</v>
      </c>
      <c r="O28" s="6">
        <f t="shared" si="0"/>
        <v>2036</v>
      </c>
    </row>
    <row r="29" spans="2:23" ht="13.5" customHeight="1" x14ac:dyDescent="0.3">
      <c r="B29" s="7" t="s">
        <v>8</v>
      </c>
      <c r="D29" s="7" t="s">
        <v>4</v>
      </c>
      <c r="E29" s="8">
        <f t="shared" ref="E29:O29" ca="1" si="1">E46</f>
        <v>16062.139473125866</v>
      </c>
      <c r="F29" s="8">
        <f t="shared" ca="1" si="1"/>
        <v>33048.538146074308</v>
      </c>
      <c r="G29" s="8">
        <f t="shared" ca="1" si="1"/>
        <v>39510.590148997202</v>
      </c>
      <c r="H29" s="8">
        <f t="shared" ca="1" si="1"/>
        <v>91478.449851181154</v>
      </c>
      <c r="I29" s="8">
        <f t="shared" ca="1" si="1"/>
        <v>107743.91809413719</v>
      </c>
      <c r="J29" s="8">
        <f t="shared" ca="1" si="1"/>
        <v>116731.42180480743</v>
      </c>
      <c r="K29" s="8">
        <f t="shared" ca="1" si="1"/>
        <v>125873.93439526977</v>
      </c>
      <c r="L29" s="8">
        <f t="shared" ca="1" si="1"/>
        <v>134423.33074478791</v>
      </c>
      <c r="M29" s="8">
        <f t="shared" si="1"/>
        <v>0</v>
      </c>
      <c r="N29" s="8">
        <f t="shared" si="1"/>
        <v>0</v>
      </c>
      <c r="O29" s="8">
        <f t="shared" si="1"/>
        <v>0</v>
      </c>
      <c r="V29" s="16"/>
      <c r="W29" s="18"/>
    </row>
    <row r="30" spans="2:23" ht="13.5" customHeight="1" x14ac:dyDescent="0.3">
      <c r="B30" s="7" t="s">
        <v>9</v>
      </c>
      <c r="D30" s="7" t="s">
        <v>10</v>
      </c>
      <c r="E30" s="17">
        <f>'Operating Model'!E305</f>
        <v>0.06</v>
      </c>
    </row>
    <row r="31" spans="2:23" ht="13.5" customHeight="1" x14ac:dyDescent="0.3">
      <c r="B31" s="7" t="s">
        <v>11</v>
      </c>
      <c r="D31" s="7" t="s">
        <v>12</v>
      </c>
      <c r="E31" s="8">
        <f>'Operating Model'!E313</f>
        <v>2</v>
      </c>
      <c r="S31" s="15">
        <f>100/20</f>
        <v>5</v>
      </c>
    </row>
    <row r="32" spans="2:23" ht="13.5" customHeight="1" x14ac:dyDescent="0.3"/>
    <row r="33" spans="1:15" ht="13.5" customHeight="1" x14ac:dyDescent="0.3">
      <c r="A33" s="14">
        <v>3</v>
      </c>
      <c r="B33" s="14" t="s">
        <v>14</v>
      </c>
    </row>
    <row r="34" spans="1:15" ht="13.5" customHeight="1" x14ac:dyDescent="0.3"/>
    <row r="35" spans="1:15" ht="13.5" customHeight="1" x14ac:dyDescent="0.3">
      <c r="B35" s="5" t="s">
        <v>15</v>
      </c>
      <c r="D35" s="7"/>
      <c r="E35" s="16"/>
    </row>
    <row r="36" spans="1:15" ht="13.5" customHeight="1" x14ac:dyDescent="0.3">
      <c r="B36" s="5"/>
      <c r="C36" s="7" t="s">
        <v>735</v>
      </c>
      <c r="D36" s="7" t="s">
        <v>4</v>
      </c>
      <c r="E36" s="16">
        <f>E24*F36</f>
        <v>56911.294647900002</v>
      </c>
      <c r="F36" s="19">
        <v>0.15</v>
      </c>
      <c r="G36" s="20" t="s">
        <v>16</v>
      </c>
    </row>
    <row r="37" spans="1:15" ht="13.5" customHeight="1" x14ac:dyDescent="0.3">
      <c r="C37" s="15" t="s">
        <v>17</v>
      </c>
      <c r="D37" s="7" t="s">
        <v>4</v>
      </c>
      <c r="E37" s="16">
        <f>'Operating Model'!AQ10</f>
        <v>0</v>
      </c>
      <c r="F37" s="19">
        <f>E37/F61</f>
        <v>0</v>
      </c>
      <c r="O37" s="9"/>
    </row>
    <row r="38" spans="1:15" ht="13.5" customHeight="1" x14ac:dyDescent="0.3">
      <c r="C38" s="15"/>
      <c r="D38" s="7"/>
      <c r="E38" s="16"/>
      <c r="F38" s="19"/>
    </row>
    <row r="39" spans="1:15" ht="13.5" customHeight="1" x14ac:dyDescent="0.3">
      <c r="B39" s="5" t="s">
        <v>18</v>
      </c>
      <c r="C39" s="15"/>
      <c r="D39" s="10"/>
      <c r="E39" s="16"/>
    </row>
    <row r="40" spans="1:15" ht="13.5" customHeight="1" x14ac:dyDescent="0.3">
      <c r="C40" s="15" t="s">
        <v>19</v>
      </c>
      <c r="D40" s="7" t="s">
        <v>4</v>
      </c>
      <c r="E40" s="16">
        <f>E56</f>
        <v>224825.14554</v>
      </c>
      <c r="F40" s="19">
        <f>E40/F61</f>
        <v>0.59256729335789926</v>
      </c>
    </row>
    <row r="41" spans="1:15" ht="13.5" customHeight="1" x14ac:dyDescent="0.3">
      <c r="C41" s="15" t="s">
        <v>20</v>
      </c>
      <c r="D41" s="7" t="s">
        <v>4</v>
      </c>
      <c r="E41" s="16">
        <f>F61*F36</f>
        <v>56911.294647900002</v>
      </c>
      <c r="F41" s="19"/>
    </row>
    <row r="42" spans="1:15" ht="13.5" customHeight="1" x14ac:dyDescent="0.3">
      <c r="C42" s="15" t="s">
        <v>21</v>
      </c>
      <c r="D42" s="7" t="s">
        <v>4</v>
      </c>
      <c r="E42" s="16">
        <f>E40-E41</f>
        <v>167913.85089209999</v>
      </c>
      <c r="F42" s="19"/>
    </row>
    <row r="43" spans="1:15" ht="13.5" customHeight="1" x14ac:dyDescent="0.3">
      <c r="D43" s="7"/>
      <c r="E43" s="16"/>
    </row>
    <row r="44" spans="1:15" ht="13.5" customHeight="1" x14ac:dyDescent="0.3">
      <c r="A44" s="5">
        <v>4</v>
      </c>
      <c r="B44" s="14" t="s">
        <v>22</v>
      </c>
      <c r="C44" s="15"/>
      <c r="D44" s="7"/>
      <c r="E44" s="16"/>
    </row>
    <row r="45" spans="1:15" ht="13.5" customHeight="1" x14ac:dyDescent="0.3">
      <c r="B45" s="5"/>
      <c r="D45" s="5"/>
      <c r="E45" s="6">
        <f t="shared" ref="E45:O45" si="2">E28</f>
        <v>2026</v>
      </c>
      <c r="F45" s="6">
        <f t="shared" si="2"/>
        <v>2027</v>
      </c>
      <c r="G45" s="6">
        <f t="shared" si="2"/>
        <v>2028</v>
      </c>
      <c r="H45" s="6">
        <f t="shared" si="2"/>
        <v>2029</v>
      </c>
      <c r="I45" s="6">
        <f t="shared" si="2"/>
        <v>2030</v>
      </c>
      <c r="J45" s="6">
        <f t="shared" si="2"/>
        <v>2031</v>
      </c>
      <c r="K45" s="6">
        <f t="shared" si="2"/>
        <v>2032</v>
      </c>
      <c r="L45" s="6">
        <f t="shared" si="2"/>
        <v>2033</v>
      </c>
      <c r="M45" s="6">
        <f t="shared" si="2"/>
        <v>2034</v>
      </c>
      <c r="N45" s="6">
        <f t="shared" si="2"/>
        <v>2035</v>
      </c>
      <c r="O45" s="6">
        <f t="shared" si="2"/>
        <v>2036</v>
      </c>
    </row>
    <row r="46" spans="1:15" ht="13.5" customHeight="1" x14ac:dyDescent="0.3">
      <c r="B46" s="5" t="s">
        <v>23</v>
      </c>
      <c r="D46" s="5" t="s">
        <v>4</v>
      </c>
      <c r="E46" s="21">
        <f ca="1">'Operating Model'!AI308</f>
        <v>16062.139473125866</v>
      </c>
      <c r="F46" s="21">
        <f ca="1">'Operating Model'!AJ308</f>
        <v>33048.538146074308</v>
      </c>
      <c r="G46" s="21">
        <f ca="1">'Operating Model'!AK308</f>
        <v>39510.590148997202</v>
      </c>
      <c r="H46" s="21">
        <f ca="1">'Operating Model'!AL308</f>
        <v>91478.449851181154</v>
      </c>
      <c r="I46" s="21">
        <f ca="1">'Operating Model'!AM308</f>
        <v>107743.91809413719</v>
      </c>
      <c r="J46" s="21">
        <f ca="1">'Operating Model'!AN308</f>
        <v>116731.42180480743</v>
      </c>
      <c r="K46" s="8">
        <f ca="1">'Operating Model'!AO308</f>
        <v>125873.93439526977</v>
      </c>
      <c r="L46" s="8">
        <f ca="1">'Operating Model'!AP308</f>
        <v>134423.33074478791</v>
      </c>
      <c r="M46" s="8">
        <f>'Operating Model'!AQ308</f>
        <v>0</v>
      </c>
      <c r="N46" s="8">
        <f>'Operating Model'!AR308</f>
        <v>0</v>
      </c>
      <c r="O46" s="8">
        <f>'Operating Model'!AS308</f>
        <v>0</v>
      </c>
    </row>
    <row r="47" spans="1:15" ht="13.5" customHeight="1" x14ac:dyDescent="0.3">
      <c r="B47" s="20" t="s">
        <v>21</v>
      </c>
      <c r="C47" s="15"/>
      <c r="D47" s="7" t="s">
        <v>4</v>
      </c>
      <c r="E47" s="22">
        <f>E42</f>
        <v>167913.85089209999</v>
      </c>
      <c r="F47" s="23">
        <f t="shared" ref="F47:J47" si="3">E47</f>
        <v>167913.85089209999</v>
      </c>
      <c r="G47" s="23">
        <f t="shared" si="3"/>
        <v>167913.85089209999</v>
      </c>
      <c r="H47" s="23">
        <f t="shared" si="3"/>
        <v>167913.85089209999</v>
      </c>
      <c r="I47" s="23">
        <f t="shared" si="3"/>
        <v>167913.85089209999</v>
      </c>
      <c r="J47" s="23">
        <f t="shared" si="3"/>
        <v>167913.85089209999</v>
      </c>
      <c r="K47" s="23"/>
      <c r="L47" s="23"/>
      <c r="M47" s="23"/>
      <c r="N47" s="23"/>
      <c r="O47" s="23"/>
    </row>
    <row r="48" spans="1:15" ht="13.5" customHeight="1" x14ac:dyDescent="0.3">
      <c r="B48" s="20" t="s">
        <v>24</v>
      </c>
      <c r="C48" s="15"/>
      <c r="D48" s="7" t="s">
        <v>4</v>
      </c>
      <c r="E48" s="22">
        <f>E37-H61</f>
        <v>-42156.514554000001</v>
      </c>
      <c r="F48" s="23">
        <f t="shared" ref="F48:J48" si="4">E48</f>
        <v>-42156.514554000001</v>
      </c>
      <c r="G48" s="23">
        <f t="shared" si="4"/>
        <v>-42156.514554000001</v>
      </c>
      <c r="H48" s="23">
        <f t="shared" si="4"/>
        <v>-42156.514554000001</v>
      </c>
      <c r="I48" s="23">
        <f t="shared" si="4"/>
        <v>-42156.514554000001</v>
      </c>
      <c r="J48" s="23">
        <f t="shared" si="4"/>
        <v>-42156.514554000001</v>
      </c>
      <c r="K48" s="23"/>
      <c r="L48" s="23"/>
      <c r="M48" s="23"/>
      <c r="N48" s="23"/>
      <c r="O48" s="23"/>
    </row>
    <row r="49" spans="1:23" ht="13.5" customHeight="1" x14ac:dyDescent="0.3">
      <c r="B49" s="20" t="s">
        <v>25</v>
      </c>
      <c r="C49" s="15"/>
      <c r="D49" s="7"/>
      <c r="E49" s="22">
        <f t="shared" ref="E49:J49" ca="1" si="5">IF(SUM(E47:E48)&gt;E46,1,0)</f>
        <v>1</v>
      </c>
      <c r="F49" s="22">
        <f t="shared" ca="1" si="5"/>
        <v>1</v>
      </c>
      <c r="G49" s="22">
        <f t="shared" ca="1" si="5"/>
        <v>1</v>
      </c>
      <c r="H49" s="22">
        <f t="shared" ca="1" si="5"/>
        <v>1</v>
      </c>
      <c r="I49" s="22">
        <f t="shared" ca="1" si="5"/>
        <v>1</v>
      </c>
      <c r="J49" s="22">
        <f t="shared" ca="1" si="5"/>
        <v>1</v>
      </c>
      <c r="K49" s="22"/>
      <c r="L49" s="22"/>
      <c r="M49" s="22"/>
      <c r="N49" s="22"/>
      <c r="O49" s="22"/>
    </row>
    <row r="50" spans="1:23" ht="13.5" customHeight="1" x14ac:dyDescent="0.3">
      <c r="B50" s="20" t="s">
        <v>26</v>
      </c>
      <c r="C50" s="15"/>
      <c r="D50" s="7" t="s">
        <v>10</v>
      </c>
      <c r="E50" s="24">
        <f t="shared" ref="E50:J50" ca="1" si="6">SUM(E48+E47)/E46-1</f>
        <v>6.8294262447732477</v>
      </c>
      <c r="F50" s="24">
        <f t="shared" ca="1" si="6"/>
        <v>2.8052314381426933</v>
      </c>
      <c r="G50" s="24">
        <f t="shared" ca="1" si="6"/>
        <v>2.1828766886007087</v>
      </c>
      <c r="H50" s="24">
        <f t="shared" ca="1" si="6"/>
        <v>0.37472089374802886</v>
      </c>
      <c r="I50" s="24">
        <f t="shared" ca="1" si="6"/>
        <v>0.16718733235804795</v>
      </c>
      <c r="J50" s="24">
        <f t="shared" ca="1" si="6"/>
        <v>7.7322064562747039E-2</v>
      </c>
      <c r="K50" s="24"/>
      <c r="L50" s="24"/>
      <c r="M50" s="24"/>
      <c r="N50" s="24"/>
      <c r="O50" s="24"/>
    </row>
    <row r="51" spans="1:23" ht="13.5" customHeight="1" x14ac:dyDescent="0.3"/>
    <row r="52" spans="1:23" ht="13.5" customHeight="1" x14ac:dyDescent="0.3">
      <c r="A52" s="5">
        <v>3</v>
      </c>
      <c r="B52" s="5" t="s">
        <v>27</v>
      </c>
    </row>
    <row r="53" spans="1:23" ht="13.5" customHeight="1" x14ac:dyDescent="0.3">
      <c r="C53" s="470" t="s">
        <v>761</v>
      </c>
      <c r="D53" s="25"/>
      <c r="E53" s="470" t="s">
        <v>29</v>
      </c>
      <c r="F53" s="472" t="s">
        <v>28</v>
      </c>
      <c r="G53" s="473"/>
      <c r="H53" s="473"/>
      <c r="I53" s="474"/>
    </row>
    <row r="54" spans="1:23" ht="27.6" x14ac:dyDescent="0.3">
      <c r="C54" s="471"/>
      <c r="D54" s="26"/>
      <c r="E54" s="471"/>
      <c r="F54" s="442" t="s">
        <v>715</v>
      </c>
      <c r="G54" s="443" t="s">
        <v>30</v>
      </c>
      <c r="H54" s="444" t="s">
        <v>31</v>
      </c>
      <c r="I54" s="445" t="s">
        <v>30</v>
      </c>
    </row>
    <row r="55" spans="1:23" ht="15.75" customHeight="1" x14ac:dyDescent="0.3">
      <c r="C55" s="27" t="str">
        <f>C10</f>
        <v>Предварительные расходы</v>
      </c>
      <c r="D55" s="28" t="s">
        <v>4</v>
      </c>
      <c r="E55" s="29">
        <f>E10+F10</f>
        <v>20000</v>
      </c>
      <c r="F55" s="446">
        <f t="shared" ref="F55:F60" si="7">E55-H55</f>
        <v>0</v>
      </c>
      <c r="G55" s="447">
        <f t="shared" ref="G55:G59" si="8">F55/E55</f>
        <v>0</v>
      </c>
      <c r="H55" s="350">
        <f>E55</f>
        <v>20000</v>
      </c>
      <c r="I55" s="448">
        <f t="shared" ref="I55:I59" si="9">H55/E55</f>
        <v>1</v>
      </c>
    </row>
    <row r="56" spans="1:23" ht="13.5" customHeight="1" x14ac:dyDescent="0.3">
      <c r="C56" s="27" t="s">
        <v>33</v>
      </c>
      <c r="D56" s="28" t="s">
        <v>4</v>
      </c>
      <c r="E56" s="29">
        <f>E11+F11</f>
        <v>224825.14554</v>
      </c>
      <c r="F56" s="446">
        <f t="shared" si="7"/>
        <v>224825.14554</v>
      </c>
      <c r="G56" s="447">
        <f t="shared" si="8"/>
        <v>1</v>
      </c>
      <c r="H56" s="350">
        <v>0</v>
      </c>
      <c r="I56" s="448">
        <f t="shared" si="9"/>
        <v>0</v>
      </c>
      <c r="V56" s="32">
        <v>0.1</v>
      </c>
      <c r="W56" s="32">
        <v>0.1</v>
      </c>
    </row>
    <row r="57" spans="1:23" ht="13.5" customHeight="1" x14ac:dyDescent="0.3">
      <c r="C57" s="27" t="s">
        <v>34</v>
      </c>
      <c r="D57" s="28" t="s">
        <v>4</v>
      </c>
      <c r="E57" s="29">
        <f>E12+F12</f>
        <v>57640</v>
      </c>
      <c r="F57" s="446">
        <f t="shared" si="7"/>
        <v>51876</v>
      </c>
      <c r="G57" s="447">
        <f t="shared" si="8"/>
        <v>0.9</v>
      </c>
      <c r="H57" s="350">
        <f>E57*$V$56</f>
        <v>5764</v>
      </c>
      <c r="I57" s="448">
        <f t="shared" si="9"/>
        <v>0.1</v>
      </c>
    </row>
    <row r="58" spans="1:23" ht="13.5" customHeight="1" x14ac:dyDescent="0.3">
      <c r="C58" s="27" t="s">
        <v>35</v>
      </c>
      <c r="D58" s="28" t="s">
        <v>4</v>
      </c>
      <c r="E58" s="29">
        <f>E14+F14</f>
        <v>110000</v>
      </c>
      <c r="F58" s="446">
        <f>E58-H58</f>
        <v>94517.485446000006</v>
      </c>
      <c r="G58" s="447">
        <f t="shared" si="8"/>
        <v>0.85924986769090916</v>
      </c>
      <c r="H58" s="350">
        <f>H61-SUM(H55:H57)-H59</f>
        <v>15482.514554000001</v>
      </c>
      <c r="I58" s="448">
        <f t="shared" si="9"/>
        <v>0.14075013230909092</v>
      </c>
    </row>
    <row r="59" spans="1:23" ht="13.5" customHeight="1" x14ac:dyDescent="0.3">
      <c r="C59" s="27" t="s">
        <v>36</v>
      </c>
      <c r="D59" s="28" t="s">
        <v>4</v>
      </c>
      <c r="E59" s="29">
        <f>E15+F15</f>
        <v>9100</v>
      </c>
      <c r="F59" s="446">
        <f>E59-H59</f>
        <v>8190</v>
      </c>
      <c r="G59" s="447">
        <f t="shared" si="8"/>
        <v>0.9</v>
      </c>
      <c r="H59" s="350">
        <f>E59*$V$56</f>
        <v>910</v>
      </c>
      <c r="I59" s="448">
        <f t="shared" si="9"/>
        <v>0.1</v>
      </c>
    </row>
    <row r="60" spans="1:23" ht="13.5" customHeight="1" x14ac:dyDescent="0.3">
      <c r="C60" s="27" t="s">
        <v>684</v>
      </c>
      <c r="D60" s="28" t="s">
        <v>4</v>
      </c>
      <c r="E60" s="29">
        <f>E16</f>
        <v>0</v>
      </c>
      <c r="F60" s="446">
        <f t="shared" si="7"/>
        <v>0</v>
      </c>
      <c r="G60" s="447">
        <f>IFERROR(F60/E60,0)</f>
        <v>0</v>
      </c>
      <c r="H60" s="350">
        <f>E60*$V$56</f>
        <v>0</v>
      </c>
      <c r="I60" s="448">
        <f>IFERROR(H60/E60,0)</f>
        <v>0</v>
      </c>
    </row>
    <row r="61" spans="1:23" ht="13.5" customHeight="1" x14ac:dyDescent="0.3">
      <c r="C61" s="33" t="s">
        <v>6</v>
      </c>
      <c r="D61" s="34" t="s">
        <v>4</v>
      </c>
      <c r="E61" s="35">
        <f>SUM(E55:E60)</f>
        <v>421565.14554</v>
      </c>
      <c r="F61" s="449">
        <f>SUM(F55:F60)</f>
        <v>379408.630986</v>
      </c>
      <c r="G61" s="441">
        <f>F61/E61</f>
        <v>0.9</v>
      </c>
      <c r="H61" s="440">
        <f>E61*I61</f>
        <v>42156.514554000001</v>
      </c>
      <c r="I61" s="450">
        <v>0.1</v>
      </c>
      <c r="J61" s="36">
        <f>F61*15%</f>
        <v>56911.294647900002</v>
      </c>
    </row>
    <row r="62" spans="1:23" ht="13.5" customHeight="1" x14ac:dyDescent="0.3">
      <c r="C62" s="33"/>
      <c r="D62" s="34"/>
      <c r="E62" s="35"/>
      <c r="F62" s="449"/>
      <c r="G62" s="440"/>
      <c r="H62" s="440"/>
      <c r="I62" s="451"/>
    </row>
    <row r="63" spans="1:23" ht="13.5" customHeight="1" x14ac:dyDescent="0.3">
      <c r="C63" s="33" t="s">
        <v>137</v>
      </c>
      <c r="D63" s="34" t="s">
        <v>4</v>
      </c>
      <c r="E63" s="35">
        <f ca="1">E18</f>
        <v>56436.079391446037</v>
      </c>
      <c r="F63" s="449">
        <f ca="1">E63-H63</f>
        <v>35357.82211444604</v>
      </c>
      <c r="G63" s="441">
        <f t="shared" ref="G63" ca="1" si="10">F63/E63</f>
        <v>0.62651095709892968</v>
      </c>
      <c r="H63" s="440">
        <f>Input!F39-Output!H61</f>
        <v>21078.257276999997</v>
      </c>
      <c r="I63" s="450">
        <f t="shared" ref="I63" ca="1" si="11">H63/E63</f>
        <v>0.37348904290107027</v>
      </c>
    </row>
    <row r="64" spans="1:23" ht="13.5" customHeight="1" x14ac:dyDescent="0.3">
      <c r="C64" s="33"/>
      <c r="D64" s="34"/>
      <c r="E64" s="35"/>
      <c r="F64" s="449"/>
      <c r="G64" s="440"/>
      <c r="H64" s="440"/>
      <c r="I64" s="451"/>
    </row>
    <row r="65" spans="1:19" ht="13.5" customHeight="1" x14ac:dyDescent="0.3">
      <c r="C65" s="37" t="s">
        <v>37</v>
      </c>
      <c r="D65" s="38" t="s">
        <v>4</v>
      </c>
      <c r="E65" s="39">
        <f ca="1">E61+E63</f>
        <v>478001.22493144602</v>
      </c>
      <c r="F65" s="452">
        <f ca="1">F61+F63</f>
        <v>414766.45310044603</v>
      </c>
      <c r="G65" s="453">
        <f ca="1">F65/E65</f>
        <v>0.86771002137061681</v>
      </c>
      <c r="H65" s="454">
        <f>H61+H63</f>
        <v>63234.771830999998</v>
      </c>
      <c r="I65" s="455">
        <f ca="1">H65/E65</f>
        <v>0.13228997862938321</v>
      </c>
      <c r="J65" s="36">
        <f ca="1">F65*15%</f>
        <v>62214.967965066899</v>
      </c>
    </row>
    <row r="66" spans="1:19" ht="13.2" customHeight="1" x14ac:dyDescent="0.3">
      <c r="C66" s="14"/>
      <c r="D66" s="5"/>
      <c r="E66" s="36"/>
      <c r="F66" s="36"/>
      <c r="G66" s="36"/>
      <c r="H66" s="36"/>
      <c r="I66" s="36"/>
      <c r="J66" s="36"/>
      <c r="K66" s="36"/>
    </row>
    <row r="67" spans="1:19" ht="13.2" customHeight="1" x14ac:dyDescent="0.3">
      <c r="C67" s="14"/>
      <c r="D67" s="5"/>
      <c r="E67" s="36"/>
      <c r="F67" s="36"/>
      <c r="G67" s="36"/>
      <c r="H67" s="36"/>
      <c r="I67" s="36"/>
      <c r="J67" s="36"/>
      <c r="K67" s="36"/>
    </row>
    <row r="68" spans="1:19" ht="13.2" customHeight="1" x14ac:dyDescent="0.3">
      <c r="C68" s="439"/>
      <c r="D68" s="353"/>
      <c r="E68" s="440"/>
      <c r="F68" s="440"/>
      <c r="G68" s="441"/>
      <c r="H68" s="440"/>
      <c r="I68" s="441"/>
      <c r="J68" s="440"/>
      <c r="K68" s="36"/>
    </row>
    <row r="69" spans="1:19" ht="13.2" customHeight="1" x14ac:dyDescent="0.3">
      <c r="C69" s="439"/>
      <c r="D69" s="353"/>
      <c r="E69" s="440"/>
      <c r="F69" s="440"/>
      <c r="G69" s="441"/>
      <c r="H69" s="440"/>
      <c r="I69" s="441"/>
      <c r="J69" s="440"/>
      <c r="K69" s="36"/>
    </row>
    <row r="70" spans="1:19" ht="13.5" customHeight="1" x14ac:dyDescent="0.3">
      <c r="A70" s="2" t="s">
        <v>0</v>
      </c>
      <c r="B70" s="3" t="s">
        <v>38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3.5" customHeight="1" x14ac:dyDescent="0.3">
      <c r="E71" s="6">
        <f>'Operating Model'!AI38</f>
        <v>2026</v>
      </c>
      <c r="F71" s="6">
        <f>'Operating Model'!AJ38</f>
        <v>2027</v>
      </c>
      <c r="G71" s="6">
        <f>'Operating Model'!AK38</f>
        <v>2028</v>
      </c>
      <c r="H71" s="6">
        <f>'Operating Model'!AL38</f>
        <v>2029</v>
      </c>
      <c r="I71" s="6">
        <f>'Operating Model'!AM38</f>
        <v>2030</v>
      </c>
      <c r="J71" s="6">
        <f>'Operating Model'!AN38</f>
        <v>2031</v>
      </c>
      <c r="K71" s="6">
        <f>'Operating Model'!AO38</f>
        <v>2032</v>
      </c>
      <c r="L71" s="6">
        <f>'Operating Model'!AP38</f>
        <v>2033</v>
      </c>
      <c r="M71" s="6">
        <f>'Operating Model'!AQ38</f>
        <v>2034</v>
      </c>
      <c r="N71" s="6">
        <f>'Operating Model'!AR38</f>
        <v>2035</v>
      </c>
      <c r="O71" s="6">
        <f>'Operating Model'!AS38</f>
        <v>2036</v>
      </c>
    </row>
    <row r="72" spans="1:19" ht="13.5" customHeight="1" x14ac:dyDescent="0.3">
      <c r="B72" s="7" t="s">
        <v>39</v>
      </c>
      <c r="C72" s="7"/>
      <c r="D72" s="7" t="s">
        <v>40</v>
      </c>
      <c r="E72" s="8">
        <f>'Operating Model'!AI41</f>
        <v>300</v>
      </c>
      <c r="F72" s="8">
        <f>'Operating Model'!AJ41</f>
        <v>300</v>
      </c>
      <c r="G72" s="8">
        <f>'Operating Model'!AK41</f>
        <v>300</v>
      </c>
      <c r="H72" s="8">
        <f>'Operating Model'!AL41</f>
        <v>300</v>
      </c>
      <c r="I72" s="8">
        <f>'Operating Model'!AM41</f>
        <v>300</v>
      </c>
      <c r="J72" s="8">
        <f>'Operating Model'!AN41</f>
        <v>300</v>
      </c>
      <c r="K72" s="8">
        <f>'Operating Model'!AO41</f>
        <v>300</v>
      </c>
      <c r="L72" s="8">
        <f>'Operating Model'!AP41</f>
        <v>300</v>
      </c>
      <c r="M72" s="8">
        <f>'Operating Model'!AQ41</f>
        <v>300</v>
      </c>
      <c r="N72" s="8">
        <f>'Operating Model'!AR41</f>
        <v>300</v>
      </c>
      <c r="O72" s="8">
        <f>'Operating Model'!AS41</f>
        <v>300</v>
      </c>
    </row>
    <row r="73" spans="1:19" ht="13.5" customHeight="1" x14ac:dyDescent="0.3"/>
    <row r="74" spans="1:19" ht="13.5" customHeight="1" x14ac:dyDescent="0.3">
      <c r="B74" s="5" t="s">
        <v>41</v>
      </c>
      <c r="D74" s="7" t="s">
        <v>40</v>
      </c>
      <c r="E74" s="8">
        <f>SUM('Operating Model'!AI57)</f>
        <v>198.0074875078125</v>
      </c>
      <c r="F74" s="8">
        <f>SUM('Operating Model'!AJ57)</f>
        <v>163.25378832422908</v>
      </c>
      <c r="G74" s="8">
        <f ca="1">SUM('Operating Model'!AK57)</f>
        <v>201.16948066253127</v>
      </c>
      <c r="H74" s="8">
        <f ca="1">SUM('Operating Model'!AL57)</f>
        <v>247.89109254640417</v>
      </c>
      <c r="I74" s="8">
        <f ca="1">SUM('Operating Model'!AM57)</f>
        <v>300</v>
      </c>
      <c r="J74" s="8">
        <f ca="1">SUM('Operating Model'!AN57)</f>
        <v>300</v>
      </c>
      <c r="K74" s="8">
        <f ca="1">SUM('Operating Model'!AO57)</f>
        <v>300</v>
      </c>
      <c r="L74" s="8">
        <f ca="1">SUM('Operating Model'!AP57)</f>
        <v>300</v>
      </c>
      <c r="M74" s="8">
        <f ca="1">SUM('Operating Model'!AQ57)</f>
        <v>300</v>
      </c>
      <c r="N74" s="8">
        <f ca="1">SUM('Operating Model'!AR57)</f>
        <v>300</v>
      </c>
      <c r="O74" s="8">
        <f ca="1">SUM('Operating Model'!AS57)</f>
        <v>300</v>
      </c>
    </row>
    <row r="75" spans="1:19" ht="13.5" customHeight="1" x14ac:dyDescent="0.3">
      <c r="B75" s="14" t="s">
        <v>42</v>
      </c>
      <c r="D75" s="7" t="s">
        <v>40</v>
      </c>
      <c r="E75" s="8">
        <f>'Operating Model'!AI66</f>
        <v>14</v>
      </c>
      <c r="F75" s="8">
        <f>'Operating Model'!AJ66</f>
        <v>14</v>
      </c>
      <c r="G75" s="8">
        <f>'Operating Model'!AK66</f>
        <v>10.883585888281942</v>
      </c>
      <c r="H75" s="8">
        <f ca="1">'Operating Model'!AL66</f>
        <v>13.411298710835423</v>
      </c>
      <c r="I75" s="8">
        <f ca="1">'Operating Model'!AM66</f>
        <v>16.526072836426952</v>
      </c>
      <c r="J75" s="8">
        <f ca="1">'Operating Model'!AN66</f>
        <v>20.000000000000007</v>
      </c>
      <c r="K75" s="8">
        <f ca="1">'Operating Model'!AO66</f>
        <v>20.000000000000007</v>
      </c>
      <c r="L75" s="8">
        <f ca="1">'Operating Model'!AP66</f>
        <v>20.000000000000007</v>
      </c>
      <c r="M75" s="8">
        <f ca="1">'Operating Model'!AQ66</f>
        <v>20.000000000000007</v>
      </c>
      <c r="N75" s="8">
        <f ca="1">'Operating Model'!AR66</f>
        <v>20.000000000000007</v>
      </c>
      <c r="O75" s="8">
        <f ca="1">'Operating Model'!AS66</f>
        <v>20.000000000000007</v>
      </c>
    </row>
    <row r="76" spans="1:19" ht="13.5" customHeight="1" x14ac:dyDescent="0.3">
      <c r="B76" s="14" t="s">
        <v>43</v>
      </c>
      <c r="D76" s="7" t="s">
        <v>40</v>
      </c>
      <c r="E76" s="8">
        <f ca="1">'Operating Model'!AI87</f>
        <v>0</v>
      </c>
      <c r="F76" s="8">
        <f ca="1">'Operating Model'!AJ87</f>
        <v>0</v>
      </c>
      <c r="G76" s="8">
        <f ca="1">'Operating Model'!AK87</f>
        <v>0</v>
      </c>
      <c r="H76" s="8">
        <f ca="1">'Operating Model'!AL87</f>
        <v>0</v>
      </c>
      <c r="I76" s="8">
        <f ca="1">'Operating Model'!AM87</f>
        <v>0</v>
      </c>
      <c r="J76" s="8">
        <f ca="1">'Operating Model'!AN87</f>
        <v>0</v>
      </c>
      <c r="K76" s="8">
        <f ca="1">'Operating Model'!AO87</f>
        <v>0</v>
      </c>
      <c r="L76" s="8">
        <f ca="1">'Operating Model'!AP87</f>
        <v>0</v>
      </c>
      <c r="M76" s="8">
        <f ca="1">'Operating Model'!AQ87</f>
        <v>0</v>
      </c>
      <c r="N76" s="8">
        <f ca="1">'Operating Model'!AR87</f>
        <v>0</v>
      </c>
      <c r="O76" s="8">
        <f ca="1">'Operating Model'!AS87</f>
        <v>0</v>
      </c>
    </row>
    <row r="77" spans="1:19" ht="13.5" customHeight="1" x14ac:dyDescent="0.3">
      <c r="B77" s="14" t="s">
        <v>44</v>
      </c>
      <c r="D77" s="7" t="s">
        <v>40</v>
      </c>
      <c r="E77" s="8">
        <f>'Operating Model'!AI96</f>
        <v>0</v>
      </c>
      <c r="F77" s="8">
        <f>'Operating Model'!AJ96</f>
        <v>0</v>
      </c>
      <c r="G77" s="8">
        <f>'Operating Model'!AK96</f>
        <v>0</v>
      </c>
      <c r="H77" s="8">
        <f ca="1">'Operating Model'!AL96</f>
        <v>0</v>
      </c>
      <c r="I77" s="8">
        <f ca="1">'Operating Model'!AM96</f>
        <v>0</v>
      </c>
      <c r="J77" s="8">
        <f ca="1">'Operating Model'!AN96</f>
        <v>0</v>
      </c>
      <c r="K77" s="8">
        <f ca="1">'Operating Model'!AO96</f>
        <v>0</v>
      </c>
      <c r="L77" s="8">
        <f ca="1">'Operating Model'!AP96</f>
        <v>0</v>
      </c>
      <c r="M77" s="8">
        <f ca="1">'Operating Model'!AQ96</f>
        <v>0</v>
      </c>
      <c r="N77" s="8">
        <f ca="1">'Operating Model'!AR96</f>
        <v>0</v>
      </c>
      <c r="O77" s="8">
        <f ca="1">'Operating Model'!AS96</f>
        <v>0</v>
      </c>
    </row>
    <row r="78" spans="1:19" ht="13.5" customHeight="1" x14ac:dyDescent="0.3"/>
    <row r="79" spans="1:19" ht="13.5" customHeight="1" x14ac:dyDescent="0.3">
      <c r="B79" s="5"/>
      <c r="E79" s="40">
        <f t="shared" ref="E79:O79" si="12">E71</f>
        <v>2026</v>
      </c>
      <c r="F79" s="40">
        <f t="shared" si="12"/>
        <v>2027</v>
      </c>
      <c r="G79" s="40">
        <f t="shared" si="12"/>
        <v>2028</v>
      </c>
      <c r="H79" s="40">
        <f t="shared" si="12"/>
        <v>2029</v>
      </c>
      <c r="I79" s="40">
        <f t="shared" si="12"/>
        <v>2030</v>
      </c>
      <c r="J79" s="40">
        <f t="shared" si="12"/>
        <v>2031</v>
      </c>
      <c r="K79" s="40">
        <f t="shared" si="12"/>
        <v>2032</v>
      </c>
      <c r="L79" s="40">
        <f t="shared" si="12"/>
        <v>2033</v>
      </c>
      <c r="M79" s="40">
        <f t="shared" si="12"/>
        <v>2034</v>
      </c>
      <c r="N79" s="40">
        <f t="shared" si="12"/>
        <v>2035</v>
      </c>
      <c r="O79" s="40">
        <f t="shared" si="12"/>
        <v>2036</v>
      </c>
    </row>
    <row r="80" spans="1:19" ht="13.5" customHeight="1" x14ac:dyDescent="0.3">
      <c r="B80" s="5" t="s">
        <v>45</v>
      </c>
      <c r="D80" s="7" t="s">
        <v>40</v>
      </c>
      <c r="E80" s="8">
        <f>'Operating Model'!AI70</f>
        <v>0</v>
      </c>
      <c r="F80" s="8">
        <f>'Operating Model'!AJ70</f>
        <v>0</v>
      </c>
      <c r="G80" s="8">
        <f>'Operating Model'!AK70</f>
        <v>138.76572007559471</v>
      </c>
      <c r="H80" s="8">
        <f ca="1">'Operating Model'!AL70</f>
        <v>170.99405856315158</v>
      </c>
      <c r="I80" s="8">
        <f ca="1">'Operating Model'!AM70</f>
        <v>210.70742866444354</v>
      </c>
      <c r="J80" s="8">
        <f ca="1">'Operating Model'!AN70</f>
        <v>255</v>
      </c>
      <c r="K80" s="8">
        <f ca="1">'Operating Model'!AO70</f>
        <v>255</v>
      </c>
      <c r="L80" s="8">
        <f ca="1">'Operating Model'!AP70</f>
        <v>255</v>
      </c>
      <c r="M80" s="8">
        <f ca="1">'Operating Model'!AQ70</f>
        <v>255</v>
      </c>
      <c r="N80" s="8">
        <f ca="1">'Operating Model'!AR70</f>
        <v>255</v>
      </c>
      <c r="O80" s="8">
        <f ca="1">'Operating Model'!AS70</f>
        <v>255</v>
      </c>
    </row>
    <row r="81" spans="1:19" ht="13.5" customHeight="1" x14ac:dyDescent="0.3">
      <c r="B81" s="7" t="s">
        <v>46</v>
      </c>
      <c r="D81" s="7" t="s">
        <v>40</v>
      </c>
      <c r="E81" s="8">
        <f>SUM('Operating Model'!AI53,'Operating Model'!AI63)</f>
        <v>0</v>
      </c>
      <c r="F81" s="8">
        <f>SUM('Operating Model'!AJ53,'Operating Model'!AJ63)</f>
        <v>-29.039491771632651</v>
      </c>
      <c r="G81" s="8">
        <f>SUM('Operating Model'!AK53,'Operating Model'!AK63)</f>
        <v>-27.988068248634359</v>
      </c>
      <c r="H81" s="8">
        <f ca="1">SUM('Operating Model'!AL53,'Operating Model'!AL63)</f>
        <v>-32.896318571450173</v>
      </c>
      <c r="I81" s="8">
        <f ca="1">SUM('Operating Model'!AM53,'Operating Model'!AM63)</f>
        <v>-40.536488559669479</v>
      </c>
      <c r="J81" s="8">
        <f ca="1">SUM('Operating Model'!AN53,'Operating Model'!AN63)</f>
        <v>-49.131518209106737</v>
      </c>
      <c r="K81" s="8">
        <f ca="1">SUM('Operating Model'!AO53,'Operating Model'!AO63)</f>
        <v>-50</v>
      </c>
      <c r="L81" s="8">
        <f ca="1">SUM('Operating Model'!AP53,'Operating Model'!AP63)</f>
        <v>-50</v>
      </c>
      <c r="M81" s="8">
        <f ca="1">SUM('Operating Model'!AQ53,'Operating Model'!AQ63)</f>
        <v>-50</v>
      </c>
      <c r="N81" s="8">
        <f ca="1">SUM('Operating Model'!AR53,'Operating Model'!AR63)</f>
        <v>-50</v>
      </c>
      <c r="O81" s="8">
        <f ca="1">SUM('Operating Model'!AS53,'Operating Model'!AS63)</f>
        <v>-50</v>
      </c>
    </row>
    <row r="82" spans="1:19" ht="13.5" customHeight="1" x14ac:dyDescent="0.3">
      <c r="B82" s="7" t="s">
        <v>47</v>
      </c>
      <c r="D82" s="7" t="s">
        <v>40</v>
      </c>
      <c r="E82" s="8">
        <f>SUM('Operating Model'!AI54,'Operating Model'!AI64,'Operating Model'!AI82,'Operating Model'!AI93)</f>
        <v>-1.9925124921874999</v>
      </c>
      <c r="F82" s="8">
        <f>SUM('Operating Model'!AJ54,'Operating Model'!AJ64,'Operating Model'!AJ82,'Operating Model'!AJ93)</f>
        <v>-5.7142074119507873</v>
      </c>
      <c r="G82" s="8">
        <f>SUM('Operating Model'!AK54,'Operating Model'!AK64,'Operating Model'!AK82,'Operating Model'!AK93)</f>
        <v>-9.4805852519947145</v>
      </c>
      <c r="H82" s="8">
        <f ca="1">SUM('Operating Model'!AL54,'Operating Model'!AL64,'Operating Model'!AL82,'Operating Model'!AL93)</f>
        <v>-11.491413753418943</v>
      </c>
      <c r="I82" s="8">
        <f ca="1">SUM('Operating Model'!AM54,'Operating Model'!AM64,'Operating Model'!AM82,'Operating Model'!AM93)</f>
        <v>-14.160294597650495</v>
      </c>
      <c r="J82" s="8">
        <f ca="1">SUM('Operating Model'!AN54,'Operating Model'!AN64,'Operating Model'!AN82,'Operating Model'!AN93)</f>
        <v>-17.145782185092809</v>
      </c>
      <c r="K82" s="8">
        <f ca="1">SUM('Operating Model'!AO54,'Operating Model'!AO64,'Operating Model'!AO82,'Operating Model'!AO93)</f>
        <v>-17.25</v>
      </c>
      <c r="L82" s="8">
        <f ca="1">SUM('Operating Model'!AP54,'Operating Model'!AP64,'Operating Model'!AP82,'Operating Model'!AP93)</f>
        <v>-17.25</v>
      </c>
      <c r="M82" s="8">
        <f ca="1">SUM('Operating Model'!AQ54,'Operating Model'!AQ64,'Operating Model'!AQ82,'Operating Model'!AQ93)</f>
        <v>-17.25</v>
      </c>
      <c r="N82" s="8">
        <f ca="1">SUM('Operating Model'!AR54,'Operating Model'!AR64,'Operating Model'!AR82,'Operating Model'!AR93)</f>
        <v>-17.25</v>
      </c>
      <c r="O82" s="8">
        <f ca="1">SUM('Operating Model'!AS54,'Operating Model'!AS64,'Operating Model'!AS82,'Operating Model'!AS93)</f>
        <v>-17.25</v>
      </c>
    </row>
    <row r="83" spans="1:19" ht="13.5" customHeight="1" x14ac:dyDescent="0.3">
      <c r="B83" s="7"/>
      <c r="C83" s="7" t="s">
        <v>48</v>
      </c>
      <c r="D83" s="7" t="s">
        <v>40</v>
      </c>
      <c r="E83" s="8">
        <f>'Operating Model'!AI82</f>
        <v>0</v>
      </c>
      <c r="F83" s="8">
        <f>'Operating Model'!AJ82</f>
        <v>0</v>
      </c>
      <c r="G83" s="8">
        <f>'Operating Model'!AK82</f>
        <v>-2.0814858011339208</v>
      </c>
      <c r="H83" s="8">
        <f ca="1">'Operating Model'!AL82</f>
        <v>-2.5649108784472738</v>
      </c>
      <c r="I83" s="8">
        <f ca="1">'Operating Model'!AM82</f>
        <v>-3.1606114299666528</v>
      </c>
      <c r="J83" s="8">
        <f ca="1">'Operating Model'!AN82</f>
        <v>-3.8249999999999997</v>
      </c>
      <c r="K83" s="8">
        <f ca="1">'Operating Model'!AO82</f>
        <v>-3.8249999999999997</v>
      </c>
      <c r="L83" s="8">
        <f ca="1">'Operating Model'!AP82</f>
        <v>-3.8249999999999997</v>
      </c>
      <c r="M83" s="8">
        <f ca="1">'Operating Model'!AQ82</f>
        <v>-3.8249999999999997</v>
      </c>
      <c r="N83" s="8">
        <f ca="1">'Operating Model'!AR82</f>
        <v>-3.8249999999999997</v>
      </c>
      <c r="O83" s="8">
        <f ca="1">'Operating Model'!AS82</f>
        <v>-3.8249999999999997</v>
      </c>
    </row>
    <row r="84" spans="1:19" ht="13.5" customHeight="1" x14ac:dyDescent="0.3">
      <c r="B84" s="7"/>
      <c r="C84" s="7" t="s">
        <v>49</v>
      </c>
      <c r="D84" s="7" t="s">
        <v>40</v>
      </c>
      <c r="E84" s="8">
        <f>'Operating Model'!AI93</f>
        <v>0</v>
      </c>
      <c r="F84" s="8">
        <f>'Operating Model'!AJ93</f>
        <v>0</v>
      </c>
      <c r="G84" s="8">
        <f>'Operating Model'!AK93</f>
        <v>-2.0814858011339208</v>
      </c>
      <c r="H84" s="8">
        <f ca="1">'Operating Model'!AL93</f>
        <v>-2.5649108784472738</v>
      </c>
      <c r="I84" s="8">
        <f ca="1">'Operating Model'!AM93</f>
        <v>-3.1606114299666528</v>
      </c>
      <c r="J84" s="8">
        <f ca="1">'Operating Model'!AN93</f>
        <v>-3.8249999999999997</v>
      </c>
      <c r="K84" s="8">
        <f ca="1">'Operating Model'!AO93</f>
        <v>-3.8249999999999997</v>
      </c>
      <c r="L84" s="8">
        <f ca="1">'Operating Model'!AP93</f>
        <v>-3.8249999999999997</v>
      </c>
      <c r="M84" s="8">
        <f ca="1">'Operating Model'!AQ93</f>
        <v>-3.8249999999999997</v>
      </c>
      <c r="N84" s="8">
        <f ca="1">'Operating Model'!AR93</f>
        <v>-3.8249999999999997</v>
      </c>
      <c r="O84" s="8">
        <f ca="1">'Operating Model'!AS93</f>
        <v>-3.8249999999999997</v>
      </c>
    </row>
    <row r="85" spans="1:19" ht="13.5" customHeight="1" x14ac:dyDescent="0.3"/>
    <row r="86" spans="1:19" ht="13.5" customHeight="1" x14ac:dyDescent="0.3">
      <c r="B86" s="5" t="s">
        <v>50</v>
      </c>
      <c r="E86" s="8">
        <f>'Operating Model'!AI104</f>
        <v>214</v>
      </c>
      <c r="F86" s="8">
        <f ca="1">'Operating Model'!AJ104</f>
        <v>212.0074875078125</v>
      </c>
      <c r="G86" s="8">
        <f ca="1">'Operating Model'!AK104</f>
        <v>177.25378832422908</v>
      </c>
      <c r="H86" s="8">
        <f ca="1">'Operating Model'!AL104</f>
        <v>212.05306655081321</v>
      </c>
      <c r="I86" s="8">
        <f ca="1">'Operating Model'!AM104</f>
        <v>261.30239125723961</v>
      </c>
      <c r="J86" s="8">
        <f ca="1">'Operating Model'!AN104</f>
        <v>316.52607283642698</v>
      </c>
      <c r="K86" s="8">
        <f ca="1">'Operating Model'!AO104</f>
        <v>320</v>
      </c>
      <c r="L86" s="8">
        <f ca="1">'Operating Model'!AP104</f>
        <v>320</v>
      </c>
      <c r="M86" s="8">
        <f ca="1">'Operating Model'!AQ104</f>
        <v>320</v>
      </c>
      <c r="N86" s="8">
        <f ca="1">'Operating Model'!AR104</f>
        <v>320</v>
      </c>
      <c r="O86" s="8">
        <f ca="1">'Operating Model'!AS104</f>
        <v>320</v>
      </c>
    </row>
    <row r="87" spans="1:19" ht="13.5" customHeight="1" x14ac:dyDescent="0.3">
      <c r="B87" s="5" t="s">
        <v>51</v>
      </c>
      <c r="D87" s="7" t="s">
        <v>40</v>
      </c>
      <c r="E87" s="8">
        <f ca="1">'Operating Model'!AI105</f>
        <v>212.0074875078125</v>
      </c>
      <c r="F87" s="8">
        <f ca="1">'Operating Model'!AJ105</f>
        <v>177.25378832422908</v>
      </c>
      <c r="G87" s="8">
        <f ca="1">'Operating Model'!AK105</f>
        <v>212.05306655081321</v>
      </c>
      <c r="H87" s="8">
        <f ca="1">'Operating Model'!AL105</f>
        <v>261.30239125723961</v>
      </c>
      <c r="I87" s="8">
        <f ca="1">'Operating Model'!AM105</f>
        <v>316.52607283642698</v>
      </c>
      <c r="J87" s="8">
        <f ca="1">'Operating Model'!AN105</f>
        <v>320</v>
      </c>
      <c r="K87" s="8">
        <f ca="1">'Operating Model'!AO105</f>
        <v>320</v>
      </c>
      <c r="L87" s="8">
        <f ca="1">'Operating Model'!AP105</f>
        <v>320</v>
      </c>
      <c r="M87" s="8">
        <f ca="1">'Operating Model'!AQ105</f>
        <v>320</v>
      </c>
      <c r="N87" s="8">
        <f ca="1">'Operating Model'!AR105</f>
        <v>320</v>
      </c>
      <c r="O87" s="8">
        <f ca="1">'Operating Model'!AS105</f>
        <v>320</v>
      </c>
    </row>
    <row r="88" spans="1:19" ht="13.5" customHeight="1" x14ac:dyDescent="0.3"/>
    <row r="89" spans="1:19" ht="13.5" customHeight="1" x14ac:dyDescent="0.3">
      <c r="B89" s="7" t="s">
        <v>45</v>
      </c>
      <c r="D89" s="7" t="s">
        <v>10</v>
      </c>
      <c r="E89" s="17">
        <f>E80/E74</f>
        <v>0</v>
      </c>
      <c r="F89" s="17">
        <f t="shared" ref="F89" si="13">F80/F74</f>
        <v>0</v>
      </c>
      <c r="G89" s="17">
        <f>G80/F74</f>
        <v>0.85</v>
      </c>
      <c r="H89" s="17">
        <f ca="1">H80/G74</f>
        <v>0.85</v>
      </c>
      <c r="I89" s="17">
        <f t="shared" ref="I89:O89" ca="1" si="14">I80/H74</f>
        <v>0.85</v>
      </c>
      <c r="J89" s="17">
        <f t="shared" ca="1" si="14"/>
        <v>0.85</v>
      </c>
      <c r="K89" s="17">
        <f t="shared" ca="1" si="14"/>
        <v>0.85</v>
      </c>
      <c r="L89" s="17">
        <f t="shared" ca="1" si="14"/>
        <v>0.85</v>
      </c>
      <c r="M89" s="17">
        <f t="shared" ca="1" si="14"/>
        <v>0.85</v>
      </c>
      <c r="N89" s="17">
        <f t="shared" ca="1" si="14"/>
        <v>0.85</v>
      </c>
      <c r="O89" s="17">
        <f t="shared" ca="1" si="14"/>
        <v>0.85</v>
      </c>
    </row>
    <row r="90" spans="1:19" ht="13.5" customHeight="1" x14ac:dyDescent="0.3">
      <c r="B90" s="7" t="s">
        <v>52</v>
      </c>
      <c r="D90" s="7" t="s">
        <v>10</v>
      </c>
      <c r="E90" s="17">
        <v>0</v>
      </c>
      <c r="F90" s="17">
        <f>SUM(F80,F83,F84)/F74</f>
        <v>0</v>
      </c>
      <c r="G90" s="17">
        <f>SUM(G80,G83,G84)/F74</f>
        <v>0.82450000000000012</v>
      </c>
      <c r="H90" s="17">
        <f t="shared" ref="H90:O90" ca="1" si="15">SUM(H80,H83,H84)/G74</f>
        <v>0.82450000000000001</v>
      </c>
      <c r="I90" s="17">
        <f t="shared" ca="1" si="15"/>
        <v>0.82450000000000001</v>
      </c>
      <c r="J90" s="17">
        <f t="shared" ca="1" si="15"/>
        <v>0.82450000000000012</v>
      </c>
      <c r="K90" s="17">
        <f t="shared" ca="1" si="15"/>
        <v>0.82450000000000012</v>
      </c>
      <c r="L90" s="17">
        <f t="shared" ca="1" si="15"/>
        <v>0.82450000000000012</v>
      </c>
      <c r="M90" s="17">
        <f t="shared" ca="1" si="15"/>
        <v>0.82450000000000012</v>
      </c>
      <c r="N90" s="17">
        <f t="shared" ca="1" si="15"/>
        <v>0.82450000000000012</v>
      </c>
      <c r="O90" s="17">
        <f t="shared" ca="1" si="15"/>
        <v>0.82450000000000012</v>
      </c>
    </row>
    <row r="91" spans="1:19" ht="13.5" customHeight="1" x14ac:dyDescent="0.3">
      <c r="B91" s="7" t="s">
        <v>53</v>
      </c>
      <c r="D91" s="7" t="s">
        <v>10</v>
      </c>
      <c r="E91" s="17">
        <f t="shared" ref="E91:O91" si="16">-SUM(E82)/E86</f>
        <v>9.3108060382593449E-3</v>
      </c>
      <c r="F91" s="17">
        <f t="shared" ca="1" si="16"/>
        <v>2.695285661427509E-2</v>
      </c>
      <c r="G91" s="17">
        <f ca="1">-SUM(G82)/G86</f>
        <v>5.3485938673722547E-2</v>
      </c>
      <c r="H91" s="17">
        <f t="shared" ca="1" si="16"/>
        <v>5.4191217039840887E-2</v>
      </c>
      <c r="I91" s="17">
        <f t="shared" ca="1" si="16"/>
        <v>5.4191217039840894E-2</v>
      </c>
      <c r="J91" s="17">
        <f t="shared" ca="1" si="16"/>
        <v>5.4168625135513987E-2</v>
      </c>
      <c r="K91" s="17">
        <f t="shared" ca="1" si="16"/>
        <v>5.3906250000000003E-2</v>
      </c>
      <c r="L91" s="17">
        <f t="shared" ca="1" si="16"/>
        <v>5.3906250000000003E-2</v>
      </c>
      <c r="M91" s="17">
        <f t="shared" ca="1" si="16"/>
        <v>5.3906250000000003E-2</v>
      </c>
      <c r="N91" s="17">
        <f t="shared" ca="1" si="16"/>
        <v>5.3906250000000003E-2</v>
      </c>
      <c r="O91" s="17">
        <f t="shared" ca="1" si="16"/>
        <v>5.3906250000000003E-2</v>
      </c>
    </row>
    <row r="92" spans="1:19" ht="13.5" customHeight="1" x14ac:dyDescent="0.3">
      <c r="B92" s="7" t="s">
        <v>54</v>
      </c>
      <c r="D92" s="7" t="s">
        <v>10</v>
      </c>
      <c r="E92" s="17">
        <f t="shared" ref="E92:O92" si="17">-SUM(E81:E82)/E86</f>
        <v>9.3108060382593449E-3</v>
      </c>
      <c r="F92" s="17">
        <f t="shared" ca="1" si="17"/>
        <v>0.16392675368271017</v>
      </c>
      <c r="G92" s="17">
        <f t="shared" ca="1" si="17"/>
        <v>0.21138421838461452</v>
      </c>
      <c r="H92" s="17">
        <f t="shared" ca="1" si="17"/>
        <v>0.20932369923654329</v>
      </c>
      <c r="I92" s="17">
        <f t="shared" ca="1" si="17"/>
        <v>0.20932369923654323</v>
      </c>
      <c r="J92" s="17">
        <f t="shared" ca="1" si="17"/>
        <v>0.20938970303545909</v>
      </c>
      <c r="K92" s="17">
        <f t="shared" ca="1" si="17"/>
        <v>0.21015624999999999</v>
      </c>
      <c r="L92" s="17">
        <f t="shared" ca="1" si="17"/>
        <v>0.21015624999999999</v>
      </c>
      <c r="M92" s="17">
        <f t="shared" ca="1" si="17"/>
        <v>0.21015624999999999</v>
      </c>
      <c r="N92" s="17">
        <f t="shared" ca="1" si="17"/>
        <v>0.21015624999999999</v>
      </c>
      <c r="O92" s="17">
        <f t="shared" ca="1" si="17"/>
        <v>0.21015624999999999</v>
      </c>
    </row>
    <row r="93" spans="1:19" ht="13.5" customHeight="1" x14ac:dyDescent="0.3"/>
    <row r="94" spans="1:19" ht="13.5" customHeight="1" x14ac:dyDescent="0.3">
      <c r="A94" s="2" t="s">
        <v>0</v>
      </c>
      <c r="B94" s="3" t="s">
        <v>55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3.5" customHeight="1" x14ac:dyDescent="0.3"/>
    <row r="96" spans="1:19" ht="13.5" customHeight="1" x14ac:dyDescent="0.3">
      <c r="B96" s="7" t="s">
        <v>56</v>
      </c>
      <c r="D96" s="7" t="s">
        <v>40</v>
      </c>
      <c r="E96" s="8">
        <f>'Operating Model'!AI166</f>
        <v>0</v>
      </c>
      <c r="F96" s="8">
        <f>'Operating Model'!AJ166</f>
        <v>29.039491771632651</v>
      </c>
      <c r="G96" s="8">
        <f>'Operating Model'!AK166</f>
        <v>24.488068248634359</v>
      </c>
      <c r="H96" s="8">
        <f ca="1">'Operating Model'!AL166</f>
        <v>30.175422099379688</v>
      </c>
      <c r="I96" s="8">
        <f ca="1">'Operating Model'!AM166</f>
        <v>37.183663881960626</v>
      </c>
      <c r="J96" s="8">
        <f ca="1">'Operating Model'!AN166</f>
        <v>45</v>
      </c>
      <c r="K96" s="8">
        <f ca="1">'Operating Model'!AO166</f>
        <v>45</v>
      </c>
      <c r="L96" s="8">
        <f ca="1">'Operating Model'!AP166</f>
        <v>45</v>
      </c>
      <c r="M96" s="8">
        <f ca="1">'Operating Model'!AQ166</f>
        <v>45</v>
      </c>
      <c r="N96" s="8">
        <f ca="1">'Operating Model'!AR166</f>
        <v>45</v>
      </c>
      <c r="O96" s="8">
        <f ca="1">'Operating Model'!AS166</f>
        <v>45</v>
      </c>
    </row>
    <row r="97" spans="1:19" ht="13.5" customHeight="1" x14ac:dyDescent="0.3">
      <c r="B97" s="7" t="s">
        <v>57</v>
      </c>
      <c r="D97" s="7" t="s">
        <v>40</v>
      </c>
      <c r="E97" s="8">
        <f>'Operating Model'!AI167</f>
        <v>0</v>
      </c>
      <c r="F97" s="8">
        <f>'Operating Model'!AJ167</f>
        <v>0</v>
      </c>
      <c r="G97" s="8">
        <f>'Operating Model'!AK167</f>
        <v>3.5</v>
      </c>
      <c r="H97" s="8">
        <f>'Operating Model'!AL167</f>
        <v>2.7208964720704856</v>
      </c>
      <c r="I97" s="8">
        <f ca="1">'Operating Model'!AM167</f>
        <v>3.3528246777088557</v>
      </c>
      <c r="J97" s="8">
        <f ca="1">'Operating Model'!AN167</f>
        <v>4.1315182091067379</v>
      </c>
      <c r="K97" s="8">
        <f ca="1">'Operating Model'!AO167</f>
        <v>5.0000000000000018</v>
      </c>
      <c r="L97" s="8">
        <f ca="1">'Operating Model'!AP167</f>
        <v>5.0000000000000018</v>
      </c>
      <c r="M97" s="8">
        <f ca="1">'Operating Model'!AQ167</f>
        <v>5.0000000000000018</v>
      </c>
      <c r="N97" s="8">
        <f ca="1">'Operating Model'!AR167</f>
        <v>5.0000000000000018</v>
      </c>
      <c r="O97" s="8">
        <f ca="1">'Operating Model'!AS167</f>
        <v>5.0000000000000018</v>
      </c>
    </row>
    <row r="98" spans="1:19" ht="13.5" customHeight="1" x14ac:dyDescent="0.3">
      <c r="B98" s="7" t="s">
        <v>58</v>
      </c>
      <c r="D98" s="7" t="s">
        <v>40</v>
      </c>
      <c r="E98" s="8">
        <f>'Operating Model'!AI165</f>
        <v>0</v>
      </c>
      <c r="F98" s="8">
        <f>'Operating Model'!AJ165</f>
        <v>0</v>
      </c>
      <c r="G98" s="8">
        <f ca="1">'Operating Model'!AK165</f>
        <v>0</v>
      </c>
      <c r="H98" s="8">
        <f ca="1">'Operating Model'!AL165</f>
        <v>0</v>
      </c>
      <c r="I98" s="8">
        <f ca="1">'Operating Model'!AM165</f>
        <v>5.4637987903064982</v>
      </c>
      <c r="J98" s="8">
        <f ca="1">'Operating Model'!AN165</f>
        <v>69.675000000000011</v>
      </c>
      <c r="K98" s="8">
        <f ca="1">'Operating Model'!AO165</f>
        <v>69.675000000000011</v>
      </c>
      <c r="L98" s="8">
        <f ca="1">'Operating Model'!AP165</f>
        <v>69.675000000000011</v>
      </c>
      <c r="M98" s="8">
        <f ca="1">'Operating Model'!AQ165</f>
        <v>69.675000000000011</v>
      </c>
      <c r="N98" s="8">
        <f ca="1">'Operating Model'!AR165</f>
        <v>69.675000000000011</v>
      </c>
      <c r="O98" s="8">
        <f ca="1">'Operating Model'!AS165</f>
        <v>69.675000000000011</v>
      </c>
    </row>
    <row r="99" spans="1:19" ht="13.5" customHeight="1" x14ac:dyDescent="0.3">
      <c r="B99" s="7" t="s">
        <v>59</v>
      </c>
      <c r="D99" s="7" t="s">
        <v>40</v>
      </c>
      <c r="E99" s="8">
        <f>'Operating Model'!AI168</f>
        <v>0</v>
      </c>
      <c r="F99" s="8">
        <f>'Operating Model'!AJ168</f>
        <v>0</v>
      </c>
      <c r="G99" s="8">
        <f>'Operating Model'!AK168</f>
        <v>66.497788348381491</v>
      </c>
      <c r="H99" s="8">
        <f ca="1">'Operating Model'!AL168</f>
        <v>77.357001531856085</v>
      </c>
      <c r="I99" s="8">
        <f ca="1">'Operating Model'!AM168</f>
        <v>95.323165137629672</v>
      </c>
      <c r="J99" s="8">
        <f ca="1">'Operating Model'!AN168</f>
        <v>115.57377244222739</v>
      </c>
      <c r="K99" s="8">
        <f ca="1">'Operating Model'!AO168</f>
        <v>118.075</v>
      </c>
      <c r="L99" s="8">
        <f ca="1">'Operating Model'!AP168</f>
        <v>118.075</v>
      </c>
      <c r="M99" s="8">
        <f ca="1">'Operating Model'!AQ168</f>
        <v>118.075</v>
      </c>
      <c r="N99" s="8">
        <f ca="1">'Operating Model'!AR168</f>
        <v>118.075</v>
      </c>
      <c r="O99" s="8">
        <f ca="1">'Operating Model'!AS168</f>
        <v>118.075</v>
      </c>
    </row>
    <row r="100" spans="1:19" ht="13.5" customHeight="1" x14ac:dyDescent="0.3">
      <c r="B100" s="5" t="s">
        <v>60</v>
      </c>
      <c r="D100" s="7" t="s">
        <v>40</v>
      </c>
      <c r="E100" s="12">
        <f ca="1">'Operating Model'!AI170</f>
        <v>0</v>
      </c>
      <c r="F100" s="12">
        <f ca="1">'Operating Model'!AJ170</f>
        <v>29.039491771632651</v>
      </c>
      <c r="G100" s="12">
        <f ca="1">'Operating Model'!AK170</f>
        <v>94.485856597015854</v>
      </c>
      <c r="H100" s="12">
        <f ca="1">'Operating Model'!AL170</f>
        <v>110.25332010330627</v>
      </c>
      <c r="I100" s="12">
        <f ca="1">'Operating Model'!AM170</f>
        <v>141.32345248760566</v>
      </c>
      <c r="J100" s="12">
        <f ca="1">'Operating Model'!AN170</f>
        <v>234.38029065133415</v>
      </c>
      <c r="K100" s="12">
        <f ca="1">'Operating Model'!AO170</f>
        <v>237.75</v>
      </c>
      <c r="L100" s="12">
        <f ca="1">'Operating Model'!AP170</f>
        <v>237.75</v>
      </c>
      <c r="M100" s="12">
        <f ca="1">'Operating Model'!AQ170</f>
        <v>237.75</v>
      </c>
      <c r="N100" s="12">
        <f ca="1">'Operating Model'!AR170</f>
        <v>237.75</v>
      </c>
      <c r="O100" s="12">
        <f ca="1">'Operating Model'!AS170</f>
        <v>237.75</v>
      </c>
    </row>
    <row r="101" spans="1:19" ht="13.5" customHeight="1" x14ac:dyDescent="0.3"/>
    <row r="102" spans="1:19" ht="13.5" customHeight="1" x14ac:dyDescent="0.3"/>
    <row r="103" spans="1:19" ht="13.5" customHeight="1" x14ac:dyDescent="0.3">
      <c r="B103" s="7" t="s">
        <v>56</v>
      </c>
      <c r="D103" s="7" t="s">
        <v>61</v>
      </c>
      <c r="E103" s="8">
        <f>'Operating Model'!AI175</f>
        <v>0</v>
      </c>
      <c r="F103" s="8">
        <f>'Operating Model'!AJ175</f>
        <v>17423.69506297959</v>
      </c>
      <c r="G103" s="8">
        <f>'Operating Model'!AK175</f>
        <v>14692.840949180616</v>
      </c>
      <c r="H103" s="8">
        <f ca="1">'Operating Model'!AL175</f>
        <v>18105.253259627814</v>
      </c>
      <c r="I103" s="8">
        <f ca="1">'Operating Model'!AM175</f>
        <v>22310.198329176375</v>
      </c>
      <c r="J103" s="8">
        <f ca="1">'Operating Model'!AN175</f>
        <v>27000</v>
      </c>
      <c r="K103" s="8">
        <f ca="1">'Operating Model'!AO175</f>
        <v>27000</v>
      </c>
      <c r="L103" s="8">
        <f ca="1">'Operating Model'!AP175</f>
        <v>27000</v>
      </c>
      <c r="M103" s="8">
        <f ca="1">'Operating Model'!AQ175</f>
        <v>27000</v>
      </c>
      <c r="N103" s="8">
        <f ca="1">'Operating Model'!AR175</f>
        <v>27000</v>
      </c>
      <c r="O103" s="8">
        <f ca="1">'Operating Model'!AS175</f>
        <v>27000</v>
      </c>
    </row>
    <row r="104" spans="1:19" ht="13.5" customHeight="1" x14ac:dyDescent="0.3">
      <c r="B104" s="7" t="s">
        <v>57</v>
      </c>
      <c r="D104" s="7" t="s">
        <v>61</v>
      </c>
      <c r="E104" s="8">
        <f>'Operating Model'!AI176</f>
        <v>0</v>
      </c>
      <c r="F104" s="8">
        <f>'Operating Model'!AJ176</f>
        <v>0</v>
      </c>
      <c r="G104" s="8">
        <f>'Operating Model'!AK176</f>
        <v>2625</v>
      </c>
      <c r="H104" s="8">
        <f>'Operating Model'!AL176</f>
        <v>2040.6723540528642</v>
      </c>
      <c r="I104" s="8">
        <f ca="1">'Operating Model'!AM176</f>
        <v>2514.6185082816419</v>
      </c>
      <c r="J104" s="8">
        <f ca="1">'Operating Model'!AN176</f>
        <v>3098.6386568300536</v>
      </c>
      <c r="K104" s="8">
        <f ca="1">'Operating Model'!AO176</f>
        <v>3750.0000000000014</v>
      </c>
      <c r="L104" s="8">
        <f ca="1">'Operating Model'!AP176</f>
        <v>3750.0000000000014</v>
      </c>
      <c r="M104" s="8">
        <f ca="1">'Operating Model'!AQ176</f>
        <v>3750.0000000000014</v>
      </c>
      <c r="N104" s="8">
        <f ca="1">'Operating Model'!AR176</f>
        <v>3750.0000000000014</v>
      </c>
      <c r="O104" s="8">
        <f ca="1">'Operating Model'!AS176</f>
        <v>3750.0000000000014</v>
      </c>
    </row>
    <row r="105" spans="1:19" ht="13.5" customHeight="1" x14ac:dyDescent="0.3">
      <c r="B105" s="7" t="s">
        <v>58</v>
      </c>
      <c r="D105" s="7" t="s">
        <v>61</v>
      </c>
      <c r="E105" s="8">
        <f>'Operating Model'!AI174</f>
        <v>0</v>
      </c>
      <c r="F105" s="8">
        <f>'Operating Model'!AJ174</f>
        <v>0</v>
      </c>
      <c r="G105" s="8">
        <f ca="1">'Operating Model'!AK174</f>
        <v>0</v>
      </c>
      <c r="H105" s="8">
        <f ca="1">'Operating Model'!AL174</f>
        <v>0</v>
      </c>
      <c r="I105" s="8">
        <f ca="1">'Operating Model'!AM174</f>
        <v>1510.1939856407159</v>
      </c>
      <c r="J105" s="8">
        <f ca="1">'Operating Model'!AN174</f>
        <v>19258.170000000002</v>
      </c>
      <c r="K105" s="8">
        <f ca="1">'Operating Model'!AO174</f>
        <v>19258.170000000002</v>
      </c>
      <c r="L105" s="8">
        <f ca="1">'Operating Model'!AP174</f>
        <v>19258.170000000002</v>
      </c>
      <c r="M105" s="8">
        <f ca="1">'Operating Model'!AQ174</f>
        <v>19258.170000000002</v>
      </c>
      <c r="N105" s="8">
        <f ca="1">'Operating Model'!AR174</f>
        <v>19258.170000000002</v>
      </c>
      <c r="O105" s="8">
        <f ca="1">'Operating Model'!AS174</f>
        <v>19258.170000000002</v>
      </c>
    </row>
    <row r="106" spans="1:19" ht="13.5" customHeight="1" x14ac:dyDescent="0.3">
      <c r="B106" s="7" t="s">
        <v>59</v>
      </c>
      <c r="D106" s="7" t="s">
        <v>61</v>
      </c>
      <c r="E106" s="8">
        <f>'Operating Model'!AI177</f>
        <v>0</v>
      </c>
      <c r="F106" s="8">
        <f>'Operating Model'!AJ177</f>
        <v>0</v>
      </c>
      <c r="G106" s="8">
        <f>'Operating Model'!AK177</f>
        <v>22010.767943314273</v>
      </c>
      <c r="H106" s="8">
        <f ca="1">'Operating Model'!AL177</f>
        <v>25605.167507044363</v>
      </c>
      <c r="I106" s="8">
        <f ca="1">'Operating Model'!AM177</f>
        <v>31551.967660555423</v>
      </c>
      <c r="J106" s="8">
        <f ca="1">'Operating Model'!AN177</f>
        <v>38254.918678377267</v>
      </c>
      <c r="K106" s="8">
        <f ca="1">'Operating Model'!AO177</f>
        <v>39082.825000000004</v>
      </c>
      <c r="L106" s="8">
        <f ca="1">'Operating Model'!AP177</f>
        <v>39082.825000000004</v>
      </c>
      <c r="M106" s="8">
        <f ca="1">'Operating Model'!AQ177</f>
        <v>39082.825000000004</v>
      </c>
      <c r="N106" s="8">
        <f ca="1">'Operating Model'!AR177</f>
        <v>39082.825000000004</v>
      </c>
      <c r="O106" s="8">
        <f ca="1">'Operating Model'!AS177</f>
        <v>39082.825000000004</v>
      </c>
    </row>
    <row r="107" spans="1:19" ht="13.5" customHeight="1" x14ac:dyDescent="0.3">
      <c r="B107" s="5" t="s">
        <v>62</v>
      </c>
      <c r="D107" s="7" t="s">
        <v>61</v>
      </c>
      <c r="E107" s="12">
        <f t="shared" ref="E107:O107" si="18">SUM(E103:E106)</f>
        <v>0</v>
      </c>
      <c r="F107" s="12">
        <f t="shared" si="18"/>
        <v>17423.69506297959</v>
      </c>
      <c r="G107" s="12">
        <f t="shared" ca="1" si="18"/>
        <v>39328.608892494885</v>
      </c>
      <c r="H107" s="12">
        <f t="shared" ca="1" si="18"/>
        <v>45751.09312072504</v>
      </c>
      <c r="I107" s="12">
        <f t="shared" ca="1" si="18"/>
        <v>57886.978483654151</v>
      </c>
      <c r="J107" s="12">
        <f t="shared" ca="1" si="18"/>
        <v>87611.727335207324</v>
      </c>
      <c r="K107" s="12">
        <f t="shared" ca="1" si="18"/>
        <v>89090.994999999995</v>
      </c>
      <c r="L107" s="12">
        <f t="shared" ca="1" si="18"/>
        <v>89090.994999999995</v>
      </c>
      <c r="M107" s="12">
        <f t="shared" ca="1" si="18"/>
        <v>89090.994999999995</v>
      </c>
      <c r="N107" s="12">
        <f t="shared" ca="1" si="18"/>
        <v>89090.994999999995</v>
      </c>
      <c r="O107" s="12">
        <f t="shared" ca="1" si="18"/>
        <v>89090.994999999995</v>
      </c>
    </row>
    <row r="108" spans="1:19" ht="13.5" customHeight="1" x14ac:dyDescent="0.3"/>
    <row r="109" spans="1:19" ht="13.5" customHeight="1" x14ac:dyDescent="0.3"/>
    <row r="110" spans="1:19" ht="13.5" customHeight="1" x14ac:dyDescent="0.3">
      <c r="A110" s="2" t="s">
        <v>0</v>
      </c>
      <c r="B110" s="3" t="s">
        <v>63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3.5" customHeight="1" x14ac:dyDescent="0.3">
      <c r="A111" s="41"/>
      <c r="B111" s="5" t="s">
        <v>739</v>
      </c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</row>
    <row r="112" spans="1:19" ht="13.5" customHeight="1" x14ac:dyDescent="0.3">
      <c r="E112" s="6">
        <f t="shared" ref="E112:O112" si="19">E71</f>
        <v>2026</v>
      </c>
      <c r="F112" s="6">
        <f t="shared" si="19"/>
        <v>2027</v>
      </c>
      <c r="G112" s="6">
        <f t="shared" si="19"/>
        <v>2028</v>
      </c>
      <c r="H112" s="6">
        <f t="shared" si="19"/>
        <v>2029</v>
      </c>
      <c r="I112" s="6">
        <f t="shared" si="19"/>
        <v>2030</v>
      </c>
      <c r="J112" s="6">
        <f t="shared" si="19"/>
        <v>2031</v>
      </c>
      <c r="K112" s="6">
        <f t="shared" si="19"/>
        <v>2032</v>
      </c>
      <c r="L112" s="6">
        <f t="shared" si="19"/>
        <v>2033</v>
      </c>
      <c r="M112" s="6">
        <f t="shared" si="19"/>
        <v>2034</v>
      </c>
      <c r="N112" s="6">
        <f t="shared" si="19"/>
        <v>2035</v>
      </c>
      <c r="O112" s="6">
        <f t="shared" si="19"/>
        <v>2036</v>
      </c>
    </row>
    <row r="113" spans="1:26" ht="13.5" customHeight="1" x14ac:dyDescent="0.3">
      <c r="B113" s="7" t="s">
        <v>65</v>
      </c>
      <c r="D113" s="7" t="s">
        <v>4</v>
      </c>
      <c r="E113" s="8">
        <f ca="1">'Operating Model'!AI188</f>
        <v>55640</v>
      </c>
      <c r="F113" s="8">
        <f ca="1">'Operating Model'!AJ188</f>
        <v>34655.729480266404</v>
      </c>
      <c r="G113" s="8">
        <f ca="1">'Operating Model'!AK188</f>
        <v>106930.80388143708</v>
      </c>
      <c r="H113" s="8">
        <f ca="1">'Operating Model'!AL188</f>
        <v>135108.4228031612</v>
      </c>
      <c r="I113" s="8">
        <f ca="1">'Operating Model'!AM188</f>
        <v>186015.32045275401</v>
      </c>
      <c r="J113" s="8">
        <f ca="1">'Operating Model'!AN188</f>
        <v>304695.21662915521</v>
      </c>
      <c r="K113" s="8">
        <f ca="1">'Operating Model'!AO188</f>
        <v>334821.94478164695</v>
      </c>
      <c r="L113" s="8">
        <f ca="1">'Operating Model'!AP188</f>
        <v>357760.26434098725</v>
      </c>
      <c r="M113" s="8">
        <f ca="1">'Operating Model'!AQ188</f>
        <v>380492.65646846389</v>
      </c>
      <c r="N113" s="8">
        <f ca="1">'Operating Model'!AR188</f>
        <v>402790.2321700718</v>
      </c>
      <c r="O113" s="8">
        <f ca="1">'Operating Model'!AS188</f>
        <v>422447.87449732533</v>
      </c>
    </row>
    <row r="114" spans="1:26" ht="13.5" customHeight="1" x14ac:dyDescent="0.3">
      <c r="B114" s="7" t="s">
        <v>66</v>
      </c>
      <c r="D114" s="7" t="s">
        <v>4</v>
      </c>
      <c r="E114" s="8">
        <f ca="1">'Operating Model'!AI222</f>
        <v>37513.07151229633</v>
      </c>
      <c r="F114" s="8">
        <f ca="1">'Operating Model'!AJ222</f>
        <v>-20343.487801045907</v>
      </c>
      <c r="G114" s="8">
        <f ca="1">'Operating Model'!AK222</f>
        <v>36201.263501399881</v>
      </c>
      <c r="H114" s="8">
        <f ca="1">'Operating Model'!AL222</f>
        <v>58756.155893137278</v>
      </c>
      <c r="I114" s="8">
        <f ca="1">'Operating Model'!AM222</f>
        <v>95728.955966871217</v>
      </c>
      <c r="J114" s="8">
        <f ca="1">'Operating Model'!AN222</f>
        <v>207479.74864863144</v>
      </c>
      <c r="K114" s="8">
        <f ca="1">'Operating Model'!AO222</f>
        <v>229924.20649981906</v>
      </c>
      <c r="L114" s="8">
        <f ca="1">'Operating Model'!AP222</f>
        <v>245650.57390850678</v>
      </c>
      <c r="M114" s="8">
        <f ca="1">'Operating Model'!AQ222</f>
        <v>261232.70583917692</v>
      </c>
      <c r="N114" s="8">
        <f ca="1">'Operating Model'!AR222</f>
        <v>276514.16523671406</v>
      </c>
      <c r="O114" s="8">
        <f ca="1">'Operating Model'!AS222</f>
        <v>289984.34546158096</v>
      </c>
    </row>
    <row r="115" spans="1:26" ht="13.5" customHeight="1" x14ac:dyDescent="0.3">
      <c r="B115" s="7" t="s">
        <v>67</v>
      </c>
      <c r="D115" s="7" t="s">
        <v>4</v>
      </c>
      <c r="E115" s="8">
        <f ca="1">'Operating Model'!AI231</f>
        <v>33109.589687177577</v>
      </c>
      <c r="F115" s="8">
        <f ca="1">'Operating Model'!AJ231</f>
        <v>-24411.518267009655</v>
      </c>
      <c r="G115" s="8">
        <f ca="1">'Operating Model'!AK231</f>
        <v>30351.15581696239</v>
      </c>
      <c r="H115" s="8">
        <f ca="1">'Operating Model'!AL231</f>
        <v>52695.600439420305</v>
      </c>
      <c r="I115" s="8">
        <f ca="1">'Operating Model'!AM231</f>
        <v>89003.238836817385</v>
      </c>
      <c r="J115" s="8">
        <f ca="1">'Operating Model'!AN231</f>
        <v>198661.25497344209</v>
      </c>
      <c r="K115" s="8">
        <f ca="1">'Operating Model'!AO231</f>
        <v>220683.05197567388</v>
      </c>
      <c r="L115" s="8">
        <f ca="1">'Operating Model'!AP231</f>
        <v>236130.73269024712</v>
      </c>
      <c r="M115" s="8">
        <f ca="1">'Operating Model'!AQ231</f>
        <v>251438.31922719636</v>
      </c>
      <c r="N115" s="8">
        <f ca="1">'Operating Model'!AR231</f>
        <v>266453.98906801239</v>
      </c>
      <c r="O115" s="8">
        <f ca="1">'Operating Model'!AS231</f>
        <v>279711.58170886041</v>
      </c>
    </row>
    <row r="116" spans="1:26" ht="13.5" customHeight="1" x14ac:dyDescent="0.3">
      <c r="B116" s="7" t="s">
        <v>68</v>
      </c>
      <c r="D116" s="7" t="s">
        <v>4</v>
      </c>
      <c r="E116" s="8">
        <f ca="1">'Operating Model'!AI243</f>
        <v>33109.589687177577</v>
      </c>
      <c r="F116" s="8">
        <f ca="1">'Operating Model'!AJ243</f>
        <v>-24411.518267009655</v>
      </c>
      <c r="G116" s="8">
        <f ca="1">'Operating Model'!AK243</f>
        <v>30351.15581696239</v>
      </c>
      <c r="H116" s="8">
        <f ca="1">'Operating Model'!AL243</f>
        <v>52695.600439420305</v>
      </c>
      <c r="I116" s="8">
        <f ca="1">'Operating Model'!AM243</f>
        <v>89003.238836817385</v>
      </c>
      <c r="J116" s="8">
        <f ca="1">'Operating Model'!AN243</f>
        <v>198661.25497344209</v>
      </c>
      <c r="K116" s="8">
        <f ca="1">'Operating Model'!AO243</f>
        <v>220683.05197567388</v>
      </c>
      <c r="L116" s="8">
        <f ca="1">'Operating Model'!AP243</f>
        <v>236130.73269024712</v>
      </c>
      <c r="M116" s="8">
        <f ca="1">'Operating Model'!AQ243</f>
        <v>251438.31922719636</v>
      </c>
      <c r="N116" s="8">
        <f ca="1">'Operating Model'!AR243</f>
        <v>266453.98906801239</v>
      </c>
      <c r="O116" s="8">
        <f ca="1">'Operating Model'!AS243</f>
        <v>279711.58170886041</v>
      </c>
    </row>
    <row r="117" spans="1:26" ht="13.5" customHeight="1" x14ac:dyDescent="0.3">
      <c r="B117" s="7" t="s">
        <v>69</v>
      </c>
      <c r="D117" s="7" t="s">
        <v>4</v>
      </c>
      <c r="E117" s="8">
        <f ca="1">'Operating Model'!AI240</f>
        <v>18272.487048465453</v>
      </c>
      <c r="F117" s="8">
        <f ca="1">'Operating Model'!AJ240</f>
        <v>-50067.057493704524</v>
      </c>
      <c r="G117" s="8">
        <f ca="1">'Operating Model'!AK240</f>
        <v>-1736.7356369876106</v>
      </c>
      <c r="H117" s="8">
        <f ca="1">'Operating Model'!AL240</f>
        <v>924.97012249071554</v>
      </c>
      <c r="I117" s="8">
        <f ca="1">'Operating Model'!AM240</f>
        <v>28272.534743361262</v>
      </c>
      <c r="J117" s="8">
        <f ca="1">'Operating Model'!AN240</f>
        <v>120206.12530987321</v>
      </c>
      <c r="K117" s="8">
        <f ca="1">'Operating Model'!AO240</f>
        <v>143887.71842090908</v>
      </c>
      <c r="L117" s="8">
        <f ca="1">'Operating Model'!AP240</f>
        <v>156995.29569371635</v>
      </c>
      <c r="M117" s="8">
        <f ca="1">'Operating Model'!AQ240</f>
        <v>176859.9674185683</v>
      </c>
      <c r="N117" s="8">
        <f ca="1">'Operating Model'!AR240</f>
        <v>196901.47681129054</v>
      </c>
      <c r="O117" s="8">
        <f ca="1">'Operating Model'!AS240</f>
        <v>209079.49227844254</v>
      </c>
    </row>
    <row r="118" spans="1:26" ht="13.5" customHeight="1" x14ac:dyDescent="0.3"/>
    <row r="119" spans="1:26" ht="13.5" customHeight="1" x14ac:dyDescent="0.3"/>
    <row r="120" spans="1:26" ht="13.5" customHeight="1" x14ac:dyDescent="0.3">
      <c r="B120" s="5" t="s">
        <v>70</v>
      </c>
    </row>
    <row r="121" spans="1:26" ht="13.5" customHeight="1" x14ac:dyDescent="0.3">
      <c r="B121" s="7" t="s">
        <v>66</v>
      </c>
      <c r="D121" s="7" t="s">
        <v>10</v>
      </c>
      <c r="E121" s="42">
        <f t="shared" ref="E121:O121" ca="1" si="20">E114/E$113</f>
        <v>0.67421048728066735</v>
      </c>
      <c r="F121" s="42">
        <f t="shared" ca="1" si="20"/>
        <v>-0.58701658011930913</v>
      </c>
      <c r="G121" s="42">
        <f t="shared" ca="1" si="20"/>
        <v>0.33854850227759609</v>
      </c>
      <c r="H121" s="42">
        <f t="shared" ca="1" si="20"/>
        <v>0.43488151718519308</v>
      </c>
      <c r="I121" s="42">
        <f t="shared" ca="1" si="20"/>
        <v>0.51462941726450639</v>
      </c>
      <c r="J121" s="42">
        <f t="shared" ca="1" si="20"/>
        <v>0.68094192926289099</v>
      </c>
      <c r="K121" s="42">
        <f t="shared" ca="1" si="20"/>
        <v>0.68670590468543924</v>
      </c>
      <c r="L121" s="42">
        <f t="shared" ca="1" si="20"/>
        <v>0.68663459414926287</v>
      </c>
      <c r="M121" s="42">
        <f t="shared" ca="1" si="20"/>
        <v>0.68656438277627707</v>
      </c>
      <c r="N121" s="42">
        <f t="shared" ca="1" si="20"/>
        <v>0.68649670014828046</v>
      </c>
      <c r="O121" s="42">
        <f t="shared" ca="1" si="20"/>
        <v>0.68643816898507548</v>
      </c>
    </row>
    <row r="122" spans="1:26" ht="13.5" customHeight="1" x14ac:dyDescent="0.3">
      <c r="B122" s="7" t="s">
        <v>67</v>
      </c>
      <c r="D122" s="7" t="s">
        <v>10</v>
      </c>
      <c r="E122" s="42">
        <f t="shared" ref="E122:O122" ca="1" si="21">E115/E$113</f>
        <v>0.59506811084071853</v>
      </c>
      <c r="F122" s="42">
        <f t="shared" ca="1" si="21"/>
        <v>-0.70440064696690374</v>
      </c>
      <c r="G122" s="42">
        <f t="shared" ca="1" si="21"/>
        <v>0.28383921859051203</v>
      </c>
      <c r="H122" s="42">
        <f t="shared" ca="1" si="21"/>
        <v>0.39002453989261843</v>
      </c>
      <c r="I122" s="42">
        <f t="shared" ca="1" si="21"/>
        <v>0.47847262591160228</v>
      </c>
      <c r="J122" s="42">
        <f t="shared" ca="1" si="21"/>
        <v>0.65199991378674271</v>
      </c>
      <c r="K122" s="42">
        <f t="shared" ca="1" si="21"/>
        <v>0.65910569905921679</v>
      </c>
      <c r="L122" s="42">
        <f t="shared" ca="1" si="21"/>
        <v>0.6600250397433377</v>
      </c>
      <c r="M122" s="42">
        <f t="shared" ca="1" si="21"/>
        <v>0.6608230538820824</v>
      </c>
      <c r="N122" s="42">
        <f t="shared" ca="1" si="21"/>
        <v>0.66152048333561975</v>
      </c>
      <c r="O122" s="42">
        <f t="shared" ca="1" si="21"/>
        <v>0.66212093513712622</v>
      </c>
    </row>
    <row r="123" spans="1:26" ht="13.5" customHeight="1" x14ac:dyDescent="0.3">
      <c r="B123" s="7" t="s">
        <v>68</v>
      </c>
      <c r="D123" s="7" t="s">
        <v>10</v>
      </c>
      <c r="E123" s="42">
        <f t="shared" ref="E123:O123" ca="1" si="22">E116/E$113</f>
        <v>0.59506811084071853</v>
      </c>
      <c r="F123" s="42">
        <f t="shared" ca="1" si="22"/>
        <v>-0.70440064696690374</v>
      </c>
      <c r="G123" s="42">
        <f t="shared" ca="1" si="22"/>
        <v>0.28383921859051203</v>
      </c>
      <c r="H123" s="42">
        <f t="shared" ca="1" si="22"/>
        <v>0.39002453989261843</v>
      </c>
      <c r="I123" s="42">
        <f t="shared" ca="1" si="22"/>
        <v>0.47847262591160228</v>
      </c>
      <c r="J123" s="42">
        <f t="shared" ca="1" si="22"/>
        <v>0.65199991378674271</v>
      </c>
      <c r="K123" s="42">
        <f t="shared" ca="1" si="22"/>
        <v>0.65910569905921679</v>
      </c>
      <c r="L123" s="42">
        <f t="shared" ca="1" si="22"/>
        <v>0.6600250397433377</v>
      </c>
      <c r="M123" s="42">
        <f t="shared" ca="1" si="22"/>
        <v>0.6608230538820824</v>
      </c>
      <c r="N123" s="42">
        <f t="shared" ca="1" si="22"/>
        <v>0.66152048333561975</v>
      </c>
      <c r="O123" s="42">
        <f t="shared" ca="1" si="22"/>
        <v>0.66212093513712622</v>
      </c>
    </row>
    <row r="124" spans="1:26" ht="13.5" customHeight="1" x14ac:dyDescent="0.3">
      <c r="B124" s="7" t="s">
        <v>69</v>
      </c>
      <c r="D124" s="7" t="s">
        <v>10</v>
      </c>
      <c r="E124" s="42">
        <f t="shared" ref="E124:O124" ca="1" si="23">E117/E$113</f>
        <v>0.32840559037500816</v>
      </c>
      <c r="F124" s="42">
        <f t="shared" ca="1" si="23"/>
        <v>-1.4446978391325915</v>
      </c>
      <c r="G124" s="42">
        <f t="shared" ca="1" si="23"/>
        <v>-1.6241677551711586E-2</v>
      </c>
      <c r="H124" s="42">
        <f t="shared" ca="1" si="23"/>
        <v>6.8461321899841877E-3</v>
      </c>
      <c r="I124" s="42">
        <f t="shared" ca="1" si="23"/>
        <v>0.15199035581879503</v>
      </c>
      <c r="J124" s="42">
        <f t="shared" ca="1" si="23"/>
        <v>0.39451267610865115</v>
      </c>
      <c r="K124" s="42">
        <f t="shared" ca="1" si="23"/>
        <v>0.4297439897935752</v>
      </c>
      <c r="L124" s="42">
        <f t="shared" ca="1" si="23"/>
        <v>0.43882820799819605</v>
      </c>
      <c r="M124" s="42">
        <f t="shared" ca="1" si="23"/>
        <v>0.46481834645664671</v>
      </c>
      <c r="N124" s="42">
        <f t="shared" ca="1" si="23"/>
        <v>0.48884372332085752</v>
      </c>
      <c r="O124" s="42">
        <f t="shared" ca="1" si="23"/>
        <v>0.49492376432767754</v>
      </c>
    </row>
    <row r="125" spans="1:26" ht="13.5" customHeight="1" x14ac:dyDescent="0.3"/>
    <row r="126" spans="1:26" ht="13.5" customHeight="1" x14ac:dyDescent="0.3">
      <c r="B126" s="5" t="s">
        <v>71</v>
      </c>
      <c r="E126" s="43">
        <f t="shared" ref="E126:O126" si="24">E112</f>
        <v>2026</v>
      </c>
      <c r="F126" s="43">
        <f t="shared" si="24"/>
        <v>2027</v>
      </c>
      <c r="G126" s="43">
        <f t="shared" si="24"/>
        <v>2028</v>
      </c>
      <c r="H126" s="43">
        <f t="shared" si="24"/>
        <v>2029</v>
      </c>
      <c r="I126" s="43">
        <f t="shared" si="24"/>
        <v>2030</v>
      </c>
      <c r="J126" s="43">
        <f t="shared" si="24"/>
        <v>2031</v>
      </c>
      <c r="K126" s="43">
        <f t="shared" si="24"/>
        <v>2032</v>
      </c>
      <c r="L126" s="43">
        <f t="shared" si="24"/>
        <v>2033</v>
      </c>
      <c r="M126" s="43">
        <f t="shared" si="24"/>
        <v>2034</v>
      </c>
      <c r="N126" s="43">
        <f t="shared" si="24"/>
        <v>2035</v>
      </c>
      <c r="O126" s="43">
        <f t="shared" si="24"/>
        <v>2036</v>
      </c>
    </row>
    <row r="127" spans="1:26" ht="13.5" customHeight="1" x14ac:dyDescent="0.3">
      <c r="B127" s="7" t="s">
        <v>72</v>
      </c>
      <c r="D127" s="7" t="s">
        <v>4</v>
      </c>
      <c r="E127" s="8">
        <f ca="1">'Operating Model'!AI261</f>
        <v>455899.77206159133</v>
      </c>
      <c r="F127" s="8">
        <f ca="1">'Operating Model'!AJ261</f>
        <v>438881.25271396106</v>
      </c>
      <c r="G127" s="8">
        <f ca="1">'Operating Model'!AK261</f>
        <v>421176.62664485484</v>
      </c>
      <c r="H127" s="8">
        <f ca="1">'Operating Model'!AL261</f>
        <v>441115.1673644624</v>
      </c>
      <c r="I127" s="8">
        <f ca="1">'Operating Model'!AM261</f>
        <v>498204.68894497363</v>
      </c>
      <c r="J127" s="8">
        <f ca="1">'Operating Model'!AN261</f>
        <v>604247.44510048302</v>
      </c>
      <c r="K127" s="8">
        <f ca="1">'Operating Model'!AO261</f>
        <v>726848.83871453488</v>
      </c>
      <c r="L127" s="8">
        <f ca="1">'Operating Model'!AP261</f>
        <v>862119.70224024169</v>
      </c>
      <c r="M127" s="8">
        <f ca="1">'Operating Model'!AQ261</f>
        <v>873689.39415555005</v>
      </c>
      <c r="N127" s="8">
        <f ca="1">'Operating Model'!AR261</f>
        <v>896751.19911406282</v>
      </c>
      <c r="O127" s="8">
        <f ca="1">'Operating Model'!AS261</f>
        <v>1062831.0465474254</v>
      </c>
    </row>
    <row r="128" spans="1:26" ht="13.5" customHeight="1" x14ac:dyDescent="0.3">
      <c r="A128" s="10"/>
      <c r="B128" s="10" t="s">
        <v>73</v>
      </c>
      <c r="C128" s="10"/>
      <c r="D128" s="10" t="s">
        <v>4</v>
      </c>
      <c r="E128" s="11">
        <f>SUM('Operating Model'!AI258:AI260)</f>
        <v>119100</v>
      </c>
      <c r="F128" s="11">
        <f ca="1">SUM('Operating Model'!AJ258:AJ260)</f>
        <v>119100</v>
      </c>
      <c r="G128" s="11">
        <f ca="1">SUM('Operating Model'!AK258:AK260)</f>
        <v>119100</v>
      </c>
      <c r="H128" s="11">
        <f ca="1">SUM('Operating Model'!AL258:AL260)</f>
        <v>119100</v>
      </c>
      <c r="I128" s="11">
        <f ca="1">SUM('Operating Model'!AM258:AM260)</f>
        <v>119099.99999999994</v>
      </c>
      <c r="J128" s="11">
        <f ca="1">SUM('Operating Model'!AN258:AN260)</f>
        <v>119099.99999999994</v>
      </c>
      <c r="K128" s="11">
        <f ca="1">SUM('Operating Model'!AO258:AO260)</f>
        <v>119099.99999999994</v>
      </c>
      <c r="L128" s="11">
        <f ca="1">SUM('Operating Model'!AP258:AP260)</f>
        <v>119100</v>
      </c>
      <c r="M128" s="11">
        <f ca="1">SUM('Operating Model'!AQ258:AQ260)</f>
        <v>119099.99999999988</v>
      </c>
      <c r="N128" s="11">
        <f ca="1">SUM('Operating Model'!AR258:AR260)</f>
        <v>119100</v>
      </c>
      <c r="O128" s="11">
        <f ca="1">SUM('Operating Model'!AS258:AS260)</f>
        <v>119099.99999999988</v>
      </c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2:15" ht="13.5" customHeight="1" x14ac:dyDescent="0.3">
      <c r="B129" s="7" t="s">
        <v>74</v>
      </c>
      <c r="D129" s="7" t="s">
        <v>4</v>
      </c>
      <c r="E129" s="8">
        <f ca="1">'Operating Model'!AI268</f>
        <v>374392.51318212587</v>
      </c>
      <c r="F129" s="8">
        <f ca="1">'Operating Model'!AJ268</f>
        <v>407441.05132820015</v>
      </c>
      <c r="G129" s="8">
        <f ca="1">'Operating Model'!AK268</f>
        <v>391473.16089608148</v>
      </c>
      <c r="H129" s="8">
        <f ca="1">'Operating Model'!AL268</f>
        <v>410486.73149319831</v>
      </c>
      <c r="I129" s="8">
        <f ca="1">'Operating Model'!AM268</f>
        <v>439303.71833034832</v>
      </c>
      <c r="J129" s="8">
        <f ca="1">'Operating Model'!AN268</f>
        <v>425140.34917598462</v>
      </c>
      <c r="K129" s="8">
        <f ca="1">'Operating Model'!AO268</f>
        <v>403854.02436912712</v>
      </c>
      <c r="L129" s="8">
        <f ca="1">'Operating Model'!AP268</f>
        <v>382129.5922011176</v>
      </c>
      <c r="M129" s="8">
        <f ca="1">'Operating Model'!AQ268</f>
        <v>216839.31669785781</v>
      </c>
      <c r="N129" s="8">
        <f ca="1">'Operating Model'!AR268</f>
        <v>42999.644845079929</v>
      </c>
      <c r="O129" s="8">
        <f ca="1">'Operating Model'!AS268</f>
        <v>-7.2759576141834259E-11</v>
      </c>
    </row>
    <row r="130" spans="2:15" ht="13.5" customHeight="1" x14ac:dyDescent="0.3">
      <c r="B130" s="10" t="s">
        <v>75</v>
      </c>
      <c r="D130" s="7" t="s">
        <v>4</v>
      </c>
      <c r="E130" s="11">
        <f ca="1">'Operating Model'!AI266</f>
        <v>16062.139473125866</v>
      </c>
      <c r="F130" s="11">
        <f ca="1">'Operating Model'!AJ266</f>
        <v>49110.677619200171</v>
      </c>
      <c r="G130" s="11">
        <f ca="1">'Operating Model'!AK266</f>
        <v>72559.12829507151</v>
      </c>
      <c r="H130" s="11">
        <f ca="1">'Operating Model'!AL266</f>
        <v>130989.04000017836</v>
      </c>
      <c r="I130" s="11">
        <f ca="1">'Operating Model'!AM266</f>
        <v>199222.36794531834</v>
      </c>
      <c r="J130" s="11">
        <f ca="1">'Operating Model'!AN266</f>
        <v>224475.33989894463</v>
      </c>
      <c r="K130" s="11">
        <f ca="1">'Operating Model'!AO266</f>
        <v>242605.35620007719</v>
      </c>
      <c r="L130" s="11">
        <f ca="1">'Operating Model'!AP266</f>
        <v>260297.26514005766</v>
      </c>
      <c r="M130" s="11">
        <f ca="1">'Operating Model'!AQ266</f>
        <v>134423.33074478788</v>
      </c>
      <c r="N130" s="11">
        <f ca="1">'Operating Model'!AR266</f>
        <v>0</v>
      </c>
      <c r="O130" s="11">
        <f ca="1">'Operating Model'!AS266</f>
        <v>0</v>
      </c>
    </row>
    <row r="131" spans="2:15" ht="13.5" customHeight="1" x14ac:dyDescent="0.3">
      <c r="B131" s="10" t="s">
        <v>76</v>
      </c>
      <c r="D131" s="7" t="s">
        <v>4</v>
      </c>
      <c r="E131" s="11">
        <f>'Operating Model'!AI267</f>
        <v>358330.37370900001</v>
      </c>
      <c r="F131" s="11">
        <f>'Operating Model'!AJ267</f>
        <v>358330.37370900001</v>
      </c>
      <c r="G131" s="11">
        <f>'Operating Model'!AK267</f>
        <v>318914.03260101</v>
      </c>
      <c r="H131" s="11">
        <f>'Operating Model'!AL267</f>
        <v>279497.69149301999</v>
      </c>
      <c r="I131" s="11">
        <f>'Operating Model'!AM267</f>
        <v>240081.35038502997</v>
      </c>
      <c r="J131" s="11">
        <f>'Operating Model'!AN267</f>
        <v>200665.00927703996</v>
      </c>
      <c r="K131" s="11">
        <f>'Operating Model'!AO267</f>
        <v>161248.66816904995</v>
      </c>
      <c r="L131" s="11">
        <f>'Operating Model'!AP267</f>
        <v>121832.32706105994</v>
      </c>
      <c r="M131" s="11">
        <f>'Operating Model'!AQ267</f>
        <v>82415.985953069932</v>
      </c>
      <c r="N131" s="11">
        <f>'Operating Model'!AR267</f>
        <v>42999.644845079929</v>
      </c>
      <c r="O131" s="11">
        <f>'Operating Model'!AS267</f>
        <v>-7.2759576141834259E-11</v>
      </c>
    </row>
    <row r="132" spans="2:15" ht="13.5" customHeight="1" x14ac:dyDescent="0.3">
      <c r="B132" s="7" t="s">
        <v>77</v>
      </c>
      <c r="D132" s="7" t="s">
        <v>4</v>
      </c>
      <c r="E132" s="8">
        <f ca="1">'Operating Model'!AI274</f>
        <v>81507.258879465458</v>
      </c>
      <c r="F132" s="8">
        <f ca="1">'Operating Model'!AJ274</f>
        <v>31440.201385760927</v>
      </c>
      <c r="G132" s="8">
        <f ca="1">'Operating Model'!AK274</f>
        <v>29703.465748773313</v>
      </c>
      <c r="H132" s="8">
        <f ca="1">'Operating Model'!AL274</f>
        <v>30628.435871264031</v>
      </c>
      <c r="I132" s="8">
        <f ca="1">'Operating Model'!AM274</f>
        <v>58900.970614625287</v>
      </c>
      <c r="J132" s="8">
        <f ca="1">'Operating Model'!AN274</f>
        <v>179107.09592449851</v>
      </c>
      <c r="K132" s="8">
        <f ca="1">'Operating Model'!AO274</f>
        <v>322994.81434540759</v>
      </c>
      <c r="L132" s="8">
        <f ca="1">'Operating Model'!AP274</f>
        <v>479990.11003912392</v>
      </c>
      <c r="M132" s="8">
        <f ca="1">'Operating Model'!AQ274</f>
        <v>656850.07745769224</v>
      </c>
      <c r="N132" s="8">
        <f ca="1">'Operating Model'!AR274</f>
        <v>853751.55426898273</v>
      </c>
      <c r="O132" s="8">
        <f ca="1">'Operating Model'!AS274</f>
        <v>1062831.0465474252</v>
      </c>
    </row>
    <row r="133" spans="2:15" ht="13.5" customHeight="1" x14ac:dyDescent="0.3"/>
    <row r="134" spans="2:15" ht="13.5" customHeight="1" x14ac:dyDescent="0.3">
      <c r="B134" s="5" t="s">
        <v>78</v>
      </c>
      <c r="G134" s="15">
        <f>500000/20</f>
        <v>25000</v>
      </c>
    </row>
    <row r="135" spans="2:15" ht="13.5" customHeight="1" x14ac:dyDescent="0.3">
      <c r="B135" s="7" t="s">
        <v>72</v>
      </c>
      <c r="D135" s="7" t="s">
        <v>10</v>
      </c>
      <c r="E135" s="8">
        <v>0</v>
      </c>
      <c r="F135" s="42">
        <f t="shared" ref="F135:O135" ca="1" si="25">IFERROR(F127/E127-1,0)</f>
        <v>-3.7329519316651627E-2</v>
      </c>
      <c r="G135" s="42">
        <f t="shared" ca="1" si="25"/>
        <v>-4.0340356211672423E-2</v>
      </c>
      <c r="H135" s="42">
        <f t="shared" ca="1" si="25"/>
        <v>4.7340093106401637E-2</v>
      </c>
      <c r="I135" s="42">
        <f t="shared" ca="1" si="25"/>
        <v>0.12942089913073018</v>
      </c>
      <c r="J135" s="42">
        <f t="shared" ca="1" si="25"/>
        <v>0.21284977542076433</v>
      </c>
      <c r="K135" s="42">
        <f t="shared" ca="1" si="25"/>
        <v>0.20289931651041382</v>
      </c>
      <c r="L135" s="42">
        <f t="shared" ca="1" si="25"/>
        <v>0.18610590857507514</v>
      </c>
      <c r="M135" s="42">
        <f t="shared" ca="1" si="25"/>
        <v>1.342005278993641E-2</v>
      </c>
      <c r="N135" s="42">
        <f t="shared" ca="1" si="25"/>
        <v>2.6395885211360159E-2</v>
      </c>
      <c r="O135" s="42">
        <f t="shared" ca="1" si="25"/>
        <v>0.18520170098176592</v>
      </c>
    </row>
    <row r="136" spans="2:15" ht="13.5" customHeight="1" x14ac:dyDescent="0.3">
      <c r="B136" s="10" t="s">
        <v>73</v>
      </c>
      <c r="C136" s="10"/>
      <c r="D136" s="7" t="s">
        <v>10</v>
      </c>
      <c r="E136" s="8">
        <v>0</v>
      </c>
      <c r="F136" s="42">
        <f t="shared" ref="F136:O136" ca="1" si="26">IFERROR(F128/E128-1,0)</f>
        <v>0</v>
      </c>
      <c r="G136" s="42">
        <f t="shared" ca="1" si="26"/>
        <v>0</v>
      </c>
      <c r="H136" s="42">
        <f t="shared" ca="1" si="26"/>
        <v>0</v>
      </c>
      <c r="I136" s="42">
        <f t="shared" ca="1" si="26"/>
        <v>-4.4408920985006262E-16</v>
      </c>
      <c r="J136" s="42">
        <f t="shared" ca="1" si="26"/>
        <v>0</v>
      </c>
      <c r="K136" s="42">
        <f t="shared" ca="1" si="26"/>
        <v>0</v>
      </c>
      <c r="L136" s="42">
        <f t="shared" ca="1" si="26"/>
        <v>4.4408920985006262E-16</v>
      </c>
      <c r="M136" s="42">
        <f t="shared" ca="1" si="26"/>
        <v>-9.9920072216264089E-16</v>
      </c>
      <c r="N136" s="42">
        <f t="shared" ca="1" si="26"/>
        <v>8.8817841970012523E-16</v>
      </c>
      <c r="O136" s="42">
        <f t="shared" ca="1" si="26"/>
        <v>-9.9920072216264089E-16</v>
      </c>
    </row>
    <row r="137" spans="2:15" ht="13.5" customHeight="1" x14ac:dyDescent="0.3">
      <c r="B137" s="7" t="s">
        <v>74</v>
      </c>
      <c r="D137" s="7" t="s">
        <v>10</v>
      </c>
      <c r="E137" s="8">
        <v>0</v>
      </c>
      <c r="F137" s="42">
        <f t="shared" ref="F137:O137" ca="1" si="27">IFERROR(F129/E129-1,0)</f>
        <v>8.8272433295154107E-2</v>
      </c>
      <c r="G137" s="42">
        <f t="shared" ca="1" si="27"/>
        <v>-3.919067649188912E-2</v>
      </c>
      <c r="H137" s="42">
        <f t="shared" ca="1" si="27"/>
        <v>4.8569282638929234E-2</v>
      </c>
      <c r="I137" s="42">
        <f t="shared" ca="1" si="27"/>
        <v>7.0201993453782308E-2</v>
      </c>
      <c r="J137" s="42">
        <f t="shared" ca="1" si="27"/>
        <v>-3.2240494590380586E-2</v>
      </c>
      <c r="K137" s="42">
        <f t="shared" ca="1" si="27"/>
        <v>-5.0068935701151562E-2</v>
      </c>
      <c r="L137" s="42">
        <f t="shared" ca="1" si="27"/>
        <v>-5.3792783672134803E-2</v>
      </c>
      <c r="M137" s="42">
        <f t="shared" ca="1" si="27"/>
        <v>-0.43255031506763364</v>
      </c>
      <c r="N137" s="42">
        <f t="shared" ca="1" si="27"/>
        <v>-0.80169811683646242</v>
      </c>
      <c r="O137" s="42">
        <f t="shared" ca="1" si="27"/>
        <v>-1.0000000000000018</v>
      </c>
    </row>
    <row r="138" spans="2:15" ht="13.5" customHeight="1" x14ac:dyDescent="0.3">
      <c r="B138" s="10" t="s">
        <v>75</v>
      </c>
      <c r="D138" s="7" t="s">
        <v>10</v>
      </c>
      <c r="E138" s="8">
        <v>0</v>
      </c>
      <c r="F138" s="42">
        <f t="shared" ref="F138:O138" ca="1" si="28">IFERROR(F130/E130-1,0)</f>
        <v>2.0575427203436369</v>
      </c>
      <c r="G138" s="42">
        <f t="shared" ca="1" si="28"/>
        <v>0.47746135489492825</v>
      </c>
      <c r="H138" s="42">
        <f t="shared" ca="1" si="28"/>
        <v>0.805273065953793</v>
      </c>
      <c r="I138" s="42">
        <f t="shared" ca="1" si="28"/>
        <v>0.52090868018459457</v>
      </c>
      <c r="J138" s="42">
        <f t="shared" ca="1" si="28"/>
        <v>0.12675771407635117</v>
      </c>
      <c r="K138" s="42">
        <f t="shared" ca="1" si="28"/>
        <v>8.0766182643021711E-2</v>
      </c>
      <c r="L138" s="42">
        <f t="shared" ca="1" si="28"/>
        <v>7.2924642790614724E-2</v>
      </c>
      <c r="M138" s="42">
        <f t="shared" ca="1" si="28"/>
        <v>-0.4835776293213877</v>
      </c>
      <c r="N138" s="42">
        <f t="shared" ca="1" si="28"/>
        <v>-1</v>
      </c>
      <c r="O138" s="42">
        <f t="shared" ca="1" si="28"/>
        <v>0</v>
      </c>
    </row>
    <row r="139" spans="2:15" ht="13.5" customHeight="1" x14ac:dyDescent="0.3">
      <c r="B139" s="10" t="s">
        <v>76</v>
      </c>
      <c r="D139" s="7" t="s">
        <v>10</v>
      </c>
      <c r="E139" s="8">
        <v>0</v>
      </c>
      <c r="F139" s="42">
        <f t="shared" ref="F139:O139" si="29">IFERROR(F131/E131-1,0)</f>
        <v>0</v>
      </c>
      <c r="G139" s="42">
        <f t="shared" si="29"/>
        <v>-0.10999999999999999</v>
      </c>
      <c r="H139" s="42">
        <f t="shared" si="29"/>
        <v>-0.12359550561797761</v>
      </c>
      <c r="I139" s="42">
        <f t="shared" si="29"/>
        <v>-0.14102564102564108</v>
      </c>
      <c r="J139" s="42">
        <f t="shared" si="29"/>
        <v>-0.16417910447761197</v>
      </c>
      <c r="K139" s="42">
        <f t="shared" si="29"/>
        <v>-0.19642857142857151</v>
      </c>
      <c r="L139" s="42">
        <f t="shared" si="29"/>
        <v>-0.24444444444444458</v>
      </c>
      <c r="M139" s="42">
        <f t="shared" si="29"/>
        <v>-0.32352941176470618</v>
      </c>
      <c r="N139" s="42">
        <f t="shared" si="29"/>
        <v>-0.47826086956521785</v>
      </c>
      <c r="O139" s="42">
        <f t="shared" si="29"/>
        <v>-1.0000000000000018</v>
      </c>
    </row>
    <row r="140" spans="2:15" ht="13.5" customHeight="1" x14ac:dyDescent="0.3">
      <c r="B140" s="7" t="s">
        <v>77</v>
      </c>
      <c r="D140" s="7" t="s">
        <v>10</v>
      </c>
      <c r="E140" s="8">
        <v>0</v>
      </c>
      <c r="F140" s="42">
        <f t="shared" ref="F140:O140" ca="1" si="30">IFERROR(F132/E132-1,0)</f>
        <v>-0.61426501371791542</v>
      </c>
      <c r="G140" s="42">
        <f t="shared" ca="1" si="30"/>
        <v>-5.5239329280319827E-2</v>
      </c>
      <c r="H140" s="42">
        <f t="shared" ca="1" si="30"/>
        <v>3.1140141366463814E-2</v>
      </c>
      <c r="I140" s="42">
        <f t="shared" ca="1" si="30"/>
        <v>0.92308124587866702</v>
      </c>
      <c r="J140" s="42">
        <f t="shared" ca="1" si="30"/>
        <v>2.0408173932540543</v>
      </c>
      <c r="K140" s="42">
        <f t="shared" ca="1" si="30"/>
        <v>0.80336135024803301</v>
      </c>
      <c r="L140" s="42">
        <f t="shared" ca="1" si="30"/>
        <v>0.4860613505882081</v>
      </c>
      <c r="M140" s="42">
        <f t="shared" ca="1" si="30"/>
        <v>0.36846585735725368</v>
      </c>
      <c r="N140" s="42">
        <f t="shared" ca="1" si="30"/>
        <v>0.2997662382463111</v>
      </c>
      <c r="O140" s="42">
        <f t="shared" ca="1" si="30"/>
        <v>0.24489500632003525</v>
      </c>
    </row>
    <row r="141" spans="2:15" ht="13.5" customHeight="1" x14ac:dyDescent="0.3"/>
    <row r="142" spans="2:15" ht="13.5" customHeight="1" x14ac:dyDescent="0.3">
      <c r="B142" s="7"/>
      <c r="D142" s="7"/>
      <c r="E142" s="456"/>
      <c r="F142" s="456"/>
      <c r="G142" s="456"/>
      <c r="H142" s="456"/>
      <c r="I142" s="456"/>
      <c r="J142" s="456"/>
      <c r="K142" s="456"/>
      <c r="L142" s="456"/>
      <c r="M142" s="456"/>
      <c r="N142" s="456"/>
      <c r="O142" s="456"/>
    </row>
    <row r="143" spans="2:15" ht="13.5" customHeight="1" x14ac:dyDescent="0.3">
      <c r="B143" s="369" t="s">
        <v>737</v>
      </c>
    </row>
    <row r="144" spans="2:15" ht="13.5" customHeight="1" x14ac:dyDescent="0.3">
      <c r="C144" s="44" t="s">
        <v>79</v>
      </c>
      <c r="D144" s="44" t="s">
        <v>10</v>
      </c>
      <c r="E144" s="45">
        <f>'Operating Model'!E388</f>
        <v>5.9970505631067969E-2</v>
      </c>
    </row>
    <row r="145" spans="1:19" ht="13.5" customHeight="1" x14ac:dyDescent="0.3">
      <c r="A145" s="7"/>
      <c r="C145" s="44" t="s">
        <v>80</v>
      </c>
      <c r="D145" s="44" t="s">
        <v>4</v>
      </c>
      <c r="E145" s="46">
        <f ca="1">'Operating Model'!D415</f>
        <v>458767.09103621426</v>
      </c>
    </row>
    <row r="146" spans="1:19" ht="13.5" customHeight="1" x14ac:dyDescent="0.3">
      <c r="A146" s="7"/>
      <c r="C146" s="44" t="s">
        <v>81</v>
      </c>
      <c r="D146" s="44" t="s">
        <v>10</v>
      </c>
      <c r="E146" s="45">
        <f ca="1">'Operating Model'!D416</f>
        <v>0.17060884929013875</v>
      </c>
    </row>
    <row r="147" spans="1:19" ht="13.5" customHeight="1" x14ac:dyDescent="0.3">
      <c r="A147" s="7"/>
      <c r="C147" s="44" t="s">
        <v>82</v>
      </c>
      <c r="D147" s="44" t="s">
        <v>12</v>
      </c>
      <c r="E147" s="47">
        <f ca="1">'Operating Model'!D417</f>
        <v>7.2195121020897401</v>
      </c>
    </row>
    <row r="148" spans="1:19" ht="13.5" customHeight="1" x14ac:dyDescent="0.3">
      <c r="A148" s="7"/>
      <c r="C148" s="44" t="s">
        <v>83</v>
      </c>
      <c r="D148" s="44" t="s">
        <v>12</v>
      </c>
      <c r="E148" s="47">
        <f ca="1">'Operating Model'!D418</f>
        <v>8.150758997801768</v>
      </c>
    </row>
    <row r="149" spans="1:19" ht="13.5" customHeight="1" x14ac:dyDescent="0.3"/>
    <row r="150" spans="1:19" ht="13.5" customHeight="1" x14ac:dyDescent="0.3"/>
    <row r="151" spans="1:19" ht="13.5" customHeight="1" x14ac:dyDescent="0.3"/>
    <row r="152" spans="1:19" ht="13.5" customHeight="1" x14ac:dyDescent="0.3">
      <c r="A152" s="2" t="s">
        <v>0</v>
      </c>
      <c r="B152" s="3" t="s">
        <v>84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3.5" customHeight="1" x14ac:dyDescent="0.3"/>
    <row r="154" spans="1:19" ht="13.5" customHeight="1" x14ac:dyDescent="0.3">
      <c r="B154" s="7" t="s">
        <v>85</v>
      </c>
      <c r="E154" s="8">
        <f ca="1">'Operating Model'!AI492</f>
        <v>877.78889679536735</v>
      </c>
      <c r="F154" s="8">
        <f ca="1">'Operating Model'!AJ492</f>
        <v>1124.7033726450231</v>
      </c>
      <c r="G154" s="8">
        <f ca="1">'Operating Model'!AK492</f>
        <v>2143.6613772480669</v>
      </c>
      <c r="H154" s="8">
        <f ca="1">'Operating Model'!AL492</f>
        <v>1889.9986930645755</v>
      </c>
      <c r="I154" s="8">
        <f ca="1">'Operating Model'!AM492</f>
        <v>1782.9281177692469</v>
      </c>
      <c r="J154" s="8">
        <f ca="1">'Operating Model'!AN492</f>
        <v>1781.1817574941938</v>
      </c>
      <c r="K154" s="8">
        <f ca="1">'Operating Model'!AO492</f>
        <v>1787.6766798381577</v>
      </c>
      <c r="L154" s="8">
        <f ca="1">'Operating Model'!AP492</f>
        <v>1898.4163292454023</v>
      </c>
      <c r="M154" s="8">
        <f ca="1">'Operating Model'!AQ492</f>
        <v>2008.206003843994</v>
      </c>
      <c r="N154" s="8">
        <f ca="1">'Operating Model'!AR492</f>
        <v>2115.9336332804569</v>
      </c>
      <c r="O154" s="8">
        <f ca="1">'Operating Model'!AS492</f>
        <v>2210.9360653953268</v>
      </c>
    </row>
    <row r="155" spans="1:19" ht="13.5" customHeight="1" x14ac:dyDescent="0.3"/>
    <row r="156" spans="1:19" ht="13.5" customHeight="1" x14ac:dyDescent="0.3">
      <c r="B156" s="7" t="s">
        <v>86</v>
      </c>
    </row>
    <row r="157" spans="1:19" ht="13.5" customHeight="1" x14ac:dyDescent="0.3">
      <c r="C157" s="7" t="s">
        <v>56</v>
      </c>
      <c r="D157" s="7" t="s">
        <v>87</v>
      </c>
      <c r="E157" s="8">
        <f>'Operating Model'!AI538</f>
        <v>0</v>
      </c>
      <c r="F157" s="8">
        <f>'Operating Model'!AJ538</f>
        <v>-219.37874662193045</v>
      </c>
      <c r="G157" s="8">
        <f ca="1">'Operating Model'!AK538</f>
        <v>-320.82894593750001</v>
      </c>
      <c r="H157" s="8">
        <f ca="1">'Operating Model'!AL538</f>
        <v>-296.84392823664189</v>
      </c>
      <c r="I157" s="8">
        <f ca="1">'Operating Model'!AM538</f>
        <v>-322.4786778332828</v>
      </c>
      <c r="J157" s="8">
        <f ca="1">'Operating Model'!AN538</f>
        <v>-336.10288350251517</v>
      </c>
      <c r="K157" s="8">
        <f ca="1">'Operating Model'!AO538</f>
        <v>-362.99111418271644</v>
      </c>
      <c r="L157" s="8">
        <f ca="1">'Operating Model'!AP538</f>
        <v>-388.40049217550671</v>
      </c>
      <c r="M157" s="8">
        <f ca="1">'Operating Model'!AQ538</f>
        <v>-413.6465241669145</v>
      </c>
      <c r="N157" s="8">
        <f ca="1">'Operating Model'!AR538</f>
        <v>-438.46531561692944</v>
      </c>
      <c r="O157" s="8">
        <f ca="1">'Operating Model'!AS538</f>
        <v>-460.38858139777597</v>
      </c>
    </row>
    <row r="158" spans="1:19" ht="13.5" customHeight="1" x14ac:dyDescent="0.3">
      <c r="C158" s="7" t="s">
        <v>88</v>
      </c>
      <c r="D158" s="7" t="s">
        <v>87</v>
      </c>
      <c r="E158" s="8">
        <f>'Operating Model'!AI539</f>
        <v>-279.84383333333329</v>
      </c>
      <c r="F158" s="8">
        <f>'Operating Model'!AJ539</f>
        <v>-380.39571284722223</v>
      </c>
      <c r="G158" s="8">
        <f>'Operating Model'!AK539</f>
        <v>-418.43528413194446</v>
      </c>
      <c r="H158" s="8">
        <f ca="1">'Operating Model'!AL539</f>
        <v>-458.18663612447915</v>
      </c>
      <c r="I158" s="8">
        <f ca="1">'Operating Model'!AM539</f>
        <v>-499.42343337568241</v>
      </c>
      <c r="J158" s="8">
        <f ca="1">'Operating Model'!AN539</f>
        <v>-541.87442521261539</v>
      </c>
      <c r="K158" s="8">
        <f ca="1">'Operating Model'!AO539</f>
        <v>-585.22437922962456</v>
      </c>
      <c r="L158" s="8">
        <f ca="1">'Operating Model'!AP539</f>
        <v>-626.19008577569821</v>
      </c>
      <c r="M158" s="8">
        <f ca="1">'Operating Model'!AQ539</f>
        <v>-666.8924413511188</v>
      </c>
      <c r="N158" s="8">
        <f ca="1">'Operating Model'!AR539</f>
        <v>-706.90598783218582</v>
      </c>
      <c r="O158" s="8">
        <f ca="1">'Operating Model'!AS539</f>
        <v>-742.25128722379486</v>
      </c>
    </row>
    <row r="159" spans="1:19" ht="13.5" customHeight="1" x14ac:dyDescent="0.3">
      <c r="C159" s="7" t="s">
        <v>89</v>
      </c>
      <c r="D159" s="7" t="s">
        <v>87</v>
      </c>
      <c r="E159" s="8">
        <f ca="1">'Operating Model'!AI540</f>
        <v>0</v>
      </c>
      <c r="F159" s="8">
        <f ca="1">'Operating Model'!AJ540</f>
        <v>0</v>
      </c>
      <c r="G159" s="8">
        <f>'Operating Model'!AK540</f>
        <v>-55.652612888888889</v>
      </c>
      <c r="H159" s="8">
        <f ca="1">'Operating Model'!AL540</f>
        <v>-60.939611113333328</v>
      </c>
      <c r="I159" s="8">
        <f ca="1">'Operating Model'!AM540</f>
        <v>-66.424176113533335</v>
      </c>
      <c r="J159" s="8">
        <f ca="1">'Operating Model'!AN540</f>
        <v>-72.070231083183657</v>
      </c>
      <c r="K159" s="8">
        <f ca="1">'Operating Model'!AO540</f>
        <v>-77.835849569838359</v>
      </c>
      <c r="L159" s="8">
        <f ca="1">'Operating Model'!AP540</f>
        <v>-83.284359039727065</v>
      </c>
      <c r="M159" s="8">
        <f ca="1">'Operating Model'!AQ540</f>
        <v>-88.697842377309314</v>
      </c>
      <c r="N159" s="8">
        <f ca="1">'Operating Model'!AR540</f>
        <v>-94.019712919947878</v>
      </c>
      <c r="O159" s="8">
        <f ca="1">'Operating Model'!AS540</f>
        <v>-98.720698565945256</v>
      </c>
    </row>
    <row r="160" spans="1:19" ht="13.5" customHeight="1" x14ac:dyDescent="0.3">
      <c r="C160" s="7" t="s">
        <v>90</v>
      </c>
      <c r="D160" s="7" t="s">
        <v>87</v>
      </c>
      <c r="E160" s="8">
        <f>'Operating Model'!AI541</f>
        <v>-84.998210912860301</v>
      </c>
      <c r="F160" s="8">
        <f>'Operating Model'!AJ541</f>
        <v>0</v>
      </c>
      <c r="G160" s="8">
        <f ca="1">'Operating Model'!AK541</f>
        <v>-529.32673749999992</v>
      </c>
      <c r="H160" s="8">
        <f ca="1">'Operating Model'!AL541</f>
        <v>-169.81434469999999</v>
      </c>
      <c r="I160" s="8">
        <f ca="1">'Operating Model'!AM541</f>
        <v>-185.09763572299997</v>
      </c>
      <c r="J160" s="8">
        <f ca="1">'Operating Model'!AN541</f>
        <v>-200.83093475945498</v>
      </c>
      <c r="K160" s="8">
        <f ca="1">'Operating Model'!AO541</f>
        <v>-216.89740954021141</v>
      </c>
      <c r="L160" s="8">
        <f ca="1">'Operating Model'!AP541</f>
        <v>-232.0802282080262</v>
      </c>
      <c r="M160" s="8">
        <f ca="1">'Operating Model'!AQ541</f>
        <v>-247.16544304154795</v>
      </c>
      <c r="N160" s="8">
        <f ca="1">'Operating Model'!AR541</f>
        <v>-261.99536962404079</v>
      </c>
      <c r="O160" s="8">
        <f ca="1">'Operating Model'!AS541</f>
        <v>-275.09513810524288</v>
      </c>
    </row>
    <row r="161" spans="1:19" ht="13.5" customHeight="1" x14ac:dyDescent="0.3">
      <c r="C161" s="7" t="s">
        <v>59</v>
      </c>
      <c r="D161" s="7" t="s">
        <v>87</v>
      </c>
      <c r="E161" s="8">
        <f>'Operating Model'!AI542</f>
        <v>0</v>
      </c>
      <c r="F161" s="8">
        <f>'Operating Model'!AJ542</f>
        <v>0</v>
      </c>
      <c r="G161" s="8">
        <f>'Operating Model'!AK542</f>
        <v>-14.452294999999999</v>
      </c>
      <c r="H161" s="8">
        <f ca="1">'Operating Model'!AL542</f>
        <v>-15.825263024999998</v>
      </c>
      <c r="I161" s="8">
        <f ca="1">'Operating Model'!AM542</f>
        <v>-17.249536697250001</v>
      </c>
      <c r="J161" s="8">
        <f ca="1">'Operating Model'!AN542</f>
        <v>-18.715747316516254</v>
      </c>
      <c r="K161" s="8">
        <f ca="1">'Operating Model'!AO542</f>
        <v>-20.213007101837551</v>
      </c>
      <c r="L161" s="8">
        <f ca="1">'Operating Model'!AP542</f>
        <v>-21.627917598966182</v>
      </c>
      <c r="M161" s="8">
        <f ca="1">'Operating Model'!AQ542</f>
        <v>-23.033732242898985</v>
      </c>
      <c r="N161" s="8">
        <f ca="1">'Operating Model'!AR542</f>
        <v>-24.415756177472922</v>
      </c>
      <c r="O161" s="8">
        <f ca="1">'Operating Model'!AS542</f>
        <v>-25.63654398634657</v>
      </c>
    </row>
    <row r="162" spans="1:19" ht="13.5" customHeight="1" x14ac:dyDescent="0.3">
      <c r="C162" s="7" t="s">
        <v>91</v>
      </c>
      <c r="D162" s="7" t="s">
        <v>87</v>
      </c>
      <c r="E162" s="8">
        <f ca="1">'Operating Model'!AI543</f>
        <v>-50.624065857903261</v>
      </c>
      <c r="F162" s="8">
        <f ca="1">'Operating Model'!AJ543</f>
        <v>-472.75959339530885</v>
      </c>
      <c r="G162" s="8">
        <f ca="1">'Operating Model'!AK543</f>
        <v>-234.00537760404688</v>
      </c>
      <c r="H162" s="8">
        <f ca="1">'Operating Model'!AL543</f>
        <v>-176.96128263438274</v>
      </c>
      <c r="I162" s="8">
        <f ca="1">'Operating Model'!AM543</f>
        <v>-191.63217668470381</v>
      </c>
      <c r="J162" s="8">
        <f ca="1">'Operating Model'!AN543</f>
        <v>-193.92284219623889</v>
      </c>
      <c r="K162" s="8">
        <f ca="1">'Operating Model'!AO543</f>
        <v>-208.93339558501418</v>
      </c>
      <c r="L162" s="8">
        <f ca="1">'Operating Model'!AP543</f>
        <v>-223.55873327596521</v>
      </c>
      <c r="M162" s="8">
        <f ca="1">'Operating Model'!AQ543</f>
        <v>-238.09005093890286</v>
      </c>
      <c r="N162" s="8">
        <f ca="1">'Operating Model'!AR543</f>
        <v>-252.37545399523711</v>
      </c>
      <c r="O162" s="8">
        <f ca="1">'Operating Model'!AS543</f>
        <v>-264.99422669499893</v>
      </c>
    </row>
    <row r="163" spans="1:19" ht="13.5" customHeight="1" x14ac:dyDescent="0.3">
      <c r="E163" s="48">
        <f t="shared" ref="E163:O163" ca="1" si="31">-(E162*360)</f>
        <v>18224.663708845175</v>
      </c>
      <c r="F163" s="48">
        <f t="shared" ca="1" si="31"/>
        <v>170193.45362231118</v>
      </c>
      <c r="G163" s="48">
        <f t="shared" ca="1" si="31"/>
        <v>84241.935937456874</v>
      </c>
      <c r="H163" s="48">
        <f t="shared" ca="1" si="31"/>
        <v>63706.06174837779</v>
      </c>
      <c r="I163" s="48">
        <f t="shared" ca="1" si="31"/>
        <v>68987.583606493368</v>
      </c>
      <c r="J163" s="48">
        <f t="shared" ca="1" si="31"/>
        <v>69812.223190646007</v>
      </c>
      <c r="K163" s="48">
        <f t="shared" ca="1" si="31"/>
        <v>75216.022410605103</v>
      </c>
      <c r="L163" s="48">
        <f t="shared" ca="1" si="31"/>
        <v>80481.143979347471</v>
      </c>
      <c r="M163" s="48">
        <f t="shared" ca="1" si="31"/>
        <v>85712.418338005024</v>
      </c>
      <c r="N163" s="48">
        <f t="shared" ca="1" si="31"/>
        <v>90855.163438285366</v>
      </c>
      <c r="O163" s="48">
        <f t="shared" ca="1" si="31"/>
        <v>95397.921610199613</v>
      </c>
    </row>
    <row r="164" spans="1:19" ht="13.5" customHeight="1" x14ac:dyDescent="0.3"/>
    <row r="165" spans="1:19" ht="13.5" customHeight="1" x14ac:dyDescent="0.3">
      <c r="A165" s="2" t="s">
        <v>0</v>
      </c>
      <c r="B165" s="3" t="s">
        <v>92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3.5" customHeight="1" x14ac:dyDescent="0.3"/>
    <row r="167" spans="1:19" ht="13.5" customHeight="1" x14ac:dyDescent="0.3"/>
    <row r="168" spans="1:19" ht="13.5" customHeight="1" x14ac:dyDescent="0.3">
      <c r="C168" s="44" t="s">
        <v>93</v>
      </c>
      <c r="D168" s="8">
        <f>'Operating Model'!AI46</f>
        <v>200</v>
      </c>
    </row>
    <row r="169" spans="1:19" ht="13.5" customHeight="1" x14ac:dyDescent="0.3">
      <c r="C169" s="44" t="s">
        <v>94</v>
      </c>
      <c r="D169" s="8">
        <f>'Operating Model'!AI41</f>
        <v>300</v>
      </c>
    </row>
    <row r="170" spans="1:19" ht="13.5" customHeight="1" x14ac:dyDescent="0.3">
      <c r="C170" s="44" t="s">
        <v>95</v>
      </c>
      <c r="D170" s="8" t="s">
        <v>96</v>
      </c>
    </row>
    <row r="171" spans="1:19" ht="13.5" customHeight="1" x14ac:dyDescent="0.3">
      <c r="C171" s="44" t="s">
        <v>97</v>
      </c>
      <c r="D171" s="8">
        <f>'Operating Model'!F8</f>
        <v>550000</v>
      </c>
    </row>
    <row r="172" spans="1:19" ht="13.5" customHeight="1" x14ac:dyDescent="0.3">
      <c r="C172" s="44" t="s">
        <v>98</v>
      </c>
      <c r="D172" s="8">
        <f>'Operating Model'!F9</f>
        <v>750000</v>
      </c>
    </row>
    <row r="173" spans="1:19" ht="13.5" customHeight="1" x14ac:dyDescent="0.3">
      <c r="C173" s="44" t="s">
        <v>99</v>
      </c>
      <c r="D173" s="8">
        <v>25</v>
      </c>
    </row>
    <row r="174" spans="1:19" ht="13.5" customHeight="1" x14ac:dyDescent="0.3">
      <c r="C174" s="44" t="s">
        <v>100</v>
      </c>
      <c r="D174" s="42">
        <f>'Operating Model'!E70</f>
        <v>0.85</v>
      </c>
    </row>
    <row r="175" spans="1:19" ht="13.5" customHeight="1" x14ac:dyDescent="0.3">
      <c r="C175" s="44" t="s">
        <v>101</v>
      </c>
      <c r="D175" s="42">
        <f>'Operating Model'!E54</f>
        <v>0.03</v>
      </c>
    </row>
    <row r="176" spans="1:19" ht="13.5" customHeight="1" x14ac:dyDescent="0.3">
      <c r="C176" s="44" t="s">
        <v>102</v>
      </c>
      <c r="D176" s="42">
        <f>'Operating Model'!E64</f>
        <v>0.03</v>
      </c>
    </row>
    <row r="177" spans="1:19" ht="13.5" customHeight="1" x14ac:dyDescent="0.3">
      <c r="C177" s="44" t="s">
        <v>103</v>
      </c>
      <c r="D177" s="42">
        <f>'Operating Model'!E93</f>
        <v>0.03</v>
      </c>
    </row>
    <row r="178" spans="1:19" ht="13.5" customHeight="1" x14ac:dyDescent="0.3">
      <c r="C178" s="44" t="s">
        <v>104</v>
      </c>
      <c r="D178" s="42">
        <f>'Operating Model'!E82</f>
        <v>0.03</v>
      </c>
    </row>
    <row r="179" spans="1:19" ht="13.5" customHeight="1" x14ac:dyDescent="0.3">
      <c r="C179" s="7"/>
      <c r="D179" s="49"/>
    </row>
    <row r="180" spans="1:19" ht="13.5" customHeight="1" x14ac:dyDescent="0.3">
      <c r="C180" s="7"/>
      <c r="D180" s="49"/>
    </row>
    <row r="181" spans="1:19" ht="13.5" customHeight="1" x14ac:dyDescent="0.3">
      <c r="C181" s="7"/>
      <c r="D181" s="49"/>
    </row>
    <row r="182" spans="1:19" ht="13.5" customHeight="1" x14ac:dyDescent="0.3"/>
    <row r="183" spans="1:19" ht="13.5" customHeight="1" x14ac:dyDescent="0.3">
      <c r="A183" s="2" t="s">
        <v>0</v>
      </c>
      <c r="B183" s="3" t="s">
        <v>105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3.5" customHeight="1" x14ac:dyDescent="0.3"/>
    <row r="185" spans="1:19" ht="13.5" customHeight="1" x14ac:dyDescent="0.3">
      <c r="C185" s="469" t="s">
        <v>762</v>
      </c>
      <c r="D185" s="469"/>
      <c r="E185" s="469"/>
      <c r="F185" s="469"/>
      <c r="G185" s="469"/>
      <c r="H185" s="469"/>
      <c r="I185" s="469"/>
    </row>
    <row r="186" spans="1:19" ht="13.5" customHeight="1" x14ac:dyDescent="0.3"/>
    <row r="187" spans="1:19" ht="13.5" customHeight="1" x14ac:dyDescent="0.3">
      <c r="C187" s="50" t="s">
        <v>106</v>
      </c>
    </row>
    <row r="188" spans="1:19" ht="13.5" customHeight="1" x14ac:dyDescent="0.3">
      <c r="C188" s="50"/>
    </row>
    <row r="189" spans="1:19" ht="13.5" customHeight="1" x14ac:dyDescent="0.3">
      <c r="C189" s="51" t="s">
        <v>107</v>
      </c>
      <c r="D189" s="52">
        <v>0.85</v>
      </c>
    </row>
    <row r="190" spans="1:19" ht="13.5" customHeight="1" x14ac:dyDescent="0.3">
      <c r="C190" s="51" t="s">
        <v>108</v>
      </c>
      <c r="D190" s="52">
        <v>0.05</v>
      </c>
    </row>
    <row r="191" spans="1:19" ht="13.5" customHeight="1" x14ac:dyDescent="0.3">
      <c r="C191" s="53"/>
      <c r="D191" s="53"/>
      <c r="E191" s="53"/>
      <c r="F191" s="53"/>
      <c r="G191" s="53"/>
      <c r="H191" s="53"/>
      <c r="I191" s="53"/>
    </row>
    <row r="192" spans="1:19" ht="13.5" customHeight="1" x14ac:dyDescent="0.3">
      <c r="C192" s="53"/>
      <c r="D192" s="53"/>
      <c r="E192" s="465" t="s">
        <v>736</v>
      </c>
      <c r="F192" s="466"/>
      <c r="G192" s="466"/>
      <c r="H192" s="466"/>
      <c r="I192" s="466"/>
    </row>
    <row r="193" spans="3:9" ht="13.5" customHeight="1" x14ac:dyDescent="0.3">
      <c r="C193" s="53"/>
      <c r="D193" s="48">
        <f ca="1">'Operating Model'!D415</f>
        <v>458767.09103621426</v>
      </c>
      <c r="E193" s="54">
        <v>0.126</v>
      </c>
      <c r="F193" s="54">
        <v>0.06</v>
      </c>
      <c r="G193" s="54">
        <v>0.05</v>
      </c>
      <c r="H193" s="54">
        <v>2.5000000000000001E-2</v>
      </c>
      <c r="I193" s="54">
        <v>1.4999999999999999E-2</v>
      </c>
    </row>
    <row r="194" spans="3:9" ht="13.5" customHeight="1" x14ac:dyDescent="0.3">
      <c r="C194" s="467" t="s">
        <v>45</v>
      </c>
      <c r="D194" s="54">
        <v>0.95</v>
      </c>
      <c r="E194" s="55">
        <f t="dataTable" ref="E194:I199" dt2D="1" dtr="1" r1="D190" r2="D189" ca="1"/>
        <v>279039.37061515992</v>
      </c>
      <c r="F194" s="55">
        <v>589432.73953162122</v>
      </c>
      <c r="G194" s="55">
        <v>650999.9274685944</v>
      </c>
      <c r="H194" s="55">
        <v>826972.86644572334</v>
      </c>
      <c r="I194" s="55">
        <v>907407.12658866704</v>
      </c>
    </row>
    <row r="195" spans="3:9" ht="13.5" customHeight="1" x14ac:dyDescent="0.3">
      <c r="C195" s="468"/>
      <c r="D195" s="54">
        <v>0.9</v>
      </c>
      <c r="E195" s="55">
        <v>214081.96214869493</v>
      </c>
      <c r="F195" s="55">
        <v>497973.1922536862</v>
      </c>
      <c r="G195" s="55">
        <v>554394.51586560544</v>
      </c>
      <c r="H195" s="55">
        <v>715804.23260981636</v>
      </c>
      <c r="I195" s="55">
        <v>789642.84514651354</v>
      </c>
    </row>
    <row r="196" spans="3:9" ht="13.5" customHeight="1" x14ac:dyDescent="0.3">
      <c r="C196" s="468"/>
      <c r="D196" s="54">
        <v>0.85</v>
      </c>
      <c r="E196" s="55">
        <v>149892.21723426224</v>
      </c>
      <c r="F196" s="55">
        <v>407460.19693227479</v>
      </c>
      <c r="G196" s="55">
        <v>458767.09103621426</v>
      </c>
      <c r="H196" s="55">
        <v>605698.01422117988</v>
      </c>
      <c r="I196" s="55">
        <v>672977.2648086549</v>
      </c>
    </row>
    <row r="197" spans="3:9" ht="13.5" customHeight="1" x14ac:dyDescent="0.3">
      <c r="C197" s="468"/>
      <c r="D197" s="54">
        <v>0.8</v>
      </c>
      <c r="E197" s="55">
        <v>82535.208660164441</v>
      </c>
      <c r="F197" s="55">
        <v>312290.50501166051</v>
      </c>
      <c r="G197" s="55">
        <v>358202.92827582377</v>
      </c>
      <c r="H197" s="55">
        <v>489877.79445394926</v>
      </c>
      <c r="I197" s="55">
        <v>550252.77766581869</v>
      </c>
    </row>
    <row r="198" spans="3:9" ht="13.5" customHeight="1" x14ac:dyDescent="0.3">
      <c r="C198" s="468"/>
      <c r="D198" s="54">
        <v>0.7</v>
      </c>
      <c r="E198" s="55">
        <v>-51920.052519630714</v>
      </c>
      <c r="F198" s="55">
        <v>121504.58087935545</v>
      </c>
      <c r="G198" s="55">
        <v>156482.69875722443</v>
      </c>
      <c r="H198" s="55">
        <v>257225.06549781619</v>
      </c>
      <c r="I198" s="55">
        <v>303597.77651999897</v>
      </c>
    </row>
    <row r="199" spans="3:9" ht="13.5" customHeight="1" x14ac:dyDescent="0.3">
      <c r="C199" s="468"/>
      <c r="D199" s="54">
        <v>0.6</v>
      </c>
      <c r="E199" s="55">
        <v>-192892.85826744064</v>
      </c>
      <c r="F199" s="55">
        <v>-81657.884261014857</v>
      </c>
      <c r="G199" s="55">
        <v>-58796.718936455873</v>
      </c>
      <c r="H199" s="55">
        <v>7615.6112232145679</v>
      </c>
      <c r="I199" s="55">
        <v>38427.972046239374</v>
      </c>
    </row>
    <row r="200" spans="3:9" ht="13.5" customHeight="1" x14ac:dyDescent="0.3"/>
    <row r="201" spans="3:9" ht="13.5" customHeight="1" x14ac:dyDescent="0.3"/>
    <row r="202" spans="3:9" ht="13.5" customHeight="1" x14ac:dyDescent="0.3">
      <c r="C202" s="50" t="s">
        <v>109</v>
      </c>
    </row>
    <row r="203" spans="3:9" ht="13.5" customHeight="1" x14ac:dyDescent="0.3"/>
    <row r="204" spans="3:9" ht="13.5" customHeight="1" x14ac:dyDescent="0.3">
      <c r="C204" s="53"/>
      <c r="D204" s="53"/>
      <c r="E204" s="465" t="s">
        <v>736</v>
      </c>
      <c r="F204" s="466"/>
      <c r="G204" s="466"/>
      <c r="H204" s="466"/>
      <c r="I204" s="466"/>
    </row>
    <row r="205" spans="3:9" ht="13.5" customHeight="1" x14ac:dyDescent="0.3">
      <c r="C205" s="53"/>
      <c r="D205" s="48">
        <f ca="1">'Operating Model'!AK348</f>
        <v>17543.26270860765</v>
      </c>
      <c r="E205" s="54">
        <v>0.126</v>
      </c>
      <c r="F205" s="54">
        <v>0.06</v>
      </c>
      <c r="G205" s="54">
        <v>0.05</v>
      </c>
      <c r="H205" s="54">
        <v>2.5000000000000001E-2</v>
      </c>
      <c r="I205" s="54">
        <v>1.4999999999999999E-2</v>
      </c>
    </row>
    <row r="206" spans="3:9" ht="13.5" customHeight="1" x14ac:dyDescent="0.3">
      <c r="C206" s="467" t="s">
        <v>45</v>
      </c>
      <c r="D206" s="54">
        <v>0.95</v>
      </c>
      <c r="E206" s="55">
        <f t="dataTable" ref="E206:I211" dt2D="1" dtr="1" r1="D190" r2="D189" ca="1"/>
        <v>18159.584816815503</v>
      </c>
      <c r="F206" s="55">
        <v>22605.23002796093</v>
      </c>
      <c r="G206" s="55">
        <v>23239.643864640238</v>
      </c>
      <c r="H206" s="55">
        <v>24825.678456338523</v>
      </c>
      <c r="I206" s="55">
        <v>25460.092293017839</v>
      </c>
    </row>
    <row r="207" spans="3:9" ht="13.5" customHeight="1" x14ac:dyDescent="0.3">
      <c r="C207" s="468"/>
      <c r="D207" s="54">
        <v>0.9</v>
      </c>
      <c r="E207" s="55">
        <v>14837.958038484867</v>
      </c>
      <c r="F207" s="55">
        <v>19930.713013643417</v>
      </c>
      <c r="G207" s="55">
        <v>20565.126850322729</v>
      </c>
      <c r="H207" s="55">
        <v>22151.161442021013</v>
      </c>
      <c r="I207" s="55">
        <v>22785.575278700326</v>
      </c>
    </row>
    <row r="208" spans="3:9" ht="13.5" customHeight="1" x14ac:dyDescent="0.3">
      <c r="C208" s="468"/>
      <c r="D208" s="54">
        <v>0.85</v>
      </c>
      <c r="E208" s="55">
        <v>11516.331260154173</v>
      </c>
      <c r="F208" s="55">
        <v>16750.245412758512</v>
      </c>
      <c r="G208" s="55">
        <v>17543.26270860765</v>
      </c>
      <c r="H208" s="55">
        <v>19476.644427703457</v>
      </c>
      <c r="I208" s="55">
        <v>20111.058264382769</v>
      </c>
    </row>
    <row r="209" spans="3:9" ht="13.5" customHeight="1" x14ac:dyDescent="0.3">
      <c r="C209" s="468"/>
      <c r="D209" s="54">
        <v>0.8</v>
      </c>
      <c r="E209" s="55">
        <v>8194.7044818235154</v>
      </c>
      <c r="F209" s="55">
        <v>13428.618634427854</v>
      </c>
      <c r="G209" s="55">
        <v>14221.635930276996</v>
      </c>
      <c r="H209" s="55">
        <v>16204.17916989985</v>
      </c>
      <c r="I209" s="55">
        <v>16997.196465748992</v>
      </c>
    </row>
    <row r="210" spans="3:9" ht="13.5" customHeight="1" x14ac:dyDescent="0.3">
      <c r="C210" s="468"/>
      <c r="D210" s="54">
        <v>0.7</v>
      </c>
      <c r="E210" s="55">
        <v>1551.4509251621639</v>
      </c>
      <c r="F210" s="55">
        <v>6785.3650777665025</v>
      </c>
      <c r="G210" s="55">
        <v>7578.382373615641</v>
      </c>
      <c r="H210" s="55">
        <v>9560.925613238498</v>
      </c>
      <c r="I210" s="55">
        <v>10353.94290908764</v>
      </c>
    </row>
    <row r="211" spans="3:9" ht="13.5" customHeight="1" x14ac:dyDescent="0.3">
      <c r="C211" s="468"/>
      <c r="D211" s="54">
        <v>0.6</v>
      </c>
      <c r="E211" s="55">
        <v>-5091.8026314991876</v>
      </c>
      <c r="F211" s="55">
        <v>142.11152110515104</v>
      </c>
      <c r="G211" s="55">
        <v>935.1288169542895</v>
      </c>
      <c r="H211" s="55">
        <v>2917.6720565771429</v>
      </c>
      <c r="I211" s="55">
        <v>3710.689352426285</v>
      </c>
    </row>
    <row r="212" spans="3:9" ht="13.5" customHeight="1" x14ac:dyDescent="0.3"/>
    <row r="213" spans="3:9" ht="13.5" customHeight="1" x14ac:dyDescent="0.3"/>
    <row r="214" spans="3:9" ht="13.5" customHeight="1" x14ac:dyDescent="0.3">
      <c r="C214" s="50" t="s">
        <v>110</v>
      </c>
    </row>
    <row r="215" spans="3:9" ht="13.5" customHeight="1" x14ac:dyDescent="0.3"/>
    <row r="216" spans="3:9" ht="13.5" customHeight="1" x14ac:dyDescent="0.3">
      <c r="C216" s="53"/>
      <c r="D216" s="53"/>
      <c r="E216" s="465" t="s">
        <v>736</v>
      </c>
      <c r="F216" s="466"/>
      <c r="G216" s="466"/>
      <c r="H216" s="466"/>
      <c r="I216" s="466"/>
    </row>
    <row r="217" spans="3:9" ht="13.5" customHeight="1" x14ac:dyDescent="0.3">
      <c r="C217" s="53"/>
      <c r="D217" s="48">
        <f ca="1">'Operating Model'!AL348</f>
        <v>9283.2010030312485</v>
      </c>
      <c r="E217" s="54">
        <v>0.126</v>
      </c>
      <c r="F217" s="54">
        <v>0.06</v>
      </c>
      <c r="G217" s="54">
        <v>0.05</v>
      </c>
      <c r="H217" s="54">
        <v>2.5000000000000001E-2</v>
      </c>
      <c r="I217" s="54">
        <v>1.4999999999999999E-2</v>
      </c>
    </row>
    <row r="218" spans="3:9" ht="13.5" customHeight="1" x14ac:dyDescent="0.3">
      <c r="C218" s="467" t="s">
        <v>45</v>
      </c>
      <c r="D218" s="54">
        <v>0.95</v>
      </c>
      <c r="E218" s="55">
        <f t="dataTable" ref="E218:I223" dt2D="1" dtr="1" r1="D190" r2="D189" ca="1"/>
        <v>-5673.6837898491322</v>
      </c>
      <c r="F218" s="55">
        <v>22940.177330788207</v>
      </c>
      <c r="G218" s="55">
        <v>26760.317264954909</v>
      </c>
      <c r="H218" s="55">
        <v>36310.667100371676</v>
      </c>
      <c r="I218" s="55">
        <v>40130.807034538389</v>
      </c>
    </row>
    <row r="219" spans="3:9" ht="13.5" customHeight="1" x14ac:dyDescent="0.3">
      <c r="C219" s="468"/>
      <c r="D219" s="54">
        <v>0.9</v>
      </c>
      <c r="E219" s="55">
        <v>-16321.549828705036</v>
      </c>
      <c r="F219" s="55">
        <v>14298.280752872677</v>
      </c>
      <c r="G219" s="55">
        <v>18118.420687039379</v>
      </c>
      <c r="H219" s="55">
        <v>27668.770522456147</v>
      </c>
      <c r="I219" s="55">
        <v>31488.91045662286</v>
      </c>
    </row>
    <row r="220" spans="3:9" ht="13.5" customHeight="1" x14ac:dyDescent="0.3">
      <c r="C220" s="468"/>
      <c r="D220" s="54">
        <v>0.85</v>
      </c>
      <c r="E220" s="55">
        <v>-26776.885840929779</v>
      </c>
      <c r="F220" s="55">
        <v>4739.2686159455516</v>
      </c>
      <c r="G220" s="55">
        <v>9283.2010030312485</v>
      </c>
      <c r="H220" s="55">
        <v>19180.897965845539</v>
      </c>
      <c r="I220" s="55">
        <v>23001.037900012245</v>
      </c>
    </row>
    <row r="221" spans="3:9" ht="13.5" customHeight="1" x14ac:dyDescent="0.3">
      <c r="C221" s="468"/>
      <c r="D221" s="54">
        <v>0.8</v>
      </c>
      <c r="E221" s="55">
        <v>-37039.691826523209</v>
      </c>
      <c r="F221" s="55">
        <v>-5523.5373696478637</v>
      </c>
      <c r="G221" s="55">
        <v>-748.36245193948344</v>
      </c>
      <c r="H221" s="55">
        <v>10249.101187053919</v>
      </c>
      <c r="I221" s="55">
        <v>14227.844580390454</v>
      </c>
    </row>
    <row r="222" spans="3:9" ht="13.5" customHeight="1" x14ac:dyDescent="0.3">
      <c r="C222" s="468"/>
      <c r="D222" s="54">
        <v>0.7</v>
      </c>
      <c r="E222" s="55">
        <v>-56987.713717816427</v>
      </c>
      <c r="F222" s="55">
        <v>-25471.559260941096</v>
      </c>
      <c r="G222" s="55">
        <v>-20696.384343232719</v>
      </c>
      <c r="H222" s="55">
        <v>-8758.4470489617597</v>
      </c>
      <c r="I222" s="55">
        <v>-3983.2721312533722</v>
      </c>
    </row>
    <row r="223" spans="3:9" ht="13.5" customHeight="1" x14ac:dyDescent="0.3">
      <c r="C223" s="468"/>
      <c r="D223" s="54">
        <v>0.6</v>
      </c>
      <c r="E223" s="55">
        <v>-76165.615502584624</v>
      </c>
      <c r="F223" s="55">
        <v>-44649.461045709279</v>
      </c>
      <c r="G223" s="55">
        <v>-39874.286128000902</v>
      </c>
      <c r="H223" s="55">
        <v>-27936.348833729946</v>
      </c>
      <c r="I223" s="55">
        <v>-23161.173916021566</v>
      </c>
    </row>
    <row r="224" spans="3:9" ht="13.5" customHeight="1" x14ac:dyDescent="0.3"/>
    <row r="225" spans="3:9" ht="13.5" customHeight="1" x14ac:dyDescent="0.3"/>
    <row r="226" spans="3:9" ht="13.5" customHeight="1" x14ac:dyDescent="0.3">
      <c r="C226" s="50" t="s">
        <v>111</v>
      </c>
    </row>
    <row r="227" spans="3:9" ht="13.5" customHeight="1" x14ac:dyDescent="0.3"/>
    <row r="228" spans="3:9" ht="13.5" customHeight="1" x14ac:dyDescent="0.3">
      <c r="C228" s="53"/>
      <c r="D228" s="53"/>
      <c r="E228" s="465" t="s">
        <v>736</v>
      </c>
      <c r="F228" s="466"/>
      <c r="G228" s="466"/>
      <c r="H228" s="466"/>
      <c r="I228" s="466"/>
    </row>
    <row r="229" spans="3:9" ht="13.5" customHeight="1" x14ac:dyDescent="0.3">
      <c r="C229" s="53"/>
      <c r="D229" s="48">
        <f ca="1">'Operating Model'!AM348</f>
        <v>73876.511617586468</v>
      </c>
      <c r="E229" s="54">
        <v>0.126</v>
      </c>
      <c r="F229" s="54">
        <v>0.06</v>
      </c>
      <c r="G229" s="54">
        <v>0.05</v>
      </c>
      <c r="H229" s="54">
        <v>2.5000000000000001E-2</v>
      </c>
      <c r="I229" s="54">
        <v>1.4999999999999999E-2</v>
      </c>
    </row>
    <row r="230" spans="3:9" ht="13.5" customHeight="1" x14ac:dyDescent="0.3">
      <c r="C230" s="467" t="s">
        <v>45</v>
      </c>
      <c r="D230" s="54">
        <v>0.95</v>
      </c>
      <c r="E230" s="55">
        <f t="dataTable" ref="E230:I235" dt2D="1" dtr="1" r1="D190" r2="D189" ca="1"/>
        <v>87873.314092227112</v>
      </c>
      <c r="F230" s="55">
        <v>135431.78464577938</v>
      </c>
      <c r="G230" s="55">
        <v>142122.31994856955</v>
      </c>
      <c r="H230" s="55">
        <v>158848.65820554501</v>
      </c>
      <c r="I230" s="55">
        <v>165539.19350833519</v>
      </c>
    </row>
    <row r="231" spans="3:9" ht="13.5" customHeight="1" x14ac:dyDescent="0.3">
      <c r="C231" s="468"/>
      <c r="D231" s="54">
        <v>0.9</v>
      </c>
      <c r="E231" s="55">
        <v>51290.067376290819</v>
      </c>
      <c r="F231" s="55">
        <v>100854.50739078343</v>
      </c>
      <c r="G231" s="55">
        <v>107545.04269357363</v>
      </c>
      <c r="H231" s="55">
        <v>124271.38095054906</v>
      </c>
      <c r="I231" s="55">
        <v>130961.91625333927</v>
      </c>
    </row>
    <row r="232" spans="3:9" ht="13.5" customHeight="1" x14ac:dyDescent="0.3">
      <c r="C232" s="468"/>
      <c r="D232" s="54">
        <v>0.85</v>
      </c>
      <c r="E232" s="55">
        <v>16001.419972087049</v>
      </c>
      <c r="F232" s="55">
        <v>66462.183861877304</v>
      </c>
      <c r="G232" s="55">
        <v>73876.511617586468</v>
      </c>
      <c r="H232" s="55">
        <v>90950.197001959445</v>
      </c>
      <c r="I232" s="55">
        <v>97640.732304749632</v>
      </c>
    </row>
    <row r="233" spans="3:9" ht="13.5" customHeight="1" x14ac:dyDescent="0.3">
      <c r="C233" s="468"/>
      <c r="D233" s="54">
        <v>0.8</v>
      </c>
      <c r="E233" s="55">
        <v>-9743.0799335365082</v>
      </c>
      <c r="F233" s="55">
        <v>42421.747657432461</v>
      </c>
      <c r="G233" s="55">
        <v>50067.317943764312</v>
      </c>
      <c r="H233" s="55">
        <v>68240.770004316393</v>
      </c>
      <c r="I233" s="55">
        <v>75089.908766276407</v>
      </c>
    </row>
    <row r="234" spans="3:9" ht="13.5" customHeight="1" x14ac:dyDescent="0.3">
      <c r="C234" s="468"/>
      <c r="D234" s="54">
        <v>0.7</v>
      </c>
      <c r="E234" s="55">
        <v>-50931.719895734692</v>
      </c>
      <c r="F234" s="55">
        <v>4265.1963522842998</v>
      </c>
      <c r="G234" s="55">
        <v>12628.365480772016</v>
      </c>
      <c r="H234" s="55">
        <v>32049.399964924545</v>
      </c>
      <c r="I234" s="55">
        <v>39694.970251256411</v>
      </c>
    </row>
    <row r="235" spans="3:9" ht="13.5" customHeight="1" x14ac:dyDescent="0.3">
      <c r="C235" s="468"/>
      <c r="D235" s="54">
        <v>0.6</v>
      </c>
      <c r="E235" s="55">
        <v>-89055.896938812279</v>
      </c>
      <c r="F235" s="55">
        <v>-33858.980690793273</v>
      </c>
      <c r="G235" s="55">
        <v>-25495.811562305556</v>
      </c>
      <c r="H235" s="55">
        <v>-4587.888741086248</v>
      </c>
      <c r="I235" s="55">
        <v>3775.2803874014753</v>
      </c>
    </row>
    <row r="236" spans="3:9" ht="13.5" customHeight="1" x14ac:dyDescent="0.3"/>
    <row r="237" spans="3:9" ht="13.5" customHeight="1" x14ac:dyDescent="0.3"/>
    <row r="238" spans="3:9" ht="13.5" customHeight="1" x14ac:dyDescent="0.3">
      <c r="C238" s="51" t="s">
        <v>112</v>
      </c>
      <c r="D238" s="52">
        <v>0.06</v>
      </c>
    </row>
    <row r="239" spans="3:9" ht="13.5" customHeight="1" x14ac:dyDescent="0.3"/>
    <row r="240" spans="3:9" ht="13.5" customHeight="1" x14ac:dyDescent="0.3"/>
    <row r="241" spans="3:9" ht="13.5" customHeight="1" x14ac:dyDescent="0.3">
      <c r="C241" s="50" t="s">
        <v>114</v>
      </c>
    </row>
    <row r="242" spans="3:9" ht="13.5" customHeight="1" x14ac:dyDescent="0.3"/>
    <row r="243" spans="3:9" ht="13.5" customHeight="1" x14ac:dyDescent="0.3">
      <c r="C243" s="53"/>
      <c r="D243" s="53"/>
      <c r="E243" s="465" t="s">
        <v>113</v>
      </c>
      <c r="F243" s="466"/>
      <c r="G243" s="466"/>
      <c r="H243" s="466"/>
      <c r="I243" s="466"/>
    </row>
    <row r="244" spans="3:9" ht="13.5" customHeight="1" x14ac:dyDescent="0.3">
      <c r="C244" s="53"/>
      <c r="D244" s="48">
        <f ca="1">'Operating Model'!AK348</f>
        <v>17543.26270860765</v>
      </c>
      <c r="E244" s="54">
        <v>0.126</v>
      </c>
      <c r="F244" s="54">
        <v>0.06</v>
      </c>
      <c r="G244" s="54">
        <v>0.05</v>
      </c>
      <c r="H244" s="54">
        <v>2.5000000000000001E-2</v>
      </c>
      <c r="I244" s="54">
        <v>1.4999999999999999E-2</v>
      </c>
    </row>
    <row r="245" spans="3:9" ht="13.5" customHeight="1" x14ac:dyDescent="0.3">
      <c r="C245" s="467" t="s">
        <v>45</v>
      </c>
      <c r="D245" s="54">
        <v>0.95</v>
      </c>
      <c r="E245" s="55">
        <f t="dataTable" ref="E245:I250" dt2D="1" dtr="1" r1="D238" r2="D189" ca="1"/>
        <v>16903.015691965655</v>
      </c>
      <c r="F245" s="55">
        <v>23239.643864640238</v>
      </c>
      <c r="G245" s="55">
        <v>24195.25225718808</v>
      </c>
      <c r="H245" s="55">
        <v>26584.273238557664</v>
      </c>
      <c r="I245" s="55">
        <v>27539.881631105494</v>
      </c>
    </row>
    <row r="246" spans="3:9" ht="13.5" customHeight="1" x14ac:dyDescent="0.3">
      <c r="C246" s="468"/>
      <c r="D246" s="54">
        <v>0.9</v>
      </c>
      <c r="E246" s="55">
        <v>13630.578475965005</v>
      </c>
      <c r="F246" s="55">
        <v>20565.126850322729</v>
      </c>
      <c r="G246" s="55">
        <v>21514.699300774559</v>
      </c>
      <c r="H246" s="55">
        <v>23888.63042690411</v>
      </c>
      <c r="I246" s="55">
        <v>24838.202877355932</v>
      </c>
    </row>
    <row r="247" spans="3:9" ht="13.5" customHeight="1" x14ac:dyDescent="0.3">
      <c r="C247" s="468"/>
      <c r="D247" s="54">
        <v>0.85</v>
      </c>
      <c r="E247" s="55">
        <v>10358.14125996429</v>
      </c>
      <c r="F247" s="55">
        <v>17543.26270860765</v>
      </c>
      <c r="G247" s="55">
        <v>18631.917473553603</v>
      </c>
      <c r="H247" s="55">
        <v>21192.987615250506</v>
      </c>
      <c r="I247" s="55">
        <v>22136.524123606316</v>
      </c>
    </row>
    <row r="248" spans="3:9" ht="13.5" customHeight="1" x14ac:dyDescent="0.3">
      <c r="C248" s="468"/>
      <c r="D248" s="54">
        <v>0.8</v>
      </c>
      <c r="E248" s="55">
        <v>7085.7040439636003</v>
      </c>
      <c r="F248" s="55">
        <v>14221.635930276996</v>
      </c>
      <c r="G248" s="55">
        <v>15302.837731233547</v>
      </c>
      <c r="H248" s="55">
        <v>18005.842233624964</v>
      </c>
      <c r="I248" s="55">
        <v>19087.044034581515</v>
      </c>
    </row>
    <row r="249" spans="3:9" ht="13.5" customHeight="1" x14ac:dyDescent="0.3">
      <c r="C249" s="468"/>
      <c r="D249" s="54">
        <v>0.7</v>
      </c>
      <c r="E249" s="55">
        <v>540.82961196221004</v>
      </c>
      <c r="F249" s="55">
        <v>7578.382373615641</v>
      </c>
      <c r="G249" s="55">
        <v>8644.6782465934266</v>
      </c>
      <c r="H249" s="55">
        <v>11310.417929037874</v>
      </c>
      <c r="I249" s="55">
        <v>12376.713802015656</v>
      </c>
    </row>
    <row r="250" spans="3:9" ht="13.5" customHeight="1" x14ac:dyDescent="0.3">
      <c r="C250" s="468"/>
      <c r="D250" s="54">
        <v>0.6</v>
      </c>
      <c r="E250" s="55">
        <v>-6004.0448200391838</v>
      </c>
      <c r="F250" s="55">
        <v>935.1288169542895</v>
      </c>
      <c r="G250" s="55">
        <v>1986.518761953288</v>
      </c>
      <c r="H250" s="55">
        <v>4614.9936244507808</v>
      </c>
      <c r="I250" s="55">
        <v>5666.383569449783</v>
      </c>
    </row>
    <row r="251" spans="3:9" ht="13.5" customHeight="1" x14ac:dyDescent="0.3"/>
    <row r="252" spans="3:9" ht="13.5" customHeight="1" x14ac:dyDescent="0.3"/>
    <row r="253" spans="3:9" ht="13.5" customHeight="1" x14ac:dyDescent="0.3">
      <c r="C253" s="50" t="s">
        <v>115</v>
      </c>
    </row>
    <row r="254" spans="3:9" ht="13.5" customHeight="1" x14ac:dyDescent="0.3"/>
    <row r="255" spans="3:9" ht="13.5" customHeight="1" x14ac:dyDescent="0.3">
      <c r="C255" s="53"/>
      <c r="D255" s="53"/>
      <c r="E255" s="465" t="s">
        <v>113</v>
      </c>
      <c r="F255" s="466"/>
      <c r="G255" s="466"/>
      <c r="H255" s="466"/>
      <c r="I255" s="466"/>
    </row>
    <row r="256" spans="3:9" ht="13.5" customHeight="1" x14ac:dyDescent="0.3">
      <c r="C256" s="53"/>
      <c r="D256" s="48">
        <f ca="1">'Operating Model'!AL348</f>
        <v>9283.2010030312485</v>
      </c>
      <c r="E256" s="54">
        <v>0.126</v>
      </c>
      <c r="F256" s="54">
        <v>0.06</v>
      </c>
      <c r="G256" s="54">
        <v>0.05</v>
      </c>
      <c r="H256" s="54">
        <v>2.5000000000000001E-2</v>
      </c>
      <c r="I256" s="54">
        <v>1.4999999999999999E-2</v>
      </c>
    </row>
    <row r="257" spans="1:19" ht="13.5" customHeight="1" x14ac:dyDescent="0.3">
      <c r="C257" s="467" t="s">
        <v>45</v>
      </c>
      <c r="D257" s="54">
        <v>0.95</v>
      </c>
      <c r="E257" s="55">
        <f t="dataTable" ref="E257:I262" dt2D="1" dtr="1" r1="D238" r2="D189" ca="1"/>
        <v>13320.574334130168</v>
      </c>
      <c r="F257" s="55">
        <v>26760.317264954909</v>
      </c>
      <c r="G257" s="55">
        <v>28792.155166313376</v>
      </c>
      <c r="H257" s="55">
        <v>33871.749919709531</v>
      </c>
      <c r="I257" s="55">
        <v>35903.587821067995</v>
      </c>
    </row>
    <row r="258" spans="1:19" ht="13.5" customHeight="1" x14ac:dyDescent="0.3">
      <c r="C258" s="468"/>
      <c r="D258" s="54">
        <v>0.9</v>
      </c>
      <c r="E258" s="55">
        <v>3973.9450873806309</v>
      </c>
      <c r="F258" s="55">
        <v>18118.420687039379</v>
      </c>
      <c r="G258" s="55">
        <v>20129.995979615418</v>
      </c>
      <c r="H258" s="55">
        <v>25158.934211055483</v>
      </c>
      <c r="I258" s="55">
        <v>27170.509503631514</v>
      </c>
    </row>
    <row r="259" spans="1:19" ht="13.5" customHeight="1" x14ac:dyDescent="0.3">
      <c r="C259" s="468"/>
      <c r="D259" s="54">
        <v>0.85</v>
      </c>
      <c r="E259" s="55">
        <v>-6315.9545550012008</v>
      </c>
      <c r="F259" s="55">
        <v>9283.2010030312485</v>
      </c>
      <c r="G259" s="55">
        <v>11419.768087978628</v>
      </c>
      <c r="H259" s="55">
        <v>16600.619029679099</v>
      </c>
      <c r="I259" s="55">
        <v>18592.067858036335</v>
      </c>
    </row>
    <row r="260" spans="1:19" ht="13.5" customHeight="1" x14ac:dyDescent="0.3">
      <c r="C260" s="468"/>
      <c r="D260" s="54">
        <v>0.8</v>
      </c>
      <c r="E260" s="55">
        <v>-16414.447363401789</v>
      </c>
      <c r="F260" s="55">
        <v>-748.36245193948344</v>
      </c>
      <c r="G260" s="55">
        <v>1625.2867770699304</v>
      </c>
      <c r="H260" s="55">
        <v>7559.4098495935104</v>
      </c>
      <c r="I260" s="55">
        <v>9820.4615490074175</v>
      </c>
    </row>
    <row r="261" spans="1:19" ht="13.5" customHeight="1" x14ac:dyDescent="0.3">
      <c r="C261" s="468"/>
      <c r="D261" s="54">
        <v>0.7</v>
      </c>
      <c r="E261" s="55">
        <v>-36037.212478259527</v>
      </c>
      <c r="F261" s="55">
        <v>-20696.384343232719</v>
      </c>
      <c r="G261" s="55">
        <v>-18372.016443986238</v>
      </c>
      <c r="H261" s="55">
        <v>-12561.096695870059</v>
      </c>
      <c r="I261" s="55">
        <v>-10236.728796623582</v>
      </c>
    </row>
    <row r="262" spans="1:19" ht="13.5" customHeight="1" x14ac:dyDescent="0.3">
      <c r="C262" s="468"/>
      <c r="D262" s="54">
        <v>0.6</v>
      </c>
      <c r="E262" s="55">
        <v>-54894.350257192491</v>
      </c>
      <c r="F262" s="55">
        <v>-39874.286128000902</v>
      </c>
      <c r="G262" s="55">
        <v>-37598.518835699164</v>
      </c>
      <c r="H262" s="55">
        <v>-31909.100604944815</v>
      </c>
      <c r="I262" s="55">
        <v>-29633.333312643066</v>
      </c>
    </row>
    <row r="263" spans="1:19" ht="13.5" customHeight="1" x14ac:dyDescent="0.3"/>
    <row r="264" spans="1:19" ht="13.5" customHeight="1" x14ac:dyDescent="0.3"/>
    <row r="265" spans="1:19" ht="13.5" customHeight="1" x14ac:dyDescent="0.3"/>
    <row r="266" spans="1:19" ht="13.5" customHeight="1" x14ac:dyDescent="0.3"/>
    <row r="267" spans="1:19" ht="13.5" customHeight="1" x14ac:dyDescent="0.3">
      <c r="A267" s="2" t="s">
        <v>0</v>
      </c>
      <c r="B267" s="3" t="s">
        <v>687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3.5" customHeight="1" x14ac:dyDescent="0.3">
      <c r="D268" s="367">
        <f>'Operating Model'!AI436</f>
        <v>2026</v>
      </c>
      <c r="E268" s="367">
        <f>'Operating Model'!AJ436</f>
        <v>2027</v>
      </c>
      <c r="F268" s="367">
        <f>'Operating Model'!AK436</f>
        <v>2028</v>
      </c>
      <c r="G268" s="367">
        <f>'Operating Model'!AL436</f>
        <v>2029</v>
      </c>
      <c r="H268" s="367">
        <f>'Operating Model'!AM436</f>
        <v>2030</v>
      </c>
      <c r="I268" s="367">
        <f>'Operating Model'!AN436</f>
        <v>2031</v>
      </c>
      <c r="J268" s="367">
        <f>'Operating Model'!AO436</f>
        <v>2032</v>
      </c>
      <c r="K268" s="367">
        <f>'Operating Model'!AP436</f>
        <v>2033</v>
      </c>
      <c r="L268" s="367">
        <f>'Operating Model'!AQ436</f>
        <v>2034</v>
      </c>
      <c r="M268" s="367">
        <f>'Operating Model'!AR436</f>
        <v>2035</v>
      </c>
      <c r="N268" s="367">
        <f>'Operating Model'!AS436</f>
        <v>2036</v>
      </c>
      <c r="O268" s="367">
        <f>'Operating Model'!AT436</f>
        <v>2037</v>
      </c>
    </row>
    <row r="269" spans="1:19" ht="13.5" customHeight="1" x14ac:dyDescent="0.3">
      <c r="C269" s="7" t="s">
        <v>639</v>
      </c>
      <c r="D269" s="327">
        <f ca="1">'Operating Model'!AI427/1000</f>
        <v>33.109589687177575</v>
      </c>
      <c r="E269" s="327">
        <f ca="1">'Operating Model'!AJ427/1000</f>
        <v>-24.411518267009654</v>
      </c>
      <c r="F269" s="327">
        <f ca="1">'Operating Model'!AK427/1000</f>
        <v>30.35115581696239</v>
      </c>
      <c r="G269" s="327">
        <f ca="1">'Operating Model'!AL427/1000</f>
        <v>52.695600439420303</v>
      </c>
      <c r="H269" s="327">
        <f ca="1">'Operating Model'!AM427/1000</f>
        <v>89.003238836817388</v>
      </c>
      <c r="I269" s="327">
        <f ca="1">'Operating Model'!AN427/1000</f>
        <v>198.66125497344208</v>
      </c>
      <c r="J269" s="327">
        <f ca="1">'Operating Model'!AO427/1000</f>
        <v>220.68305197567389</v>
      </c>
      <c r="K269" s="327">
        <f ca="1">'Operating Model'!AP427/1000</f>
        <v>236.13073269024713</v>
      </c>
      <c r="L269" s="327">
        <f ca="1">'Operating Model'!AQ427/1000</f>
        <v>251.43831922719636</v>
      </c>
      <c r="M269" s="327">
        <f ca="1">'Operating Model'!AR427/1000</f>
        <v>266.45398906801239</v>
      </c>
      <c r="N269" s="327">
        <f ca="1">'Operating Model'!AS427/1000</f>
        <v>279.71158170886042</v>
      </c>
      <c r="O269" s="327">
        <f ca="1">'Operating Model'!AT427/1000</f>
        <v>293.59981366203687</v>
      </c>
    </row>
    <row r="270" spans="1:19" ht="13.5" customHeight="1" x14ac:dyDescent="0.3">
      <c r="C270" s="363" t="s">
        <v>688</v>
      </c>
      <c r="D270" s="327">
        <f ca="1">'Operating Model'!AI429/1000</f>
        <v>236.94808650843748</v>
      </c>
      <c r="E270" s="327">
        <f ca="1">'Operating Model'!AJ429/1000</f>
        <v>220.35257098613499</v>
      </c>
      <c r="F270" s="327">
        <f ca="1">'Operating Model'!AK429/1000</f>
        <v>285.91107181282234</v>
      </c>
      <c r="G270" s="327">
        <f ca="1">'Operating Model'!AL429/1000</f>
        <v>385.78374047427872</v>
      </c>
      <c r="H270" s="327">
        <f ca="1">'Operating Model'!AM429/1000</f>
        <v>509.60560173818891</v>
      </c>
      <c r="I270" s="327">
        <f ca="1">'Operating Model'!AN429/1000</f>
        <v>561.94464188362508</v>
      </c>
      <c r="J270" s="327">
        <f ca="1">'Operating Model'!AO429/1000</f>
        <v>606.90021323431517</v>
      </c>
      <c r="K270" s="327">
        <f ca="1">'Operating Model'!AP429/1000</f>
        <v>649.38322816071729</v>
      </c>
      <c r="L270" s="327">
        <f ca="1">'Operating Model'!AQ429/1000</f>
        <v>691.59313799116376</v>
      </c>
      <c r="M270" s="327">
        <f ca="1">'Operating Model'!AR429/1000</f>
        <v>733.08872627063363</v>
      </c>
      <c r="N270" s="327">
        <f ca="1">'Operating Model'!AS429/1000</f>
        <v>769.74316258416536</v>
      </c>
      <c r="O270" s="327">
        <f ca="1">'Operating Model'!AT429/1000</f>
        <v>808.23032071337354</v>
      </c>
    </row>
    <row r="271" spans="1:19" ht="13.5" customHeight="1" x14ac:dyDescent="0.3">
      <c r="C271" s="363" t="s">
        <v>689</v>
      </c>
      <c r="D271" s="327">
        <f ca="1">SUM('Operating Model'!AI431:AI433)/1000</f>
        <v>-339.70891864720676</v>
      </c>
      <c r="E271" s="327">
        <f ca="1">SUM('Operating Model'!AJ431:AJ433)/1000</f>
        <v>-372.43690357507325</v>
      </c>
      <c r="F271" s="327">
        <f ca="1">SUM('Operating Model'!AK431:AK433)/1000</f>
        <v>-373.9298981874739</v>
      </c>
      <c r="G271" s="327">
        <f ca="1">SUM('Operating Model'!AL431:AL433)/1000</f>
        <v>-401.20353049016711</v>
      </c>
      <c r="H271" s="327">
        <f ca="1">SUM('Operating Model'!AM431:AM433)/1000</f>
        <v>-365.42720671276186</v>
      </c>
      <c r="I271" s="327">
        <f ca="1">SUM('Operating Model'!AN431:AN433)/1000</f>
        <v>-235.24266116989222</v>
      </c>
      <c r="J271" s="327">
        <f ca="1">SUM('Operating Model'!AO431:AO433)/1000</f>
        <v>-88.256198062445421</v>
      </c>
      <c r="K271" s="327">
        <f ca="1">SUM('Operating Model'!AP431:AP433)/1000</f>
        <v>72.430958558752849</v>
      </c>
      <c r="L271" s="327">
        <f ca="1">SUM('Operating Model'!AQ431:AQ433)/1000</f>
        <v>253.06840611851936</v>
      </c>
      <c r="M271" s="327">
        <f ca="1">SUM('Operating Model'!AR431:AR433)/1000</f>
        <v>453.91687520134747</v>
      </c>
      <c r="N271" s="327">
        <f ca="1">SUM('Operating Model'!AS431:AS433)/1000</f>
        <v>667.93123860105004</v>
      </c>
      <c r="O271" s="327">
        <f ca="1">SUM('Operating Model'!AT431:AT433)/1000</f>
        <v>897.60448102178987</v>
      </c>
    </row>
    <row r="272" spans="1:19" ht="13.2" customHeight="1" x14ac:dyDescent="0.3">
      <c r="C272" s="5" t="s">
        <v>647</v>
      </c>
      <c r="D272" s="327">
        <f ca="1">'Operating Model'!AI434/1000</f>
        <v>-69.651242451591656</v>
      </c>
      <c r="E272" s="327">
        <f ca="1">'Operating Model'!AJ434/1000</f>
        <v>-176.49585085594788</v>
      </c>
      <c r="F272" s="327">
        <f ca="1">'Operating Model'!AK434/1000</f>
        <v>-57.667670557689156</v>
      </c>
      <c r="G272" s="327">
        <f ca="1">'Operating Model'!AL434/1000</f>
        <v>37.275810423531922</v>
      </c>
      <c r="H272" s="327">
        <f ca="1">'Operating Model'!AM434/1000</f>
        <v>233.1816338622445</v>
      </c>
      <c r="I272" s="327">
        <f ca="1">'Operating Model'!AN434/1000</f>
        <v>525.36323568717501</v>
      </c>
      <c r="J272" s="327">
        <f ca="1">'Operating Model'!AO434/1000</f>
        <v>739.32706714754363</v>
      </c>
      <c r="K272" s="327">
        <f ca="1">'Operating Model'!AP434/1000</f>
        <v>957.94491940971716</v>
      </c>
      <c r="L272" s="327">
        <f ca="1">'Operating Model'!AQ434/1000</f>
        <v>1196.0998633368795</v>
      </c>
      <c r="M272" s="327">
        <f ca="1">'Operating Model'!AR434/1000</f>
        <v>1453.4595905399935</v>
      </c>
      <c r="N272" s="327">
        <f ca="1">'Operating Model'!AS434/1000</f>
        <v>1717.3859828940756</v>
      </c>
      <c r="O272" s="327">
        <f ca="1">'Operating Model'!AT434/1000</f>
        <v>1999.4346153972003</v>
      </c>
    </row>
    <row r="273" spans="3:15" ht="13.5" customHeight="1" x14ac:dyDescent="0.3">
      <c r="C273" s="5" t="s">
        <v>653</v>
      </c>
      <c r="D273" s="327">
        <f ca="1">'Operating Model'!AI437/1000</f>
        <v>-69.651242451591656</v>
      </c>
      <c r="E273" s="327">
        <f ca="1">'Operating Model'!AJ437/1000</f>
        <v>-176.49585085594788</v>
      </c>
      <c r="F273" s="327">
        <f ca="1">'Operating Model'!AK437/1000</f>
        <v>-57.667670557689156</v>
      </c>
      <c r="G273" s="327">
        <f ca="1">'Operating Model'!AL437/1000</f>
        <v>37.275810423531922</v>
      </c>
      <c r="H273" s="327">
        <f ca="1">'Operating Model'!AM437/1000</f>
        <v>233.1816338622445</v>
      </c>
      <c r="I273" s="327">
        <f ca="1">'Operating Model'!AN437/1000</f>
        <v>525.36323568717501</v>
      </c>
      <c r="J273" s="327">
        <f ca="1">'Operating Model'!AO437/1000</f>
        <v>739.32706714754363</v>
      </c>
      <c r="K273" s="327">
        <f ca="1">'Operating Model'!AP437/1000</f>
        <v>957.94491940971716</v>
      </c>
      <c r="L273" s="327">
        <f ca="1">'Operating Model'!AQ437/1000</f>
        <v>1196.0998633368795</v>
      </c>
      <c r="M273" s="327">
        <f ca="1">'Operating Model'!AR437/1000</f>
        <v>1453.4595905399935</v>
      </c>
      <c r="N273" s="327">
        <f ca="1">'Operating Model'!AS437/1000</f>
        <v>1717.3859828940756</v>
      </c>
      <c r="O273" s="327">
        <f ca="1">'Operating Model'!AT437/1000</f>
        <v>1999.4346153972003</v>
      </c>
    </row>
    <row r="274" spans="3:15" ht="13.5" customHeight="1" x14ac:dyDescent="0.3">
      <c r="C274" s="5" t="s">
        <v>652</v>
      </c>
      <c r="D274" s="365" t="str">
        <f ca="1">'Operating Model'!AI439</f>
        <v>-</v>
      </c>
      <c r="E274" s="365" t="str">
        <f ca="1">'Operating Model'!AJ439</f>
        <v>-</v>
      </c>
      <c r="F274" s="365" t="str">
        <f ca="1">'Operating Model'!AK439</f>
        <v>-</v>
      </c>
      <c r="G274" s="365">
        <f ca="1">'Operating Model'!AL439</f>
        <v>0.58948280106322692</v>
      </c>
      <c r="H274" s="365">
        <f ca="1">'Operating Model'!AM439</f>
        <v>3.6875539692851445</v>
      </c>
      <c r="I274" s="365">
        <f ca="1">'Operating Model'!AN439</f>
        <v>8.3081383940350158</v>
      </c>
      <c r="J274" s="365">
        <f ca="1">'Operating Model'!AO439</f>
        <v>11.691780419852776</v>
      </c>
      <c r="K274" s="365">
        <f ca="1">'Operating Model'!AP439</f>
        <v>15.149021522049638</v>
      </c>
      <c r="L274" s="365">
        <f ca="1">'Operating Model'!AQ439</f>
        <v>18.915223834974093</v>
      </c>
      <c r="M274" s="365">
        <f ca="1">'Operating Model'!AR439</f>
        <v>22.985132205813613</v>
      </c>
      <c r="N274" s="365">
        <f ca="1">'Operating Model'!AS439</f>
        <v>27.158886371629954</v>
      </c>
      <c r="O274" s="365">
        <f ca="1">'Operating Model'!AT439</f>
        <v>31.619227167306775</v>
      </c>
    </row>
    <row r="275" spans="3:15" ht="13.5" customHeight="1" x14ac:dyDescent="0.3">
      <c r="C275" s="5" t="s">
        <v>336</v>
      </c>
      <c r="D275" s="366" t="str">
        <f ca="1">'Operating Model'!AI440</f>
        <v>-</v>
      </c>
      <c r="E275" s="366" t="str">
        <f ca="1">'Operating Model'!AJ440</f>
        <v>-</v>
      </c>
      <c r="F275" s="366" t="str">
        <f ca="1">'Operating Model'!AK440</f>
        <v>-</v>
      </c>
      <c r="G275" s="366">
        <f ca="1">'Operating Model'!AL440</f>
        <v>-0.14656665260237856</v>
      </c>
      <c r="H275" s="366">
        <f ca="1">'Operating Model'!AM440</f>
        <v>0.35128583946681879</v>
      </c>
      <c r="I275" s="366">
        <f ca="1">'Operating Model'!AN440</f>
        <v>0.48719395861854542</v>
      </c>
      <c r="J275" s="366">
        <f ca="1">'Operating Model'!AO440</f>
        <v>0.47426164257645609</v>
      </c>
      <c r="K275" s="366">
        <f ca="1">'Operating Model'!AP440</f>
        <v>0.44854333647348366</v>
      </c>
      <c r="L275" s="366">
        <f ca="1">'Operating Model'!AQ440</f>
        <v>0.42296147814569385</v>
      </c>
      <c r="M275" s="366">
        <f ca="1">'Operating Model'!AR440</f>
        <v>0.39910192347793583</v>
      </c>
      <c r="N275" s="366">
        <f ca="1">'Operating Model'!AS440</f>
        <v>0.37640656960471186</v>
      </c>
      <c r="O275" s="366">
        <f ca="1">'Operating Model'!AT440</f>
        <v>0.35622784160758414</v>
      </c>
    </row>
    <row r="276" spans="3:15" ht="13.5" customHeight="1" x14ac:dyDescent="0.3"/>
    <row r="277" spans="3:15" ht="13.5" customHeight="1" x14ac:dyDescent="0.3"/>
    <row r="278" spans="3:15" ht="13.5" customHeight="1" x14ac:dyDescent="0.3"/>
    <row r="279" spans="3:15" ht="13.5" customHeight="1" x14ac:dyDescent="0.3"/>
    <row r="280" spans="3:15" ht="13.5" customHeight="1" x14ac:dyDescent="0.3">
      <c r="D280" s="367">
        <f>D268</f>
        <v>2026</v>
      </c>
      <c r="E280" s="367">
        <f t="shared" ref="E280:O280" si="32">E268</f>
        <v>2027</v>
      </c>
      <c r="F280" s="367">
        <f t="shared" si="32"/>
        <v>2028</v>
      </c>
      <c r="G280" s="367">
        <f t="shared" si="32"/>
        <v>2029</v>
      </c>
      <c r="H280" s="367">
        <f t="shared" si="32"/>
        <v>2030</v>
      </c>
      <c r="I280" s="367">
        <f t="shared" si="32"/>
        <v>2031</v>
      </c>
      <c r="J280" s="367">
        <f t="shared" si="32"/>
        <v>2032</v>
      </c>
      <c r="K280" s="367">
        <f t="shared" si="32"/>
        <v>2033</v>
      </c>
      <c r="L280" s="367">
        <f t="shared" si="32"/>
        <v>2034</v>
      </c>
      <c r="M280" s="367">
        <f t="shared" si="32"/>
        <v>2035</v>
      </c>
      <c r="N280" s="367">
        <f t="shared" si="32"/>
        <v>2036</v>
      </c>
      <c r="O280" s="367">
        <f t="shared" si="32"/>
        <v>2037</v>
      </c>
    </row>
    <row r="281" spans="3:15" ht="13.5" customHeight="1" x14ac:dyDescent="0.3">
      <c r="C281" s="7" t="s">
        <v>639</v>
      </c>
      <c r="D281" s="327">
        <f ca="1">'Operating Model'!AI427/1000</f>
        <v>33.109589687177575</v>
      </c>
      <c r="E281" s="327">
        <f ca="1">'Operating Model'!AJ427/1000</f>
        <v>-24.411518267009654</v>
      </c>
      <c r="F281" s="327">
        <f ca="1">'Operating Model'!AK427/1000</f>
        <v>30.35115581696239</v>
      </c>
      <c r="G281" s="327">
        <f ca="1">'Operating Model'!AL427/1000</f>
        <v>52.695600439420303</v>
      </c>
      <c r="H281" s="327">
        <f ca="1">'Operating Model'!AM427/1000</f>
        <v>89.003238836817388</v>
      </c>
      <c r="I281" s="327">
        <f ca="1">'Operating Model'!AN427/1000</f>
        <v>198.66125497344208</v>
      </c>
      <c r="J281" s="327">
        <f ca="1">'Operating Model'!AO427/1000</f>
        <v>220.68305197567389</v>
      </c>
      <c r="K281" s="327">
        <f ca="1">'Operating Model'!AP427/1000</f>
        <v>236.13073269024713</v>
      </c>
      <c r="L281" s="327">
        <f ca="1">'Operating Model'!AQ427/1000</f>
        <v>251.43831922719636</v>
      </c>
      <c r="M281" s="327">
        <f ca="1">'Operating Model'!AR427/1000</f>
        <v>266.45398906801239</v>
      </c>
      <c r="N281" s="327">
        <f ca="1">'Operating Model'!AS427/1000</f>
        <v>279.71158170886042</v>
      </c>
      <c r="O281" s="327">
        <f ca="1">'Operating Model'!AT427/1000</f>
        <v>293.59981366203687</v>
      </c>
    </row>
    <row r="282" spans="3:15" ht="13.5" customHeight="1" x14ac:dyDescent="0.3">
      <c r="C282" s="363" t="s">
        <v>688</v>
      </c>
      <c r="D282" s="327">
        <f ca="1">'Operating Model'!AI429/1000</f>
        <v>236.94808650843748</v>
      </c>
      <c r="E282" s="327">
        <f ca="1">'Operating Model'!AJ429/1000</f>
        <v>220.35257098613499</v>
      </c>
      <c r="F282" s="327">
        <f ca="1">'Operating Model'!AK429/1000</f>
        <v>285.91107181282234</v>
      </c>
      <c r="G282" s="327">
        <f ca="1">'Operating Model'!AL429/1000</f>
        <v>385.78374047427872</v>
      </c>
      <c r="H282" s="327">
        <f ca="1">'Operating Model'!AM429/1000</f>
        <v>509.60560173818891</v>
      </c>
      <c r="I282" s="327">
        <f ca="1">'Operating Model'!AN429/1000</f>
        <v>561.94464188362508</v>
      </c>
      <c r="J282" s="327">
        <f ca="1">'Operating Model'!AO429/1000</f>
        <v>606.90021323431517</v>
      </c>
      <c r="K282" s="327">
        <f ca="1">'Operating Model'!AP429/1000</f>
        <v>649.38322816071729</v>
      </c>
      <c r="L282" s="327">
        <f ca="1">'Operating Model'!AQ429/1000</f>
        <v>691.59313799116376</v>
      </c>
      <c r="M282" s="327">
        <f ca="1">'Operating Model'!AR429/1000</f>
        <v>733.08872627063363</v>
      </c>
      <c r="N282" s="327">
        <f ca="1">'Operating Model'!AS429/1000</f>
        <v>769.74316258416536</v>
      </c>
      <c r="O282" s="327">
        <f ca="1">'Operating Model'!AT429/1000</f>
        <v>808.23032071337354</v>
      </c>
    </row>
    <row r="283" spans="3:15" ht="13.5" customHeight="1" x14ac:dyDescent="0.3">
      <c r="C283" s="363" t="s">
        <v>689</v>
      </c>
      <c r="D283" s="327">
        <f ca="1">SUM('Operating Model'!AI431:AI433)/1000</f>
        <v>-339.70891864720676</v>
      </c>
      <c r="E283" s="327">
        <f ca="1">SUM('Operating Model'!AJ431:AJ433)/1000</f>
        <v>-372.43690357507325</v>
      </c>
      <c r="F283" s="327">
        <f ca="1">SUM('Operating Model'!AK431:AK433)/1000</f>
        <v>-373.9298981874739</v>
      </c>
      <c r="G283" s="327">
        <f ca="1">SUM('Operating Model'!AL431:AL433)/1000</f>
        <v>-401.20353049016711</v>
      </c>
      <c r="H283" s="327">
        <f ca="1">SUM('Operating Model'!AM431:AM433)/1000</f>
        <v>-365.42720671276186</v>
      </c>
      <c r="I283" s="327">
        <f ca="1">SUM('Operating Model'!AN431:AN433)/1000</f>
        <v>-235.24266116989222</v>
      </c>
      <c r="J283" s="327">
        <f ca="1">SUM('Operating Model'!AO431:AO433)/1000</f>
        <v>-88.256198062445421</v>
      </c>
      <c r="K283" s="327">
        <f ca="1">SUM('Operating Model'!AP431:AP433)/1000</f>
        <v>72.430958558752849</v>
      </c>
      <c r="L283" s="327">
        <f ca="1">SUM('Operating Model'!AQ431:AQ433)/1000</f>
        <v>253.06840611851936</v>
      </c>
      <c r="M283" s="327">
        <f ca="1">SUM('Operating Model'!AR431:AR433)/1000</f>
        <v>453.91687520134747</v>
      </c>
      <c r="N283" s="327">
        <f ca="1">SUM('Operating Model'!AS431:AS433)/1000</f>
        <v>667.93123860105004</v>
      </c>
      <c r="O283" s="327">
        <f ca="1">SUM('Operating Model'!AT431:AT433)/1000</f>
        <v>897.60448102178987</v>
      </c>
    </row>
    <row r="284" spans="3:15" ht="13.5" customHeight="1" x14ac:dyDescent="0.3">
      <c r="C284" s="5" t="s">
        <v>647</v>
      </c>
      <c r="D284" s="327">
        <f ca="1">'Operating Model'!AI434/1000</f>
        <v>-69.651242451591656</v>
      </c>
      <c r="E284" s="327">
        <f ca="1">'Operating Model'!AJ434/1000</f>
        <v>-176.49585085594788</v>
      </c>
      <c r="F284" s="327">
        <f ca="1">'Operating Model'!AK434/1000</f>
        <v>-57.667670557689156</v>
      </c>
      <c r="G284" s="327">
        <f ca="1">'Operating Model'!AL434/1000</f>
        <v>37.275810423531922</v>
      </c>
      <c r="H284" s="327">
        <f ca="1">'Operating Model'!AM434/1000</f>
        <v>233.1816338622445</v>
      </c>
      <c r="I284" s="327">
        <f ca="1">'Operating Model'!AN434/1000</f>
        <v>525.36323568717501</v>
      </c>
      <c r="J284" s="327">
        <f ca="1">'Operating Model'!AO434/1000</f>
        <v>739.32706714754363</v>
      </c>
      <c r="K284" s="327">
        <f ca="1">'Operating Model'!AP434/1000</f>
        <v>957.94491940971716</v>
      </c>
      <c r="L284" s="327">
        <f ca="1">'Operating Model'!AQ434/1000</f>
        <v>1196.0998633368795</v>
      </c>
      <c r="M284" s="327">
        <f ca="1">'Operating Model'!AR434/1000</f>
        <v>1453.4595905399935</v>
      </c>
      <c r="N284" s="327">
        <f ca="1">'Operating Model'!AS434/1000</f>
        <v>1717.3859828940756</v>
      </c>
      <c r="O284" s="327">
        <f ca="1">'Operating Model'!AT434/1000</f>
        <v>1999.4346153972003</v>
      </c>
    </row>
    <row r="285" spans="3:15" ht="13.5" customHeight="1" x14ac:dyDescent="0.3">
      <c r="C285" s="5" t="s">
        <v>653</v>
      </c>
      <c r="D285" s="327">
        <f ca="1">'Operating Model'!AI437/1000</f>
        <v>-69.651242451591656</v>
      </c>
      <c r="E285" s="327">
        <f ca="1">'Operating Model'!AJ437/1000</f>
        <v>-176.49585085594788</v>
      </c>
      <c r="F285" s="327">
        <f ca="1">'Operating Model'!AK437/1000</f>
        <v>-57.667670557689156</v>
      </c>
      <c r="G285" s="327">
        <f ca="1">'Operating Model'!AL437/1000</f>
        <v>37.275810423531922</v>
      </c>
      <c r="H285" s="327">
        <f ca="1">'Operating Model'!AM437/1000</f>
        <v>233.1816338622445</v>
      </c>
      <c r="I285" s="327">
        <f ca="1">'Operating Model'!AN437/1000</f>
        <v>525.36323568717501</v>
      </c>
      <c r="J285" s="327">
        <f ca="1">'Operating Model'!AO437/1000</f>
        <v>739.32706714754363</v>
      </c>
      <c r="K285" s="327">
        <f ca="1">'Operating Model'!AP437/1000</f>
        <v>957.94491940971716</v>
      </c>
      <c r="L285" s="327">
        <f ca="1">'Operating Model'!AQ437/1000</f>
        <v>1196.0998633368795</v>
      </c>
      <c r="M285" s="327">
        <f ca="1">'Operating Model'!AR437/1000</f>
        <v>1453.4595905399935</v>
      </c>
      <c r="N285" s="327">
        <f ca="1">'Operating Model'!AS437/1000</f>
        <v>1717.3859828940756</v>
      </c>
      <c r="O285" s="327">
        <f ca="1">'Operating Model'!AT437/1000</f>
        <v>1999.4346153972003</v>
      </c>
    </row>
    <row r="286" spans="3:15" ht="13.5" customHeight="1" x14ac:dyDescent="0.3">
      <c r="C286" s="5" t="s">
        <v>336</v>
      </c>
      <c r="D286" s="366" t="str">
        <f ca="1">IF('Operating Model'!AI440&lt;0,0%,'Operating Model'!AI440)</f>
        <v>-</v>
      </c>
      <c r="E286" s="366" t="str">
        <f ca="1">IF('Operating Model'!AJ440&lt;0,0%,'Operating Model'!AJ440)</f>
        <v>-</v>
      </c>
      <c r="F286" s="366" t="str">
        <f ca="1">IF('Operating Model'!AK440&lt;0,0%,'Operating Model'!AK440)</f>
        <v>-</v>
      </c>
      <c r="G286" s="366">
        <f ca="1">IF('Operating Model'!AL440&lt;0,0%,'Operating Model'!AL440)</f>
        <v>0</v>
      </c>
      <c r="H286" s="366">
        <f ca="1">IF('Operating Model'!AM440&lt;0,0%,'Operating Model'!AM440)</f>
        <v>0.35128583946681879</v>
      </c>
      <c r="I286" s="366">
        <f ca="1">IF('Operating Model'!AN440&lt;0,0%,'Operating Model'!AN440)</f>
        <v>0.48719395861854542</v>
      </c>
      <c r="J286" s="366">
        <f ca="1">IF('Operating Model'!AO440&lt;0,0%,'Operating Model'!AO440)</f>
        <v>0.47426164257645609</v>
      </c>
      <c r="K286" s="366">
        <f ca="1">IF('Operating Model'!AP440&lt;0,0%,'Operating Model'!AP440)</f>
        <v>0.44854333647348366</v>
      </c>
      <c r="L286" s="366">
        <f ca="1">IF('Operating Model'!AQ440&lt;0,0%,'Operating Model'!AQ440)</f>
        <v>0.42296147814569385</v>
      </c>
      <c r="M286" s="366">
        <f ca="1">IF('Operating Model'!AR440&lt;0,0%,'Operating Model'!AR440)</f>
        <v>0.39910192347793583</v>
      </c>
      <c r="N286" s="366">
        <f ca="1">IF('Operating Model'!AS440&lt;0,0%,'Operating Model'!AS440)</f>
        <v>0.37640656960471186</v>
      </c>
      <c r="O286" s="366">
        <f ca="1">IF('Operating Model'!AT440&lt;0,0%,'Operating Model'!AT440)</f>
        <v>0.35622784160758414</v>
      </c>
    </row>
    <row r="287" spans="3:15" ht="13.5" customHeight="1" x14ac:dyDescent="0.3"/>
    <row r="288" spans="3:15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</sheetData>
  <mergeCells count="17">
    <mergeCell ref="E255:I255"/>
    <mergeCell ref="C206:C211"/>
    <mergeCell ref="C218:C223"/>
    <mergeCell ref="C245:C250"/>
    <mergeCell ref="C257:C262"/>
    <mergeCell ref="E216:I216"/>
    <mergeCell ref="E228:I228"/>
    <mergeCell ref="C230:C235"/>
    <mergeCell ref="E243:I243"/>
    <mergeCell ref="B6:R6"/>
    <mergeCell ref="E192:I192"/>
    <mergeCell ref="C194:C199"/>
    <mergeCell ref="E204:I204"/>
    <mergeCell ref="C185:I185"/>
    <mergeCell ref="C53:C54"/>
    <mergeCell ref="E53:E54"/>
    <mergeCell ref="F53:I53"/>
  </mergeCells>
  <conditionalFormatting sqref="E194:I19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06:I21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18:I2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30:I23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45:I25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57:I26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0:O50">
    <cfRule type="colorScale" priority="17">
      <colorScale>
        <cfvo type="min"/>
        <cfvo type="max"/>
        <color rgb="FFFF7128"/>
        <color rgb="FFFFEF9C"/>
      </colorScale>
    </cfRule>
  </conditionalFormatting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F735F-4E91-49A9-89B0-503AEA3BD133}">
  <sheetPr>
    <tabColor theme="9" tint="-0.499984740745262"/>
  </sheetPr>
  <dimension ref="A1:H78"/>
  <sheetViews>
    <sheetView tabSelected="1" topLeftCell="A51" zoomScale="70" zoomScaleNormal="70" workbookViewId="0">
      <selection activeCell="H71" sqref="H71"/>
    </sheetView>
  </sheetViews>
  <sheetFormatPr defaultRowHeight="13.8" x14ac:dyDescent="0.3"/>
  <cols>
    <col min="1" max="1" width="5.109375" customWidth="1"/>
    <col min="2" max="2" width="4.5546875" customWidth="1"/>
    <col min="3" max="3" width="75.109375" customWidth="1"/>
    <col min="4" max="4" width="14.109375" customWidth="1"/>
    <col min="6" max="6" width="11.44140625" bestFit="1" customWidth="1"/>
    <col min="7" max="7" width="11.88671875" customWidth="1"/>
    <col min="8" max="8" width="11" bestFit="1" customWidth="1"/>
  </cols>
  <sheetData>
    <row r="1" spans="2:6" ht="22.8" x14ac:dyDescent="0.4">
      <c r="B1" s="1" t="s">
        <v>748</v>
      </c>
    </row>
    <row r="3" spans="2:6" x14ac:dyDescent="0.3">
      <c r="B3" s="425" t="s">
        <v>697</v>
      </c>
      <c r="D3" s="355"/>
      <c r="F3" s="64"/>
    </row>
    <row r="4" spans="2:6" x14ac:dyDescent="0.3">
      <c r="B4" s="352" t="s">
        <v>695</v>
      </c>
      <c r="C4" s="406"/>
      <c r="D4" s="407" t="s">
        <v>87</v>
      </c>
      <c r="F4" s="403">
        <v>550000</v>
      </c>
    </row>
    <row r="5" spans="2:6" x14ac:dyDescent="0.3">
      <c r="B5" s="352" t="s">
        <v>696</v>
      </c>
      <c r="C5" s="406"/>
      <c r="D5" s="407" t="s">
        <v>87</v>
      </c>
      <c r="F5" s="403">
        <v>650000</v>
      </c>
    </row>
    <row r="6" spans="2:6" x14ac:dyDescent="0.3">
      <c r="B6" s="352" t="s">
        <v>708</v>
      </c>
      <c r="C6" s="406"/>
      <c r="D6" s="407" t="s">
        <v>699</v>
      </c>
      <c r="F6" s="404">
        <f>1/15</f>
        <v>6.6666666666666666E-2</v>
      </c>
    </row>
    <row r="7" spans="2:6" x14ac:dyDescent="0.3">
      <c r="B7" s="352" t="s">
        <v>742</v>
      </c>
      <c r="C7" s="406"/>
      <c r="D7" s="407" t="s">
        <v>743</v>
      </c>
      <c r="F7" s="403">
        <v>10</v>
      </c>
    </row>
    <row r="8" spans="2:6" x14ac:dyDescent="0.3">
      <c r="B8" s="352" t="s">
        <v>724</v>
      </c>
      <c r="C8" s="406"/>
      <c r="D8" s="407" t="s">
        <v>619</v>
      </c>
      <c r="F8" s="403">
        <f>F7*F42</f>
        <v>3000</v>
      </c>
    </row>
    <row r="9" spans="2:6" x14ac:dyDescent="0.3">
      <c r="B9" s="352" t="s">
        <v>127</v>
      </c>
      <c r="C9" s="406"/>
      <c r="D9" s="407"/>
      <c r="F9" s="405">
        <v>1</v>
      </c>
    </row>
    <row r="10" spans="2:6" x14ac:dyDescent="0.3">
      <c r="B10" s="352" t="s">
        <v>129</v>
      </c>
      <c r="C10" s="406"/>
      <c r="D10" s="407"/>
      <c r="F10" s="405">
        <v>1</v>
      </c>
    </row>
    <row r="11" spans="2:6" x14ac:dyDescent="0.3">
      <c r="B11" s="352" t="s">
        <v>130</v>
      </c>
      <c r="C11" s="406"/>
      <c r="D11" s="407"/>
      <c r="F11" s="405">
        <v>1</v>
      </c>
    </row>
    <row r="13" spans="2:6" x14ac:dyDescent="0.3">
      <c r="B13" s="369" t="s">
        <v>709</v>
      </c>
    </row>
    <row r="15" spans="2:6" x14ac:dyDescent="0.3">
      <c r="B15" s="410" t="s">
        <v>3</v>
      </c>
      <c r="C15" s="406"/>
      <c r="D15" s="406"/>
      <c r="F15" s="406"/>
    </row>
    <row r="16" spans="2:6" x14ac:dyDescent="0.3">
      <c r="B16" s="406"/>
      <c r="C16" s="408" t="s">
        <v>710</v>
      </c>
      <c r="D16" s="408" t="s">
        <v>10</v>
      </c>
      <c r="F16" s="438">
        <f>Output!D190</f>
        <v>0.05</v>
      </c>
    </row>
    <row r="17" spans="2:6" x14ac:dyDescent="0.3">
      <c r="B17" s="406"/>
      <c r="C17" s="408" t="s">
        <v>712</v>
      </c>
      <c r="D17" s="408" t="s">
        <v>12</v>
      </c>
      <c r="F17" s="403">
        <v>10</v>
      </c>
    </row>
    <row r="18" spans="2:6" x14ac:dyDescent="0.3">
      <c r="B18" s="406"/>
      <c r="C18" s="408" t="s">
        <v>712</v>
      </c>
      <c r="D18" s="408" t="s">
        <v>361</v>
      </c>
      <c r="F18" s="437">
        <f>F17*12</f>
        <v>120</v>
      </c>
    </row>
    <row r="19" spans="2:6" x14ac:dyDescent="0.3">
      <c r="B19" s="406"/>
      <c r="C19" s="408" t="s">
        <v>469</v>
      </c>
      <c r="D19" s="408" t="s">
        <v>12</v>
      </c>
      <c r="F19" s="403">
        <v>2</v>
      </c>
    </row>
    <row r="20" spans="2:6" x14ac:dyDescent="0.3">
      <c r="B20" s="406"/>
      <c r="C20" s="408" t="s">
        <v>716</v>
      </c>
      <c r="D20" s="408" t="s">
        <v>10</v>
      </c>
      <c r="F20" s="409">
        <v>0.9</v>
      </c>
    </row>
    <row r="22" spans="2:6" x14ac:dyDescent="0.3">
      <c r="B22" s="410" t="s">
        <v>711</v>
      </c>
      <c r="C22" s="406"/>
      <c r="D22" s="406"/>
      <c r="F22" s="406"/>
    </row>
    <row r="23" spans="2:6" x14ac:dyDescent="0.3">
      <c r="B23" s="406"/>
      <c r="C23" s="408" t="s">
        <v>710</v>
      </c>
      <c r="D23" s="408" t="s">
        <v>10</v>
      </c>
      <c r="F23" s="436">
        <v>0.05</v>
      </c>
    </row>
    <row r="24" spans="2:6" x14ac:dyDescent="0.3">
      <c r="B24" s="406"/>
      <c r="C24" s="408" t="s">
        <v>712</v>
      </c>
      <c r="D24" s="408" t="s">
        <v>12</v>
      </c>
      <c r="F24" s="403">
        <v>10</v>
      </c>
    </row>
    <row r="25" spans="2:6" x14ac:dyDescent="0.3">
      <c r="B25" s="406"/>
      <c r="C25" s="408" t="s">
        <v>712</v>
      </c>
      <c r="D25" s="408" t="s">
        <v>361</v>
      </c>
      <c r="F25" s="437">
        <f>F24*12</f>
        <v>120</v>
      </c>
    </row>
    <row r="26" spans="2:6" x14ac:dyDescent="0.3">
      <c r="B26" s="406"/>
      <c r="C26" s="408" t="s">
        <v>469</v>
      </c>
      <c r="D26" s="408" t="s">
        <v>12</v>
      </c>
      <c r="F26" s="403">
        <v>2</v>
      </c>
    </row>
    <row r="27" spans="2:6" x14ac:dyDescent="0.3">
      <c r="B27" s="406"/>
      <c r="C27" s="408" t="s">
        <v>716</v>
      </c>
      <c r="D27" s="408" t="s">
        <v>10</v>
      </c>
      <c r="F27" s="409">
        <v>0.9</v>
      </c>
    </row>
    <row r="29" spans="2:6" x14ac:dyDescent="0.3">
      <c r="B29" s="410" t="s">
        <v>137</v>
      </c>
      <c r="C29" s="406"/>
      <c r="D29" s="406"/>
      <c r="F29" s="406"/>
    </row>
    <row r="30" spans="2:6" x14ac:dyDescent="0.3">
      <c r="B30" s="406"/>
      <c r="C30" s="408" t="s">
        <v>710</v>
      </c>
      <c r="D30" s="408" t="s">
        <v>10</v>
      </c>
      <c r="F30" s="436">
        <v>0.06</v>
      </c>
    </row>
    <row r="31" spans="2:6" x14ac:dyDescent="0.3">
      <c r="B31" s="406"/>
      <c r="C31" s="408" t="s">
        <v>712</v>
      </c>
      <c r="D31" s="408" t="s">
        <v>12</v>
      </c>
      <c r="F31" s="406">
        <f>F32/12</f>
        <v>1.25</v>
      </c>
    </row>
    <row r="32" spans="2:6" x14ac:dyDescent="0.3">
      <c r="B32" s="406"/>
      <c r="C32" s="408" t="s">
        <v>712</v>
      </c>
      <c r="D32" s="408" t="s">
        <v>361</v>
      </c>
      <c r="F32" s="406">
        <v>15</v>
      </c>
    </row>
    <row r="33" spans="2:8" x14ac:dyDescent="0.3">
      <c r="B33" s="406"/>
      <c r="C33" s="408" t="s">
        <v>469</v>
      </c>
      <c r="D33" s="408" t="s">
        <v>361</v>
      </c>
      <c r="F33" s="406">
        <v>15</v>
      </c>
    </row>
    <row r="36" spans="2:8" x14ac:dyDescent="0.3">
      <c r="B36" s="411" t="s">
        <v>119</v>
      </c>
      <c r="C36" s="406"/>
      <c r="D36" s="407" t="s">
        <v>692</v>
      </c>
      <c r="F36" s="413">
        <v>46265</v>
      </c>
    </row>
    <row r="37" spans="2:8" x14ac:dyDescent="0.3">
      <c r="B37" s="412" t="s">
        <v>705</v>
      </c>
      <c r="C37" s="406"/>
      <c r="D37" s="407" t="s">
        <v>4</v>
      </c>
      <c r="E37" s="423"/>
      <c r="F37" s="403">
        <v>0</v>
      </c>
    </row>
    <row r="38" spans="2:8" x14ac:dyDescent="0.3">
      <c r="B38" s="412" t="s">
        <v>749</v>
      </c>
      <c r="C38" s="406"/>
      <c r="D38" s="407" t="s">
        <v>4</v>
      </c>
      <c r="E38" s="423"/>
      <c r="F38" s="403">
        <v>0</v>
      </c>
    </row>
    <row r="39" spans="2:8" x14ac:dyDescent="0.3">
      <c r="B39" s="412" t="s">
        <v>693</v>
      </c>
      <c r="C39" s="406"/>
      <c r="D39" s="407" t="s">
        <v>4</v>
      </c>
      <c r="F39" s="403">
        <f>F44</f>
        <v>63234.771830999998</v>
      </c>
    </row>
    <row r="40" spans="2:8" x14ac:dyDescent="0.3">
      <c r="B40" s="352" t="s">
        <v>35</v>
      </c>
      <c r="C40" s="406"/>
      <c r="D40" s="407" t="s">
        <v>694</v>
      </c>
      <c r="F40" s="403">
        <f>F62</f>
        <v>200</v>
      </c>
      <c r="G40" s="403">
        <v>0</v>
      </c>
    </row>
    <row r="41" spans="2:8" x14ac:dyDescent="0.3">
      <c r="B41" s="352" t="s">
        <v>698</v>
      </c>
      <c r="C41" s="406"/>
      <c r="D41" s="407" t="s">
        <v>694</v>
      </c>
      <c r="F41" s="414">
        <f>ROUNDUP(F40*$F$6,0)</f>
        <v>14</v>
      </c>
      <c r="G41" s="414">
        <f>ROUNDUP(G40*$F$6,0)</f>
        <v>0</v>
      </c>
    </row>
    <row r="42" spans="2:8" x14ac:dyDescent="0.3">
      <c r="B42" s="352" t="s">
        <v>39</v>
      </c>
      <c r="C42" s="406"/>
      <c r="D42" s="407" t="s">
        <v>694</v>
      </c>
      <c r="F42" s="457">
        <f>F63</f>
        <v>300</v>
      </c>
    </row>
    <row r="43" spans="2:8" x14ac:dyDescent="0.3">
      <c r="B43" s="352" t="s">
        <v>706</v>
      </c>
      <c r="C43" s="406"/>
      <c r="D43" s="407" t="s">
        <v>10</v>
      </c>
      <c r="F43" s="415">
        <v>0.15</v>
      </c>
    </row>
    <row r="44" spans="2:8" x14ac:dyDescent="0.3">
      <c r="B44" s="352" t="s">
        <v>707</v>
      </c>
      <c r="C44" s="406"/>
      <c r="D44" s="407" t="s">
        <v>4</v>
      </c>
      <c r="F44" s="414">
        <f>F56*F43</f>
        <v>63234.771830999998</v>
      </c>
    </row>
    <row r="45" spans="2:8" x14ac:dyDescent="0.3">
      <c r="B45" s="343"/>
      <c r="C45" s="423"/>
      <c r="D45" s="424"/>
      <c r="F45" s="459"/>
    </row>
    <row r="46" spans="2:8" x14ac:dyDescent="0.3">
      <c r="B46" s="7"/>
      <c r="D46" s="355"/>
      <c r="F46" s="458" t="s">
        <v>745</v>
      </c>
    </row>
    <row r="47" spans="2:8" x14ac:dyDescent="0.3">
      <c r="B47" s="352"/>
      <c r="C47" s="406"/>
      <c r="D47" s="407"/>
      <c r="F47" s="419" t="s">
        <v>32</v>
      </c>
      <c r="G47" s="410" t="s">
        <v>715</v>
      </c>
      <c r="H47" s="410" t="s">
        <v>31</v>
      </c>
    </row>
    <row r="48" spans="2:8" x14ac:dyDescent="0.3">
      <c r="B48" s="416" t="s">
        <v>3</v>
      </c>
      <c r="C48" s="406"/>
      <c r="D48" s="417" t="s">
        <v>4</v>
      </c>
      <c r="F48" s="419">
        <f>SUM(F49,F50,F51)</f>
        <v>302465.14554</v>
      </c>
      <c r="G48" s="420">
        <f t="shared" ref="G48:G54" si="0">F48-H48</f>
        <v>257095.37370900001</v>
      </c>
      <c r="H48" s="420">
        <f>F48*$F$43</f>
        <v>45369.771830999998</v>
      </c>
    </row>
    <row r="49" spans="1:8" x14ac:dyDescent="0.3">
      <c r="B49" s="352"/>
      <c r="C49" s="418" t="s">
        <v>132</v>
      </c>
      <c r="D49" s="407" t="s">
        <v>4</v>
      </c>
      <c r="F49" s="403">
        <v>20000</v>
      </c>
      <c r="G49" s="421">
        <f t="shared" si="0"/>
        <v>0</v>
      </c>
      <c r="H49" s="422">
        <f>F49</f>
        <v>20000</v>
      </c>
    </row>
    <row r="50" spans="1:8" x14ac:dyDescent="0.3">
      <c r="B50" s="352"/>
      <c r="C50" s="418" t="s">
        <v>133</v>
      </c>
      <c r="D50" s="407" t="s">
        <v>4</v>
      </c>
      <c r="F50" s="414">
        <f>CAPEX!H29/1000+CAPEX!H38/1000</f>
        <v>224825.14554</v>
      </c>
      <c r="G50" s="421">
        <f t="shared" si="0"/>
        <v>208101.37370900001</v>
      </c>
      <c r="H50" s="422">
        <f>H48-H49-H51</f>
        <v>16723.771830999998</v>
      </c>
    </row>
    <row r="51" spans="1:8" x14ac:dyDescent="0.3">
      <c r="B51" s="352"/>
      <c r="C51" s="418" t="s">
        <v>134</v>
      </c>
      <c r="D51" s="407" t="s">
        <v>4</v>
      </c>
      <c r="F51" s="414">
        <f>(CAPEX!H49+CAPEX!H71)/1000</f>
        <v>57640</v>
      </c>
      <c r="G51" s="421">
        <f t="shared" si="0"/>
        <v>48994</v>
      </c>
      <c r="H51" s="422">
        <f>F51*F43</f>
        <v>8646</v>
      </c>
    </row>
    <row r="52" spans="1:8" x14ac:dyDescent="0.3">
      <c r="B52" s="416" t="s">
        <v>5</v>
      </c>
      <c r="C52" s="406"/>
      <c r="D52" s="417" t="s">
        <v>4</v>
      </c>
      <c r="F52" s="419">
        <f>SUM(F53,F54)</f>
        <v>119100</v>
      </c>
      <c r="G52" s="420">
        <f t="shared" si="0"/>
        <v>101235</v>
      </c>
      <c r="H52" s="420">
        <f>F52*$F$43</f>
        <v>17865</v>
      </c>
    </row>
    <row r="53" spans="1:8" x14ac:dyDescent="0.3">
      <c r="B53" s="416"/>
      <c r="C53" s="418" t="s">
        <v>56</v>
      </c>
      <c r="D53" s="407" t="s">
        <v>4</v>
      </c>
      <c r="F53" s="414">
        <f>F40*$F$4/1000</f>
        <v>110000</v>
      </c>
      <c r="G53" s="421">
        <f t="shared" si="0"/>
        <v>93500</v>
      </c>
      <c r="H53" s="421">
        <f>F53*$F$43</f>
        <v>16500</v>
      </c>
    </row>
    <row r="54" spans="1:8" x14ac:dyDescent="0.3">
      <c r="B54" s="416"/>
      <c r="C54" s="418" t="s">
        <v>136</v>
      </c>
      <c r="D54" s="407" t="s">
        <v>4</v>
      </c>
      <c r="F54" s="414">
        <f>F41*$F$5/1000</f>
        <v>9100</v>
      </c>
      <c r="G54" s="421">
        <f t="shared" si="0"/>
        <v>7735</v>
      </c>
      <c r="H54" s="421">
        <f>F54*$F$43</f>
        <v>1365</v>
      </c>
    </row>
    <row r="55" spans="1:8" x14ac:dyDescent="0.3">
      <c r="B55" s="416"/>
      <c r="C55" s="418" t="s">
        <v>684</v>
      </c>
      <c r="D55" s="407" t="s">
        <v>4</v>
      </c>
      <c r="F55" s="403">
        <v>0</v>
      </c>
      <c r="G55" s="421">
        <f t="shared" ref="G55" si="1">F55-H55</f>
        <v>0</v>
      </c>
      <c r="H55" s="421"/>
    </row>
    <row r="56" spans="1:8" x14ac:dyDescent="0.3">
      <c r="B56" s="416" t="s">
        <v>32</v>
      </c>
      <c r="C56" s="406"/>
      <c r="D56" s="417" t="s">
        <v>4</v>
      </c>
      <c r="F56" s="419">
        <f>SUM(F48,F52)</f>
        <v>421565.14554</v>
      </c>
      <c r="G56" s="420">
        <f>F56-H56</f>
        <v>358330.37370900001</v>
      </c>
      <c r="H56" s="419">
        <f>SUM(H48,H52)</f>
        <v>63234.771830999998</v>
      </c>
    </row>
    <row r="57" spans="1:8" x14ac:dyDescent="0.3">
      <c r="B57" s="416" t="s">
        <v>719</v>
      </c>
      <c r="C57" s="406"/>
      <c r="D57" s="430">
        <v>0.15</v>
      </c>
      <c r="F57" s="429"/>
      <c r="G57" s="420">
        <f>$D$57*G56</f>
        <v>53749.556056349997</v>
      </c>
      <c r="H57" s="429"/>
    </row>
    <row r="58" spans="1:8" x14ac:dyDescent="0.3">
      <c r="B58" s="7"/>
      <c r="D58" s="355"/>
      <c r="F58" s="64"/>
      <c r="G58" s="64"/>
    </row>
    <row r="59" spans="1:8" x14ac:dyDescent="0.3">
      <c r="B59" s="7"/>
      <c r="D59" s="355"/>
      <c r="F59" s="64"/>
    </row>
    <row r="60" spans="1:8" x14ac:dyDescent="0.3">
      <c r="B60" s="488" t="s">
        <v>763</v>
      </c>
      <c r="C60" s="480"/>
      <c r="D60" s="480"/>
      <c r="E60" s="480"/>
      <c r="F60" s="480"/>
    </row>
    <row r="62" spans="1:8" x14ac:dyDescent="0.3">
      <c r="A62" s="487"/>
      <c r="B62" s="486" t="s">
        <v>764</v>
      </c>
      <c r="C62" s="481"/>
      <c r="D62" s="482" t="s">
        <v>40</v>
      </c>
      <c r="E62" s="406"/>
      <c r="F62" s="483">
        <v>200</v>
      </c>
    </row>
    <row r="63" spans="1:8" x14ac:dyDescent="0.3">
      <c r="A63" s="487"/>
      <c r="B63" s="486" t="s">
        <v>39</v>
      </c>
      <c r="C63" s="481"/>
      <c r="D63" s="482" t="s">
        <v>40</v>
      </c>
      <c r="E63" s="406"/>
      <c r="F63" s="484">
        <v>300</v>
      </c>
    </row>
    <row r="64" spans="1:8" x14ac:dyDescent="0.3">
      <c r="A64" s="487"/>
      <c r="B64" s="486" t="s">
        <v>765</v>
      </c>
      <c r="C64" s="481"/>
      <c r="D64" s="482"/>
      <c r="E64" s="406"/>
      <c r="F64" s="485" t="s">
        <v>766</v>
      </c>
    </row>
    <row r="65" spans="1:6" x14ac:dyDescent="0.3">
      <c r="A65" s="487"/>
      <c r="B65" s="486" t="s">
        <v>767</v>
      </c>
      <c r="C65" s="481"/>
      <c r="D65" s="482"/>
      <c r="E65" s="406"/>
      <c r="F65" s="485" t="s">
        <v>768</v>
      </c>
    </row>
    <row r="66" spans="1:6" x14ac:dyDescent="0.3">
      <c r="A66" s="487"/>
      <c r="B66" s="486" t="s">
        <v>769</v>
      </c>
      <c r="C66" s="481"/>
      <c r="D66" s="482"/>
      <c r="E66" s="406"/>
      <c r="F66" s="485" t="s">
        <v>770</v>
      </c>
    </row>
    <row r="68" spans="1:6" x14ac:dyDescent="0.3">
      <c r="B68" s="476" t="s">
        <v>1148</v>
      </c>
    </row>
    <row r="69" spans="1:6" x14ac:dyDescent="0.3">
      <c r="B69" s="477" t="s">
        <v>1149</v>
      </c>
      <c r="D69" s="478"/>
      <c r="F69" s="479" t="s">
        <v>1017</v>
      </c>
    </row>
    <row r="70" spans="1:6" x14ac:dyDescent="0.3">
      <c r="B70" s="525" t="s">
        <v>1150</v>
      </c>
      <c r="D70" s="478" t="s">
        <v>1151</v>
      </c>
      <c r="F70" s="526">
        <f>_xlfn.XLOOKUP(F69,Справочник!A58:A74,Справочник!D58:D74,"-")</f>
        <v>3.5</v>
      </c>
    </row>
    <row r="71" spans="1:6" x14ac:dyDescent="0.3">
      <c r="B71" s="525" t="s">
        <v>1084</v>
      </c>
      <c r="D71" s="478" t="s">
        <v>1086</v>
      </c>
      <c r="F71" s="526">
        <f>_xlfn.XLOOKUP("COEF-001",Справочник!A81:A88,Справочник!D81:D88,1)</f>
        <v>1</v>
      </c>
    </row>
    <row r="72" spans="1:6" x14ac:dyDescent="0.3">
      <c r="B72" s="525" t="s">
        <v>1110</v>
      </c>
      <c r="D72" s="478" t="s">
        <v>1086</v>
      </c>
      <c r="F72" s="526">
        <f>_xlfn.XLOOKUP("COEF-006",Справочник!A81:A88,Справочник!D81:D88,1)</f>
        <v>1.1000000000000001</v>
      </c>
    </row>
    <row r="73" spans="1:6" x14ac:dyDescent="0.3">
      <c r="B73" s="525" t="s">
        <v>1115</v>
      </c>
      <c r="D73" s="478" t="s">
        <v>1152</v>
      </c>
      <c r="F73" s="526">
        <f>_xlfn.XLOOKUP("COEF-007",Справочник!A81:A88,Справочник!D81:D88,0)</f>
        <v>0.05</v>
      </c>
    </row>
    <row r="74" spans="1:6" x14ac:dyDescent="0.3">
      <c r="B74" s="525" t="s">
        <v>1120</v>
      </c>
      <c r="D74" s="478" t="s">
        <v>1152</v>
      </c>
      <c r="F74" s="526">
        <f>_xlfn.XLOOKUP("COEF-008",Справочник!A81:A88,Справочник!D81:D88,0)</f>
        <v>0.03</v>
      </c>
    </row>
    <row r="75" spans="1:6" x14ac:dyDescent="0.3">
      <c r="B75" s="525" t="s">
        <v>1153</v>
      </c>
      <c r="D75" s="478" t="s">
        <v>1154</v>
      </c>
      <c r="F75" s="526">
        <f>_xlfn.XLOOKUP(F65,Справочник!B41:B47,Справочник!D41:D47,0)</f>
        <v>25</v>
      </c>
    </row>
    <row r="76" spans="1:6" x14ac:dyDescent="0.3">
      <c r="B76" s="525" t="s">
        <v>1155</v>
      </c>
      <c r="D76" s="478" t="s">
        <v>1154</v>
      </c>
      <c r="F76" s="526">
        <f>_xlfn.XLOOKUP(F66,Справочник!B41:B47,Справочник!D41:D47,0)</f>
        <v>15</v>
      </c>
    </row>
    <row r="77" spans="1:6" x14ac:dyDescent="0.3">
      <c r="B77" s="525" t="s">
        <v>1156</v>
      </c>
      <c r="D77" s="478" t="s">
        <v>12</v>
      </c>
      <c r="F77" s="526">
        <f>_xlfn.XLOOKUP(F65,Справочник!B41:B47,Справочник!E41:E47,0)</f>
        <v>30</v>
      </c>
    </row>
    <row r="78" spans="1:6" x14ac:dyDescent="0.3">
      <c r="B78" s="525" t="s">
        <v>1157</v>
      </c>
      <c r="D78" s="478" t="s">
        <v>12</v>
      </c>
      <c r="F78" s="526">
        <f>_xlfn.XLOOKUP(F66,Справочник!B41:B47,Справочник!E41:E47,0)</f>
        <v>20</v>
      </c>
    </row>
  </sheetData>
  <dataValidations count="4">
    <dataValidation type="list" allowBlank="1" showErrorMessage="1" sqref="F9:F11" xr:uid="{B9A408B9-0234-4E78-A64A-0515057C5207}">
      <formula1>"1,2"</formula1>
    </dataValidation>
    <dataValidation type="list" allowBlank="1" showInputMessage="1" showErrorMessage="1" sqref="F64" xr:uid="{D3A32DB2-FC89-4EFF-A047-8914C7E0E671}">
      <formula1>"Зимний,Летний"</formula1>
    </dataValidation>
    <dataValidation type="list" allowBlank="1" showInputMessage="1" showErrorMessage="1" sqref="F65 F66" xr:uid="{7376E484-A40F-49AB-8E48-309D1E25C03E}">
      <formula1>"Лёгкий каркас,Сэндвич-панель,Металлоконструкция,Кирпич / капитальное"</formula1>
    </dataValidation>
    <dataValidation type="list" allowBlank="1" showInputMessage="1" showErrorMessage="1" sqref="F69" xr:uid="{237D7760-1908-4FDC-9E75-032E3998FDC1}">
      <formula1>"REG-SKO,REG-KOS,REG-AKM,REG-PAV,REG-ABY,REG-VKO,REG-KAR,REG-ULY,REG-AKT,REG-ZKO,REG-ATY,REG-MAN,REG-ZHA,REG-TUR,REG-KYZ,REG-ALM,REG-ZHE"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77CDC-208B-434C-BE83-18B648E59B40}">
  <dimension ref="A1:U49"/>
  <sheetViews>
    <sheetView zoomScale="70" zoomScaleNormal="70" workbookViewId="0">
      <selection activeCell="M13" sqref="M13"/>
    </sheetView>
  </sheetViews>
  <sheetFormatPr defaultRowHeight="13.8" x14ac:dyDescent="0.3"/>
  <cols>
    <col min="1" max="2" width="4.77734375" customWidth="1"/>
    <col min="3" max="3" width="43.44140625" customWidth="1"/>
  </cols>
  <sheetData>
    <row r="1" spans="1:21" s="2" customFormat="1" x14ac:dyDescent="0.3">
      <c r="A1" s="401" t="s">
        <v>0</v>
      </c>
      <c r="B1" s="3" t="s">
        <v>690</v>
      </c>
      <c r="D1" s="3"/>
      <c r="F1" s="3"/>
      <c r="H1" s="3"/>
      <c r="J1" s="3"/>
      <c r="L1" s="3"/>
      <c r="N1" s="3"/>
      <c r="P1" s="3"/>
      <c r="R1" s="3"/>
      <c r="T1" s="3"/>
    </row>
    <row r="3" spans="1:21" x14ac:dyDescent="0.3">
      <c r="B3" s="402" t="s">
        <v>691</v>
      </c>
    </row>
    <row r="4" spans="1:21" x14ac:dyDescent="0.3">
      <c r="J4" s="368">
        <v>1</v>
      </c>
      <c r="K4" s="368">
        <f>J4+1</f>
        <v>2</v>
      </c>
      <c r="L4" s="368">
        <f t="shared" ref="L4:U4" si="0">K4+1</f>
        <v>3</v>
      </c>
      <c r="M4" s="368">
        <f t="shared" si="0"/>
        <v>4</v>
      </c>
      <c r="N4" s="368">
        <f t="shared" si="0"/>
        <v>5</v>
      </c>
      <c r="O4" s="368">
        <f t="shared" si="0"/>
        <v>6</v>
      </c>
      <c r="P4" s="368">
        <f t="shared" si="0"/>
        <v>7</v>
      </c>
      <c r="Q4" s="368">
        <f t="shared" si="0"/>
        <v>8</v>
      </c>
      <c r="R4" s="368">
        <f t="shared" si="0"/>
        <v>9</v>
      </c>
      <c r="S4" s="368">
        <f t="shared" si="0"/>
        <v>10</v>
      </c>
      <c r="T4" s="368">
        <f t="shared" si="0"/>
        <v>11</v>
      </c>
      <c r="U4" s="368">
        <f t="shared" si="0"/>
        <v>12</v>
      </c>
    </row>
    <row r="5" spans="1:21" x14ac:dyDescent="0.3">
      <c r="B5" s="5" t="s">
        <v>56</v>
      </c>
    </row>
    <row r="6" spans="1:21" x14ac:dyDescent="0.3">
      <c r="C6" s="7" t="s">
        <v>373</v>
      </c>
      <c r="D6" s="7" t="s">
        <v>61</v>
      </c>
      <c r="J6" s="182">
        <v>0</v>
      </c>
      <c r="K6" s="182">
        <v>0</v>
      </c>
      <c r="L6" s="182">
        <v>0</v>
      </c>
      <c r="M6" s="182">
        <v>0</v>
      </c>
      <c r="N6" s="182">
        <v>32</v>
      </c>
      <c r="O6" s="182">
        <v>32</v>
      </c>
      <c r="P6" s="182">
        <v>32</v>
      </c>
      <c r="Q6" s="182">
        <v>32</v>
      </c>
      <c r="R6" s="182">
        <v>32</v>
      </c>
      <c r="S6" s="182">
        <v>32</v>
      </c>
      <c r="T6" s="182">
        <v>0</v>
      </c>
      <c r="U6" s="182">
        <v>0</v>
      </c>
    </row>
    <row r="7" spans="1:21" x14ac:dyDescent="0.3">
      <c r="C7" s="7" t="s">
        <v>374</v>
      </c>
      <c r="D7" s="7" t="s">
        <v>61</v>
      </c>
      <c r="J7" s="182">
        <v>2.4</v>
      </c>
      <c r="K7" s="182">
        <v>2.4</v>
      </c>
      <c r="L7" s="182">
        <v>2.4</v>
      </c>
      <c r="M7" s="182">
        <v>2.4</v>
      </c>
      <c r="N7" s="182">
        <v>0</v>
      </c>
      <c r="O7" s="182">
        <v>0</v>
      </c>
      <c r="P7" s="182">
        <v>0</v>
      </c>
      <c r="Q7" s="182">
        <v>0</v>
      </c>
      <c r="R7" s="182">
        <v>0</v>
      </c>
      <c r="S7" s="182">
        <v>0</v>
      </c>
      <c r="T7" s="182">
        <v>2.4</v>
      </c>
      <c r="U7" s="182">
        <v>2.4</v>
      </c>
    </row>
    <row r="8" spans="1:21" x14ac:dyDescent="0.3">
      <c r="C8" s="7" t="s">
        <v>375</v>
      </c>
      <c r="D8" s="7" t="s">
        <v>61</v>
      </c>
      <c r="J8" s="77">
        <v>5.7000000000000002E-2</v>
      </c>
      <c r="K8" s="77">
        <v>5.7000000000000002E-2</v>
      </c>
      <c r="L8" s="77">
        <v>5.7000000000000002E-2</v>
      </c>
      <c r="M8" s="77">
        <v>5.7000000000000002E-2</v>
      </c>
      <c r="N8" s="77">
        <v>0.05</v>
      </c>
      <c r="O8" s="77">
        <v>0.05</v>
      </c>
      <c r="P8" s="77">
        <v>0.05</v>
      </c>
      <c r="Q8" s="77">
        <v>0.05</v>
      </c>
      <c r="R8" s="77">
        <v>0.05</v>
      </c>
      <c r="S8" s="77">
        <v>0.05</v>
      </c>
      <c r="T8" s="77">
        <v>0.06</v>
      </c>
      <c r="U8" s="77">
        <v>0.06</v>
      </c>
    </row>
    <row r="9" spans="1:21" x14ac:dyDescent="0.3">
      <c r="C9" s="7" t="s">
        <v>376</v>
      </c>
      <c r="D9" s="7" t="s">
        <v>61</v>
      </c>
      <c r="J9" s="182">
        <v>7</v>
      </c>
      <c r="K9" s="182">
        <v>7</v>
      </c>
      <c r="L9" s="182">
        <v>7</v>
      </c>
      <c r="M9" s="182">
        <v>7</v>
      </c>
      <c r="N9" s="182">
        <v>0</v>
      </c>
      <c r="O9" s="182">
        <v>0</v>
      </c>
      <c r="P9" s="182">
        <v>0</v>
      </c>
      <c r="Q9" s="182">
        <v>0</v>
      </c>
      <c r="R9" s="182">
        <v>0</v>
      </c>
      <c r="S9" s="182">
        <v>0</v>
      </c>
      <c r="T9" s="182">
        <v>9</v>
      </c>
      <c r="U9" s="182">
        <v>9</v>
      </c>
    </row>
    <row r="10" spans="1:21" x14ac:dyDescent="0.3">
      <c r="C10" s="7" t="s">
        <v>377</v>
      </c>
      <c r="D10" s="7" t="s">
        <v>61</v>
      </c>
      <c r="J10" s="182">
        <v>9</v>
      </c>
      <c r="K10" s="182">
        <v>9</v>
      </c>
      <c r="L10" s="182">
        <v>9</v>
      </c>
      <c r="M10" s="182">
        <v>9</v>
      </c>
      <c r="N10" s="182">
        <v>0</v>
      </c>
      <c r="O10" s="182">
        <v>0</v>
      </c>
      <c r="P10" s="182">
        <v>0</v>
      </c>
      <c r="Q10" s="182">
        <v>0</v>
      </c>
      <c r="R10" s="182">
        <v>0</v>
      </c>
      <c r="S10" s="182">
        <v>0</v>
      </c>
      <c r="T10" s="182">
        <v>8</v>
      </c>
      <c r="U10" s="182">
        <v>8</v>
      </c>
    </row>
    <row r="11" spans="1:21" x14ac:dyDescent="0.3">
      <c r="C11" s="7" t="s">
        <v>378</v>
      </c>
      <c r="D11" s="7" t="s">
        <v>61</v>
      </c>
      <c r="J11" s="182">
        <v>15</v>
      </c>
      <c r="K11" s="182">
        <v>15</v>
      </c>
      <c r="L11" s="182">
        <v>15</v>
      </c>
      <c r="M11" s="182">
        <v>15</v>
      </c>
      <c r="N11" s="182">
        <v>0</v>
      </c>
      <c r="O11" s="182">
        <v>0</v>
      </c>
      <c r="P11" s="182">
        <v>0</v>
      </c>
      <c r="Q11" s="182">
        <v>0</v>
      </c>
      <c r="R11" s="182">
        <v>0</v>
      </c>
      <c r="S11" s="182">
        <v>0</v>
      </c>
      <c r="T11" s="182">
        <v>10</v>
      </c>
      <c r="U11" s="182">
        <v>10</v>
      </c>
    </row>
    <row r="12" spans="1:21" x14ac:dyDescent="0.3">
      <c r="C12" s="7" t="s">
        <v>379</v>
      </c>
      <c r="D12" s="7" t="s">
        <v>61</v>
      </c>
      <c r="J12" s="77">
        <v>0.03</v>
      </c>
      <c r="K12" s="77">
        <v>0.03</v>
      </c>
      <c r="L12" s="77">
        <v>0.03</v>
      </c>
      <c r="M12" s="77">
        <v>0.03</v>
      </c>
      <c r="N12" s="182">
        <v>0</v>
      </c>
      <c r="O12" s="182">
        <v>0</v>
      </c>
      <c r="P12" s="182">
        <v>0</v>
      </c>
      <c r="Q12" s="182">
        <v>0</v>
      </c>
      <c r="R12" s="182">
        <v>0</v>
      </c>
      <c r="S12" s="182">
        <v>0</v>
      </c>
      <c r="T12" s="77">
        <v>0.04</v>
      </c>
      <c r="U12" s="77">
        <v>0.04</v>
      </c>
    </row>
    <row r="13" spans="1:21" x14ac:dyDescent="0.3">
      <c r="C13" s="7" t="s">
        <v>380</v>
      </c>
      <c r="D13" s="7" t="s">
        <v>61</v>
      </c>
      <c r="J13" s="77">
        <v>5.5E-2</v>
      </c>
      <c r="K13" s="77">
        <v>5.5E-2</v>
      </c>
      <c r="L13" s="77">
        <v>5.5E-2</v>
      </c>
      <c r="M13" s="77">
        <v>5.5E-2</v>
      </c>
      <c r="N13" s="182">
        <v>0</v>
      </c>
      <c r="O13" s="182">
        <v>0</v>
      </c>
      <c r="P13" s="182">
        <v>0</v>
      </c>
      <c r="Q13" s="182">
        <v>0</v>
      </c>
      <c r="R13" s="182">
        <v>0</v>
      </c>
      <c r="S13" s="182">
        <v>0</v>
      </c>
      <c r="T13" s="77">
        <v>4.4999999999999998E-2</v>
      </c>
      <c r="U13" s="77">
        <v>4.4999999999999998E-2</v>
      </c>
    </row>
    <row r="15" spans="1:21" x14ac:dyDescent="0.3">
      <c r="B15" s="5" t="s">
        <v>57</v>
      </c>
      <c r="C15" s="7"/>
      <c r="D15" s="7"/>
    </row>
    <row r="16" spans="1:21" x14ac:dyDescent="0.3">
      <c r="B16" s="7"/>
      <c r="C16" s="7" t="s">
        <v>373</v>
      </c>
      <c r="D16" s="7" t="s">
        <v>61</v>
      </c>
      <c r="J16" s="182">
        <v>0</v>
      </c>
      <c r="K16" s="182">
        <v>0</v>
      </c>
      <c r="L16" s="182">
        <v>0</v>
      </c>
      <c r="M16" s="182">
        <v>0</v>
      </c>
      <c r="N16" s="182">
        <v>12</v>
      </c>
      <c r="O16" s="182">
        <v>12</v>
      </c>
      <c r="P16" s="182">
        <v>12</v>
      </c>
      <c r="Q16" s="182">
        <v>12</v>
      </c>
      <c r="R16" s="182">
        <v>12</v>
      </c>
      <c r="S16" s="182">
        <v>12</v>
      </c>
      <c r="T16" s="182">
        <v>0</v>
      </c>
      <c r="U16" s="182">
        <v>0</v>
      </c>
    </row>
    <row r="17" spans="2:21" x14ac:dyDescent="0.3">
      <c r="B17" s="7"/>
      <c r="C17" s="7" t="s">
        <v>376</v>
      </c>
      <c r="D17" s="7" t="s">
        <v>61</v>
      </c>
      <c r="J17" s="182">
        <v>4.5</v>
      </c>
      <c r="K17" s="182">
        <v>4.5</v>
      </c>
      <c r="L17" s="182">
        <v>4.5</v>
      </c>
      <c r="M17" s="182">
        <v>4.5</v>
      </c>
      <c r="N17" s="182">
        <v>0</v>
      </c>
      <c r="O17" s="182">
        <v>0</v>
      </c>
      <c r="P17" s="182">
        <v>0</v>
      </c>
      <c r="Q17" s="182">
        <v>0</v>
      </c>
      <c r="R17" s="182">
        <v>0</v>
      </c>
      <c r="S17" s="182">
        <v>0</v>
      </c>
      <c r="T17" s="182">
        <v>4.5</v>
      </c>
      <c r="U17" s="182">
        <v>4.5</v>
      </c>
    </row>
    <row r="18" spans="2:21" x14ac:dyDescent="0.3">
      <c r="B18" s="7"/>
      <c r="C18" s="7" t="s">
        <v>378</v>
      </c>
      <c r="D18" s="7" t="s">
        <v>61</v>
      </c>
      <c r="J18" s="182">
        <v>3</v>
      </c>
      <c r="K18" s="182">
        <v>3</v>
      </c>
      <c r="L18" s="182">
        <v>3</v>
      </c>
      <c r="M18" s="182">
        <v>3</v>
      </c>
      <c r="N18" s="182">
        <v>0</v>
      </c>
      <c r="O18" s="182">
        <v>0</v>
      </c>
      <c r="P18" s="182">
        <v>0</v>
      </c>
      <c r="Q18" s="182">
        <v>0</v>
      </c>
      <c r="R18" s="182">
        <v>0</v>
      </c>
      <c r="S18" s="182">
        <v>0</v>
      </c>
      <c r="T18" s="182">
        <v>3</v>
      </c>
      <c r="U18" s="182">
        <v>3</v>
      </c>
    </row>
    <row r="19" spans="2:21" x14ac:dyDescent="0.3">
      <c r="B19" s="7"/>
      <c r="C19" s="7" t="s">
        <v>374</v>
      </c>
      <c r="D19" s="7" t="s">
        <v>61</v>
      </c>
      <c r="J19" s="182">
        <f t="shared" ref="J19:M19" si="1">3.5-0.72</f>
        <v>2.7800000000000002</v>
      </c>
      <c r="K19" s="182">
        <f t="shared" si="1"/>
        <v>2.7800000000000002</v>
      </c>
      <c r="L19" s="182">
        <f t="shared" si="1"/>
        <v>2.7800000000000002</v>
      </c>
      <c r="M19" s="182">
        <f t="shared" si="1"/>
        <v>2.7800000000000002</v>
      </c>
      <c r="N19" s="182">
        <v>0</v>
      </c>
      <c r="O19" s="182">
        <v>0</v>
      </c>
      <c r="P19" s="182">
        <v>0</v>
      </c>
      <c r="Q19" s="182">
        <v>0</v>
      </c>
      <c r="R19" s="182">
        <v>0</v>
      </c>
      <c r="S19" s="182">
        <v>0</v>
      </c>
      <c r="T19" s="182">
        <f t="shared" ref="T19:U19" si="2">3.5-0.72</f>
        <v>2.7800000000000002</v>
      </c>
      <c r="U19" s="182">
        <f t="shared" si="2"/>
        <v>2.7800000000000002</v>
      </c>
    </row>
    <row r="20" spans="2:21" x14ac:dyDescent="0.3">
      <c r="B20" s="7"/>
      <c r="C20" s="7" t="s">
        <v>382</v>
      </c>
      <c r="D20" s="7" t="s">
        <v>61</v>
      </c>
      <c r="J20" s="182">
        <v>0.72</v>
      </c>
      <c r="K20" s="182">
        <v>0.72</v>
      </c>
      <c r="L20" s="182">
        <v>0.72</v>
      </c>
      <c r="M20" s="182">
        <v>0.72</v>
      </c>
      <c r="N20" s="182">
        <v>0</v>
      </c>
      <c r="O20" s="182">
        <v>0</v>
      </c>
      <c r="P20" s="182">
        <v>0</v>
      </c>
      <c r="Q20" s="182">
        <v>0</v>
      </c>
      <c r="R20" s="182">
        <v>0</v>
      </c>
      <c r="S20" s="182">
        <v>0</v>
      </c>
      <c r="T20" s="182">
        <v>0.72</v>
      </c>
      <c r="U20" s="182">
        <v>0.72</v>
      </c>
    </row>
    <row r="21" spans="2:21" x14ac:dyDescent="0.3">
      <c r="B21" s="7"/>
      <c r="C21" s="7" t="s">
        <v>375</v>
      </c>
      <c r="D21" s="7" t="s">
        <v>61</v>
      </c>
      <c r="J21" s="77">
        <v>4.4999999999999998E-2</v>
      </c>
      <c r="K21" s="77">
        <v>4.4999999999999998E-2</v>
      </c>
      <c r="L21" s="77">
        <v>4.4999999999999998E-2</v>
      </c>
      <c r="M21" s="77">
        <v>4.4999999999999998E-2</v>
      </c>
      <c r="N21" s="77">
        <v>0.05</v>
      </c>
      <c r="O21" s="77">
        <v>0.05</v>
      </c>
      <c r="P21" s="77">
        <v>0.05</v>
      </c>
      <c r="Q21" s="77">
        <v>0.05</v>
      </c>
      <c r="R21" s="77">
        <v>0.05</v>
      </c>
      <c r="S21" s="77">
        <v>0.05</v>
      </c>
      <c r="T21" s="77">
        <v>4.4999999999999998E-2</v>
      </c>
      <c r="U21" s="77">
        <v>4.4999999999999998E-2</v>
      </c>
    </row>
    <row r="23" spans="2:21" x14ac:dyDescent="0.3">
      <c r="B23" s="5" t="s">
        <v>89</v>
      </c>
      <c r="C23" s="7"/>
      <c r="D23" s="7"/>
    </row>
    <row r="24" spans="2:21" x14ac:dyDescent="0.3">
      <c r="B24" s="7"/>
      <c r="C24" s="7" t="s">
        <v>383</v>
      </c>
      <c r="D24" s="7" t="s">
        <v>384</v>
      </c>
      <c r="J24" s="182">
        <v>7</v>
      </c>
      <c r="K24" s="182">
        <v>6</v>
      </c>
      <c r="L24" s="182">
        <v>5</v>
      </c>
      <c r="M24" s="182">
        <v>4</v>
      </c>
      <c r="N24" s="182">
        <v>4</v>
      </c>
      <c r="O24" s="182">
        <v>5</v>
      </c>
      <c r="P24" s="182">
        <v>0</v>
      </c>
      <c r="Q24" s="182">
        <v>0</v>
      </c>
      <c r="R24" s="182">
        <v>0</v>
      </c>
      <c r="S24" s="182">
        <v>0</v>
      </c>
      <c r="T24" s="182">
        <v>0</v>
      </c>
      <c r="U24" s="182">
        <v>6</v>
      </c>
    </row>
    <row r="25" spans="2:21" x14ac:dyDescent="0.3">
      <c r="B25" s="7"/>
      <c r="C25" s="7" t="s">
        <v>376</v>
      </c>
      <c r="D25" s="7" t="s">
        <v>61</v>
      </c>
      <c r="J25" s="182">
        <v>0.3</v>
      </c>
      <c r="K25" s="182">
        <v>0.5</v>
      </c>
      <c r="L25" s="182">
        <v>1</v>
      </c>
      <c r="M25" s="182">
        <v>1.2</v>
      </c>
      <c r="N25" s="182">
        <v>0</v>
      </c>
      <c r="O25" s="182">
        <v>0</v>
      </c>
      <c r="P25" s="182">
        <v>0</v>
      </c>
      <c r="Q25" s="182">
        <v>0</v>
      </c>
      <c r="R25" s="182">
        <v>0</v>
      </c>
      <c r="S25" s="182">
        <v>0</v>
      </c>
      <c r="T25" s="182">
        <v>0</v>
      </c>
      <c r="U25" s="182">
        <v>0</v>
      </c>
    </row>
    <row r="26" spans="2:21" x14ac:dyDescent="0.3">
      <c r="B26" s="7"/>
      <c r="C26" s="7" t="s">
        <v>378</v>
      </c>
      <c r="D26" s="7" t="s">
        <v>61</v>
      </c>
      <c r="J26" s="182">
        <v>0</v>
      </c>
      <c r="K26" s="182">
        <v>2</v>
      </c>
      <c r="L26" s="182">
        <v>4</v>
      </c>
      <c r="M26" s="182">
        <v>4</v>
      </c>
      <c r="N26" s="182">
        <v>0</v>
      </c>
      <c r="O26" s="182">
        <v>0</v>
      </c>
      <c r="P26" s="182">
        <v>0</v>
      </c>
      <c r="Q26" s="182">
        <v>0</v>
      </c>
      <c r="R26" s="182">
        <v>0</v>
      </c>
      <c r="S26" s="182">
        <v>0</v>
      </c>
      <c r="T26" s="182">
        <v>0</v>
      </c>
      <c r="U26" s="182">
        <v>0</v>
      </c>
    </row>
    <row r="27" spans="2:21" x14ac:dyDescent="0.3">
      <c r="B27" s="7"/>
      <c r="C27" s="7" t="s">
        <v>374</v>
      </c>
      <c r="D27" s="7" t="s">
        <v>61</v>
      </c>
      <c r="J27" s="182">
        <v>0.2</v>
      </c>
      <c r="K27" s="182">
        <v>0.4</v>
      </c>
      <c r="L27" s="182">
        <v>0.6</v>
      </c>
      <c r="M27" s="182">
        <v>0.7</v>
      </c>
      <c r="N27" s="182">
        <v>0</v>
      </c>
      <c r="O27" s="182">
        <v>0</v>
      </c>
      <c r="P27" s="182">
        <v>0</v>
      </c>
      <c r="Q27" s="182">
        <v>0</v>
      </c>
      <c r="R27" s="182">
        <v>0</v>
      </c>
      <c r="S27" s="182">
        <v>0</v>
      </c>
      <c r="T27" s="182">
        <v>0</v>
      </c>
      <c r="U27" s="182">
        <v>0</v>
      </c>
    </row>
    <row r="28" spans="2:21" x14ac:dyDescent="0.3">
      <c r="B28" s="7"/>
      <c r="C28" s="7" t="s">
        <v>375</v>
      </c>
      <c r="D28" s="7" t="s">
        <v>61</v>
      </c>
      <c r="J28" s="77">
        <v>8.0000000000000002E-3</v>
      </c>
      <c r="K28" s="77">
        <v>1.2E-2</v>
      </c>
      <c r="L28" s="77">
        <v>1.6E-2</v>
      </c>
      <c r="M28" s="77">
        <v>1.7999999999999999E-2</v>
      </c>
      <c r="N28" s="77">
        <v>2.1999999999999999E-2</v>
      </c>
      <c r="O28" s="77">
        <v>2.7E-2</v>
      </c>
      <c r="P28" s="182">
        <v>0</v>
      </c>
      <c r="Q28" s="182">
        <v>0</v>
      </c>
      <c r="R28" s="182">
        <v>0</v>
      </c>
      <c r="S28" s="182">
        <v>0</v>
      </c>
      <c r="T28" s="182">
        <v>0</v>
      </c>
      <c r="U28" s="182">
        <v>0</v>
      </c>
    </row>
    <row r="29" spans="2:21" x14ac:dyDescent="0.3">
      <c r="B29" s="7"/>
      <c r="C29" s="7" t="s">
        <v>385</v>
      </c>
      <c r="D29" s="7" t="s">
        <v>61</v>
      </c>
      <c r="J29" s="77">
        <v>0.01</v>
      </c>
      <c r="K29" s="77">
        <v>0.02</v>
      </c>
      <c r="L29" s="77">
        <v>0.03</v>
      </c>
      <c r="M29" s="77">
        <v>0.03</v>
      </c>
      <c r="N29" s="77">
        <v>0.04</v>
      </c>
      <c r="O29" s="77">
        <v>0.03</v>
      </c>
      <c r="P29" s="182">
        <v>0</v>
      </c>
      <c r="Q29" s="182">
        <v>0</v>
      </c>
      <c r="R29" s="182">
        <v>0</v>
      </c>
      <c r="S29" s="182">
        <v>0</v>
      </c>
      <c r="T29" s="182">
        <v>0</v>
      </c>
      <c r="U29" s="182">
        <v>0</v>
      </c>
    </row>
    <row r="30" spans="2:21" x14ac:dyDescent="0.3">
      <c r="B30" s="7"/>
      <c r="C30" s="7" t="s">
        <v>373</v>
      </c>
      <c r="D30" s="7" t="s">
        <v>61</v>
      </c>
      <c r="J30" s="182">
        <v>0</v>
      </c>
      <c r="K30" s="182">
        <v>0</v>
      </c>
      <c r="L30" s="182">
        <v>0</v>
      </c>
      <c r="M30" s="182">
        <v>0</v>
      </c>
      <c r="N30" s="182">
        <v>0</v>
      </c>
      <c r="O30" s="182">
        <v>9</v>
      </c>
      <c r="P30" s="182">
        <v>0</v>
      </c>
      <c r="Q30" s="182">
        <v>0</v>
      </c>
      <c r="R30" s="182">
        <v>0</v>
      </c>
      <c r="S30" s="182">
        <v>0</v>
      </c>
      <c r="T30" s="182">
        <v>0</v>
      </c>
      <c r="U30" s="182">
        <v>0</v>
      </c>
    </row>
    <row r="32" spans="2:21" x14ac:dyDescent="0.3">
      <c r="B32" s="5" t="s">
        <v>58</v>
      </c>
      <c r="C32" s="7"/>
      <c r="D32" s="7"/>
    </row>
    <row r="33" spans="2:21" x14ac:dyDescent="0.3">
      <c r="B33" s="7"/>
      <c r="C33" s="7" t="s">
        <v>373</v>
      </c>
      <c r="D33" s="7" t="s">
        <v>61</v>
      </c>
      <c r="J33" s="182">
        <v>0</v>
      </c>
      <c r="K33" s="182">
        <v>0</v>
      </c>
      <c r="L33" s="182">
        <v>0</v>
      </c>
      <c r="M33" s="182">
        <v>0</v>
      </c>
      <c r="N33" s="182">
        <v>29</v>
      </c>
      <c r="O33" s="182">
        <v>29</v>
      </c>
      <c r="P33" s="182">
        <v>29</v>
      </c>
      <c r="Q33" s="182">
        <v>29</v>
      </c>
      <c r="R33" s="182">
        <v>29</v>
      </c>
      <c r="S33" s="182">
        <v>29</v>
      </c>
      <c r="T33" s="182">
        <v>0</v>
      </c>
      <c r="U33" s="182">
        <v>0</v>
      </c>
    </row>
    <row r="34" spans="2:21" x14ac:dyDescent="0.3">
      <c r="B34" s="7"/>
      <c r="C34" s="7" t="s">
        <v>374</v>
      </c>
      <c r="D34" s="7" t="s">
        <v>61</v>
      </c>
      <c r="J34" s="182">
        <v>0</v>
      </c>
      <c r="K34" s="182">
        <v>0</v>
      </c>
      <c r="L34" s="182">
        <v>0</v>
      </c>
      <c r="M34" s="182">
        <v>0</v>
      </c>
      <c r="N34" s="182">
        <v>0</v>
      </c>
      <c r="O34" s="182">
        <v>0</v>
      </c>
      <c r="P34" s="182">
        <v>0</v>
      </c>
      <c r="Q34" s="182">
        <v>0</v>
      </c>
      <c r="R34" s="182">
        <v>0</v>
      </c>
      <c r="S34" s="182">
        <v>0</v>
      </c>
      <c r="T34" s="182">
        <v>0</v>
      </c>
      <c r="U34" s="182">
        <v>0</v>
      </c>
    </row>
    <row r="35" spans="2:21" x14ac:dyDescent="0.3">
      <c r="B35" s="7"/>
      <c r="C35" s="7" t="s">
        <v>375</v>
      </c>
      <c r="D35" s="7" t="s">
        <v>61</v>
      </c>
      <c r="J35" s="77">
        <v>0.03</v>
      </c>
      <c r="K35" s="77">
        <v>0.03</v>
      </c>
      <c r="L35" s="77">
        <v>0.03</v>
      </c>
      <c r="M35" s="77">
        <v>0.03</v>
      </c>
      <c r="N35" s="77">
        <v>0.03</v>
      </c>
      <c r="O35" s="77">
        <v>0.03</v>
      </c>
      <c r="P35" s="77">
        <v>0.03</v>
      </c>
      <c r="Q35" s="77">
        <v>0.03</v>
      </c>
      <c r="R35" s="77">
        <v>0.03</v>
      </c>
      <c r="S35" s="77">
        <v>0.03</v>
      </c>
      <c r="T35" s="77">
        <v>0.03</v>
      </c>
      <c r="U35" s="77">
        <v>0.03</v>
      </c>
    </row>
    <row r="36" spans="2:21" x14ac:dyDescent="0.3">
      <c r="B36" s="7"/>
      <c r="C36" s="7" t="s">
        <v>385</v>
      </c>
      <c r="D36" s="7" t="s">
        <v>61</v>
      </c>
      <c r="J36" s="77">
        <v>0.03</v>
      </c>
      <c r="K36" s="77">
        <v>0.03</v>
      </c>
      <c r="L36" s="77">
        <v>0.03</v>
      </c>
      <c r="M36" s="77">
        <v>0.03</v>
      </c>
      <c r="N36" s="77">
        <v>0.03</v>
      </c>
      <c r="O36" s="77">
        <v>0.03</v>
      </c>
      <c r="P36" s="77">
        <v>0.03</v>
      </c>
      <c r="Q36" s="77">
        <v>0.03</v>
      </c>
      <c r="R36" s="77">
        <v>0.03</v>
      </c>
      <c r="S36" s="77">
        <v>0.03</v>
      </c>
      <c r="T36" s="77">
        <v>0.03</v>
      </c>
      <c r="U36" s="77">
        <v>0.03</v>
      </c>
    </row>
    <row r="37" spans="2:21" x14ac:dyDescent="0.3">
      <c r="B37" s="7"/>
      <c r="C37" s="7" t="s">
        <v>376</v>
      </c>
      <c r="D37" s="7" t="s">
        <v>61</v>
      </c>
      <c r="J37" s="182">
        <v>4</v>
      </c>
      <c r="K37" s="182">
        <v>4</v>
      </c>
      <c r="L37" s="182">
        <v>4</v>
      </c>
      <c r="M37" s="182">
        <v>4</v>
      </c>
      <c r="N37" s="182">
        <v>0</v>
      </c>
      <c r="O37" s="182">
        <v>0</v>
      </c>
      <c r="P37" s="182">
        <v>0</v>
      </c>
      <c r="Q37" s="182">
        <v>0</v>
      </c>
      <c r="R37" s="182">
        <v>0</v>
      </c>
      <c r="S37" s="182">
        <v>0</v>
      </c>
      <c r="T37" s="182">
        <v>4</v>
      </c>
      <c r="U37" s="182">
        <v>4</v>
      </c>
    </row>
    <row r="38" spans="2:21" x14ac:dyDescent="0.3">
      <c r="B38" s="7"/>
      <c r="C38" s="7" t="s">
        <v>377</v>
      </c>
      <c r="D38" s="7" t="s">
        <v>61</v>
      </c>
      <c r="J38" s="182">
        <v>5</v>
      </c>
      <c r="K38" s="182">
        <v>5</v>
      </c>
      <c r="L38" s="182">
        <v>5</v>
      </c>
      <c r="M38" s="182">
        <v>5</v>
      </c>
      <c r="N38" s="182">
        <v>0</v>
      </c>
      <c r="O38" s="182">
        <v>0</v>
      </c>
      <c r="P38" s="182">
        <v>0</v>
      </c>
      <c r="Q38" s="182">
        <v>0</v>
      </c>
      <c r="R38" s="182">
        <v>0</v>
      </c>
      <c r="S38" s="182">
        <v>0</v>
      </c>
      <c r="T38" s="182">
        <v>5</v>
      </c>
      <c r="U38" s="182">
        <v>5</v>
      </c>
    </row>
    <row r="39" spans="2:21" x14ac:dyDescent="0.3">
      <c r="B39" s="7"/>
      <c r="C39" s="7" t="s">
        <v>387</v>
      </c>
      <c r="D39" s="7" t="s">
        <v>61</v>
      </c>
      <c r="J39" s="182">
        <v>0.3</v>
      </c>
      <c r="K39" s="182">
        <v>0.3</v>
      </c>
      <c r="L39" s="182">
        <v>0.3</v>
      </c>
      <c r="M39" s="182">
        <v>0.3</v>
      </c>
      <c r="N39" s="182">
        <v>0</v>
      </c>
      <c r="O39" s="182">
        <v>0</v>
      </c>
      <c r="P39" s="182">
        <v>0</v>
      </c>
      <c r="Q39" s="182">
        <v>0</v>
      </c>
      <c r="R39" s="182">
        <v>0</v>
      </c>
      <c r="S39" s="182">
        <v>0</v>
      </c>
      <c r="T39" s="182">
        <v>0.3</v>
      </c>
      <c r="U39" s="182">
        <v>0.3</v>
      </c>
    </row>
    <row r="40" spans="2:21" x14ac:dyDescent="0.3">
      <c r="B40" s="7"/>
      <c r="C40" s="7" t="s">
        <v>388</v>
      </c>
      <c r="D40" s="7" t="s">
        <v>61</v>
      </c>
      <c r="J40" s="182">
        <v>1.6</v>
      </c>
      <c r="K40" s="182">
        <v>1.6</v>
      </c>
      <c r="L40" s="182">
        <v>1.6</v>
      </c>
      <c r="M40" s="182">
        <v>1.6</v>
      </c>
      <c r="N40" s="182">
        <v>0</v>
      </c>
      <c r="O40" s="182">
        <v>0</v>
      </c>
      <c r="P40" s="182">
        <v>0</v>
      </c>
      <c r="Q40" s="182">
        <v>0</v>
      </c>
      <c r="R40" s="182">
        <v>0</v>
      </c>
      <c r="S40" s="182">
        <v>0</v>
      </c>
      <c r="T40" s="182">
        <v>1.6</v>
      </c>
      <c r="U40" s="182">
        <v>1.6</v>
      </c>
    </row>
    <row r="42" spans="2:21" x14ac:dyDescent="0.3">
      <c r="B42" s="5" t="s">
        <v>59</v>
      </c>
      <c r="C42" s="7"/>
      <c r="D42" s="7"/>
    </row>
    <row r="43" spans="2:21" x14ac:dyDescent="0.3">
      <c r="B43" s="7"/>
      <c r="C43" s="7" t="s">
        <v>373</v>
      </c>
      <c r="D43" s="7" t="s">
        <v>61</v>
      </c>
      <c r="J43" s="182">
        <v>0</v>
      </c>
      <c r="K43" s="182">
        <v>0</v>
      </c>
      <c r="L43" s="182">
        <v>0</v>
      </c>
      <c r="M43" s="182">
        <v>0</v>
      </c>
      <c r="N43" s="182">
        <v>30</v>
      </c>
      <c r="O43" s="182">
        <v>30</v>
      </c>
      <c r="P43" s="182">
        <v>30</v>
      </c>
      <c r="Q43" s="182">
        <v>30</v>
      </c>
      <c r="R43" s="182">
        <v>30</v>
      </c>
      <c r="S43" s="182">
        <v>30</v>
      </c>
      <c r="T43" s="182">
        <v>0</v>
      </c>
      <c r="U43" s="182">
        <v>0</v>
      </c>
    </row>
    <row r="44" spans="2:21" x14ac:dyDescent="0.3">
      <c r="B44" s="7"/>
      <c r="C44" s="7" t="s">
        <v>374</v>
      </c>
      <c r="D44" s="7" t="s">
        <v>61</v>
      </c>
      <c r="J44" s="182">
        <v>0</v>
      </c>
      <c r="K44" s="182">
        <v>0</v>
      </c>
      <c r="L44" s="182">
        <v>0</v>
      </c>
      <c r="M44" s="182">
        <v>0</v>
      </c>
      <c r="N44" s="182">
        <v>0</v>
      </c>
      <c r="O44" s="182">
        <v>0</v>
      </c>
      <c r="P44" s="182">
        <v>0</v>
      </c>
      <c r="Q44" s="182">
        <v>0</v>
      </c>
      <c r="R44" s="182">
        <v>0</v>
      </c>
      <c r="S44" s="182">
        <v>0</v>
      </c>
      <c r="T44" s="182">
        <v>0</v>
      </c>
      <c r="U44" s="182">
        <v>0</v>
      </c>
    </row>
    <row r="45" spans="2:21" x14ac:dyDescent="0.3">
      <c r="B45" s="7"/>
      <c r="C45" s="7" t="s">
        <v>375</v>
      </c>
      <c r="D45" s="7" t="s">
        <v>61</v>
      </c>
      <c r="J45" s="182">
        <v>0</v>
      </c>
      <c r="K45" s="182">
        <v>0</v>
      </c>
      <c r="L45" s="182">
        <v>0</v>
      </c>
      <c r="M45" s="182">
        <v>0</v>
      </c>
      <c r="N45" s="77">
        <v>0.04</v>
      </c>
      <c r="O45" s="77">
        <v>0.04</v>
      </c>
      <c r="P45" s="77">
        <v>0.04</v>
      </c>
      <c r="Q45" s="77">
        <v>0.04</v>
      </c>
      <c r="R45" s="77">
        <v>0.04</v>
      </c>
      <c r="S45" s="77">
        <v>0.04</v>
      </c>
      <c r="T45" s="182">
        <v>0</v>
      </c>
      <c r="U45" s="182">
        <v>0</v>
      </c>
    </row>
    <row r="46" spans="2:21" x14ac:dyDescent="0.3">
      <c r="B46" s="7"/>
      <c r="C46" s="7" t="s">
        <v>385</v>
      </c>
      <c r="D46" s="7" t="s">
        <v>61</v>
      </c>
      <c r="J46" s="182">
        <v>0</v>
      </c>
      <c r="K46" s="182">
        <v>0</v>
      </c>
      <c r="L46" s="182">
        <v>0</v>
      </c>
      <c r="M46" s="182">
        <v>0</v>
      </c>
      <c r="N46" s="77">
        <v>0.04</v>
      </c>
      <c r="O46" s="77">
        <v>0.04</v>
      </c>
      <c r="P46" s="77">
        <v>0.04</v>
      </c>
      <c r="Q46" s="77">
        <v>0.04</v>
      </c>
      <c r="R46" s="77">
        <v>0.04</v>
      </c>
      <c r="S46" s="77">
        <v>0.04</v>
      </c>
      <c r="T46" s="182">
        <v>0</v>
      </c>
      <c r="U46" s="182">
        <v>0</v>
      </c>
    </row>
    <row r="47" spans="2:21" x14ac:dyDescent="0.3">
      <c r="B47" s="7"/>
      <c r="C47" s="7" t="s">
        <v>376</v>
      </c>
      <c r="D47" s="7" t="s">
        <v>61</v>
      </c>
      <c r="J47" s="182">
        <v>0</v>
      </c>
      <c r="K47" s="182">
        <v>0</v>
      </c>
      <c r="L47" s="182">
        <v>0</v>
      </c>
      <c r="M47" s="182">
        <v>0</v>
      </c>
      <c r="N47" s="182">
        <v>0</v>
      </c>
      <c r="O47" s="182">
        <v>0</v>
      </c>
      <c r="P47" s="182">
        <v>0</v>
      </c>
      <c r="Q47" s="182">
        <v>0</v>
      </c>
      <c r="R47" s="182">
        <v>0</v>
      </c>
      <c r="S47" s="182">
        <v>0</v>
      </c>
      <c r="T47" s="182">
        <v>0</v>
      </c>
      <c r="U47" s="182">
        <v>0</v>
      </c>
    </row>
    <row r="48" spans="2:21" x14ac:dyDescent="0.3">
      <c r="B48" s="7"/>
      <c r="C48" s="7" t="s">
        <v>390</v>
      </c>
      <c r="D48" s="7" t="s">
        <v>61</v>
      </c>
      <c r="J48" s="182">
        <v>0</v>
      </c>
      <c r="K48" s="182">
        <v>0</v>
      </c>
      <c r="L48" s="182">
        <v>0</v>
      </c>
      <c r="M48" s="182">
        <v>0</v>
      </c>
      <c r="N48" s="182">
        <v>0</v>
      </c>
      <c r="O48" s="182">
        <v>0</v>
      </c>
      <c r="P48" s="182">
        <v>0</v>
      </c>
      <c r="Q48" s="182">
        <v>0</v>
      </c>
      <c r="R48" s="182">
        <v>0</v>
      </c>
      <c r="S48" s="182">
        <v>0</v>
      </c>
      <c r="T48" s="182">
        <v>0</v>
      </c>
      <c r="U48" s="182">
        <v>0</v>
      </c>
    </row>
    <row r="49" spans="2:21" x14ac:dyDescent="0.3">
      <c r="B49" s="7"/>
      <c r="C49" s="7" t="s">
        <v>378</v>
      </c>
      <c r="D49" s="7" t="s">
        <v>61</v>
      </c>
      <c r="J49" s="182">
        <v>0</v>
      </c>
      <c r="K49" s="182">
        <v>0</v>
      </c>
      <c r="L49" s="182">
        <v>0</v>
      </c>
      <c r="M49" s="182">
        <v>0</v>
      </c>
      <c r="N49" s="182">
        <v>0</v>
      </c>
      <c r="O49" s="182">
        <v>0</v>
      </c>
      <c r="P49" s="182">
        <v>0</v>
      </c>
      <c r="Q49" s="182">
        <v>0</v>
      </c>
      <c r="R49" s="182">
        <v>0</v>
      </c>
      <c r="S49" s="182">
        <v>0</v>
      </c>
      <c r="T49" s="182">
        <v>0</v>
      </c>
      <c r="U49" s="18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BN689"/>
  <sheetViews>
    <sheetView zoomScale="70" zoomScaleNormal="70" workbookViewId="0">
      <selection activeCell="I22" sqref="A22:I25"/>
    </sheetView>
  </sheetViews>
  <sheetFormatPr defaultColWidth="14.44140625" defaultRowHeight="15" customHeight="1" outlineLevelRow="2" outlineLevelCol="1" x14ac:dyDescent="0.3"/>
  <cols>
    <col min="1" max="1" width="3.44140625" customWidth="1"/>
    <col min="2" max="2" width="2.6640625" customWidth="1"/>
    <col min="3" max="3" width="51" customWidth="1"/>
    <col min="4" max="4" width="12.44140625" customWidth="1"/>
    <col min="5" max="5" width="11.33203125" customWidth="1"/>
    <col min="6" max="6" width="16" customWidth="1"/>
    <col min="7" max="7" width="10.77734375" customWidth="1"/>
    <col min="8" max="8" width="9.77734375" customWidth="1"/>
    <col min="9" max="9" width="14.33203125" customWidth="1"/>
    <col min="10" max="33" width="10.44140625" hidden="1" customWidth="1" outlineLevel="1"/>
    <col min="34" max="34" width="11.6640625" customWidth="1" collapsed="1"/>
    <col min="35" max="35" width="11.109375" customWidth="1"/>
    <col min="36" max="36" width="10.5546875" customWidth="1"/>
    <col min="37" max="37" width="11.5546875" customWidth="1"/>
    <col min="38" max="38" width="12.44140625" customWidth="1"/>
    <col min="39" max="43" width="10.5546875" customWidth="1"/>
    <col min="44" max="46" width="12" customWidth="1"/>
    <col min="47" max="47" width="14.33203125" customWidth="1"/>
    <col min="48" max="48" width="11.88671875" customWidth="1"/>
    <col min="49" max="53" width="8.6640625" customWidth="1"/>
    <col min="54" max="54" width="11.33203125" customWidth="1"/>
    <col min="55" max="66" width="8.6640625" customWidth="1"/>
  </cols>
  <sheetData>
    <row r="1" spans="1:66" ht="23.25" customHeight="1" x14ac:dyDescent="0.4">
      <c r="A1" s="7"/>
      <c r="B1" s="1" t="s">
        <v>759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</row>
    <row r="2" spans="1:66" ht="15" customHeight="1" x14ac:dyDescent="0.3">
      <c r="A2" s="7"/>
      <c r="B2" s="7"/>
      <c r="C2" s="14" t="s">
        <v>116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56">
        <v>46387</v>
      </c>
      <c r="AJ2" s="56">
        <f t="shared" ref="AJ2:AT2" si="0">EOMONTH(AI2,12)</f>
        <v>46752</v>
      </c>
      <c r="AK2" s="56">
        <f t="shared" si="0"/>
        <v>47118</v>
      </c>
      <c r="AL2" s="56">
        <f t="shared" si="0"/>
        <v>47483</v>
      </c>
      <c r="AM2" s="56">
        <f t="shared" si="0"/>
        <v>47848</v>
      </c>
      <c r="AN2" s="56">
        <f t="shared" si="0"/>
        <v>48213</v>
      </c>
      <c r="AO2" s="56">
        <f t="shared" si="0"/>
        <v>48579</v>
      </c>
      <c r="AP2" s="56">
        <f t="shared" si="0"/>
        <v>48944</v>
      </c>
      <c r="AQ2" s="56">
        <f t="shared" si="0"/>
        <v>49309</v>
      </c>
      <c r="AR2" s="56">
        <f t="shared" si="0"/>
        <v>49674</v>
      </c>
      <c r="AS2" s="56">
        <f t="shared" si="0"/>
        <v>50040</v>
      </c>
      <c r="AT2" s="56">
        <f t="shared" si="0"/>
        <v>50405</v>
      </c>
      <c r="AU2" s="57" t="s">
        <v>117</v>
      </c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</row>
    <row r="3" spans="1:66" ht="13.5" customHeight="1" x14ac:dyDescent="0.3">
      <c r="A3" s="2" t="s">
        <v>0</v>
      </c>
      <c r="B3" s="3" t="s">
        <v>725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</row>
    <row r="4" spans="1:66" ht="13.5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58"/>
      <c r="AN4" s="59" t="s">
        <v>118</v>
      </c>
      <c r="AO4" s="60"/>
      <c r="AP4" s="60"/>
      <c r="AQ4" s="61">
        <v>0.03</v>
      </c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</row>
    <row r="5" spans="1:66" ht="13.5" customHeight="1" x14ac:dyDescent="0.3">
      <c r="A5" s="7"/>
      <c r="B5" s="15" t="s">
        <v>119</v>
      </c>
      <c r="C5" s="7"/>
      <c r="D5" s="7"/>
      <c r="E5" s="7"/>
      <c r="F5" s="62">
        <v>46265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58"/>
      <c r="AN5" s="5"/>
      <c r="AO5" s="7"/>
      <c r="AP5" s="7"/>
      <c r="AQ5" s="63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</row>
    <row r="6" spans="1:66" ht="13.5" customHeight="1" x14ac:dyDescent="0.3">
      <c r="A6" s="7"/>
      <c r="B6" s="20" t="s">
        <v>120</v>
      </c>
      <c r="C6" s="7"/>
      <c r="D6" s="7"/>
      <c r="E6" s="7"/>
      <c r="F6" s="435">
        <f>Input!F39</f>
        <v>63234.771830999998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58"/>
      <c r="AN6" s="5"/>
      <c r="AO6" s="7"/>
      <c r="AP6" s="7"/>
      <c r="AQ6" s="63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</row>
    <row r="7" spans="1:66" ht="13.5" customHeight="1" x14ac:dyDescent="0.3">
      <c r="A7" s="7"/>
      <c r="B7" s="7" t="s">
        <v>121</v>
      </c>
      <c r="C7" s="7"/>
      <c r="D7" s="7" t="s">
        <v>122</v>
      </c>
      <c r="E7" s="7"/>
      <c r="F7" s="64"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65" t="s">
        <v>123</v>
      </c>
      <c r="AJ7" s="7"/>
      <c r="AK7" s="7"/>
      <c r="AL7" s="7"/>
      <c r="AM7" s="58"/>
      <c r="AN7" s="7"/>
      <c r="AO7" s="7"/>
      <c r="AP7" s="7"/>
      <c r="AQ7" s="7"/>
      <c r="AR7" s="7"/>
      <c r="AS7" s="7"/>
      <c r="AT7" s="7"/>
      <c r="AU7" s="7"/>
      <c r="AV7" s="7"/>
      <c r="AW7" s="48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</row>
    <row r="8" spans="1:66" ht="13.5" customHeight="1" x14ac:dyDescent="0.3">
      <c r="A8" s="7"/>
      <c r="B8" s="7" t="s">
        <v>125</v>
      </c>
      <c r="C8" s="7"/>
      <c r="D8" s="7" t="s">
        <v>87</v>
      </c>
      <c r="E8" s="7"/>
      <c r="F8" s="64">
        <v>550000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66"/>
      <c r="AK8" s="67" t="s">
        <v>10</v>
      </c>
      <c r="AL8" s="67" t="s">
        <v>124</v>
      </c>
      <c r="AM8" s="67" t="s">
        <v>124</v>
      </c>
      <c r="AN8" s="67" t="s">
        <v>124</v>
      </c>
      <c r="AO8" s="7"/>
      <c r="AP8" s="7"/>
      <c r="AQ8" s="66"/>
      <c r="AR8" s="7"/>
      <c r="AS8" s="7"/>
      <c r="AT8" s="7"/>
      <c r="AU8" s="15"/>
      <c r="AV8" s="18"/>
      <c r="AW8" s="48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</row>
    <row r="9" spans="1:66" ht="13.5" customHeight="1" x14ac:dyDescent="0.3">
      <c r="A9" s="7"/>
      <c r="B9" s="7" t="s">
        <v>126</v>
      </c>
      <c r="C9" s="7"/>
      <c r="D9" s="7" t="s">
        <v>87</v>
      </c>
      <c r="E9" s="7"/>
      <c r="F9" s="64">
        <v>750000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 t="s">
        <v>728</v>
      </c>
      <c r="AJ9" s="7"/>
      <c r="AK9" s="49">
        <v>0.9</v>
      </c>
      <c r="AL9" s="68">
        <f>AL12*AK9</f>
        <v>379408.630986</v>
      </c>
      <c r="AM9" s="68">
        <f>AM12*AK9</f>
        <v>0</v>
      </c>
      <c r="AN9" s="68">
        <f>SUM(AL9:AM9)</f>
        <v>379408.630986</v>
      </c>
      <c r="AO9" s="7"/>
      <c r="AP9" s="7"/>
      <c r="AQ9" s="7"/>
      <c r="AR9" s="7"/>
      <c r="AS9" s="7"/>
      <c r="AT9" s="7"/>
      <c r="AU9" s="15"/>
      <c r="AV9" s="18"/>
      <c r="AW9" s="48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</row>
    <row r="10" spans="1:66" ht="13.5" customHeight="1" x14ac:dyDescent="0.3">
      <c r="A10" s="7"/>
      <c r="B10" s="7" t="s">
        <v>127</v>
      </c>
      <c r="C10" s="7"/>
      <c r="D10" s="7"/>
      <c r="E10" s="7"/>
      <c r="F10" s="71">
        <v>1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 t="s">
        <v>732</v>
      </c>
      <c r="AJ10" s="7"/>
      <c r="AK10" s="49">
        <v>0.1</v>
      </c>
      <c r="AL10" s="68">
        <f>AK10*AL12</f>
        <v>42156.514554000001</v>
      </c>
      <c r="AM10" s="68">
        <f>AM12*AK10</f>
        <v>0</v>
      </c>
      <c r="AN10" s="68">
        <f>SUM(AL10:AM10)</f>
        <v>42156.514554000001</v>
      </c>
      <c r="AP10" s="7"/>
      <c r="AQ10" s="68"/>
      <c r="AR10" s="70"/>
      <c r="AS10" s="7"/>
      <c r="AT10" s="7"/>
      <c r="AU10" s="15"/>
      <c r="AV10" s="18"/>
      <c r="AW10" s="48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</row>
    <row r="11" spans="1:66" ht="13.5" customHeight="1" x14ac:dyDescent="0.3">
      <c r="A11" s="7"/>
      <c r="B11" s="7" t="s">
        <v>129</v>
      </c>
      <c r="C11" s="7"/>
      <c r="D11" s="7"/>
      <c r="E11" s="7"/>
      <c r="F11" s="71"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 t="s">
        <v>128</v>
      </c>
      <c r="AJ11" s="7"/>
      <c r="AK11" s="49">
        <v>0</v>
      </c>
      <c r="AL11" s="68">
        <f>F6-AL10</f>
        <v>21078.257276999997</v>
      </c>
      <c r="AM11" s="364">
        <v>0</v>
      </c>
      <c r="AN11" s="68">
        <f>SUM(AL11:AM11)</f>
        <v>21078.257276999997</v>
      </c>
      <c r="AP11" s="7"/>
      <c r="AQ11" s="32"/>
      <c r="AR11" s="7"/>
      <c r="AS11" s="7"/>
      <c r="AT11" s="7"/>
      <c r="AU11" s="15"/>
      <c r="AV11" s="18"/>
      <c r="AW11" s="48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</row>
    <row r="12" spans="1:66" ht="13.5" customHeight="1" x14ac:dyDescent="0.3">
      <c r="A12" s="7"/>
      <c r="B12" s="7" t="s">
        <v>130</v>
      </c>
      <c r="C12" s="7"/>
      <c r="D12" s="7"/>
      <c r="E12" s="7"/>
      <c r="F12" s="71">
        <v>1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5" t="s">
        <v>32</v>
      </c>
      <c r="AJ12" s="7"/>
      <c r="AK12" s="72">
        <f>SUM(AK9:AK11)</f>
        <v>1</v>
      </c>
      <c r="AL12" s="70">
        <f>F16</f>
        <v>421565.14554</v>
      </c>
      <c r="AM12" s="70">
        <f>G16</f>
        <v>0</v>
      </c>
      <c r="AN12" s="70">
        <f>SUM(AL12:AM12)</f>
        <v>421565.14554</v>
      </c>
      <c r="AO12" s="7"/>
      <c r="AP12" s="7"/>
      <c r="AQ12" s="7"/>
      <c r="AR12" s="7"/>
      <c r="AS12" s="7"/>
      <c r="AT12" s="7"/>
      <c r="AU12" s="15"/>
      <c r="AV12" s="18"/>
      <c r="AW12" s="48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ht="13.5" customHeight="1" x14ac:dyDescent="0.3">
      <c r="A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49"/>
      <c r="AL13" s="68"/>
      <c r="AM13" s="69"/>
      <c r="AN13" s="32"/>
      <c r="AO13" s="7"/>
      <c r="AP13" s="7"/>
      <c r="AQ13" s="7"/>
      <c r="AR13" s="7"/>
      <c r="AS13" s="7"/>
      <c r="AT13" s="7"/>
      <c r="AU13" s="15"/>
      <c r="AV13" s="18"/>
      <c r="AW13" s="48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ht="13.5" customHeight="1" x14ac:dyDescent="0.3">
      <c r="A14" s="7"/>
      <c r="B14" s="7"/>
      <c r="C14" s="7"/>
      <c r="D14" s="7"/>
      <c r="E14" s="7"/>
      <c r="F14" s="64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363"/>
      <c r="AM14" s="68"/>
      <c r="AN14" s="7"/>
      <c r="AO14" s="68"/>
      <c r="AP14" s="7"/>
      <c r="AQ14" s="7"/>
      <c r="AR14" s="7"/>
      <c r="AS14" s="7"/>
      <c r="AT14" s="7"/>
      <c r="AU14" s="15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</row>
    <row r="15" spans="1:66" ht="13.5" customHeight="1" x14ac:dyDescent="0.3">
      <c r="A15" s="7"/>
      <c r="B15" s="7"/>
      <c r="C15" s="7"/>
      <c r="D15" s="7"/>
      <c r="E15" s="7"/>
      <c r="F15" s="336"/>
      <c r="G15" s="336"/>
      <c r="H15" s="33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5"/>
      <c r="AJ15" s="7"/>
      <c r="AK15" s="72"/>
      <c r="AL15" s="70"/>
      <c r="AM15" s="7"/>
      <c r="AN15" s="7"/>
      <c r="AO15" s="7"/>
      <c r="AP15" s="7"/>
      <c r="AQ15" s="7"/>
      <c r="AR15" s="7"/>
      <c r="AS15" s="7"/>
      <c r="AT15" s="7"/>
      <c r="AU15" s="15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ht="13.5" customHeight="1" x14ac:dyDescent="0.3">
      <c r="A16" s="7"/>
      <c r="B16" s="5" t="s">
        <v>726</v>
      </c>
      <c r="C16" s="7"/>
      <c r="D16" s="7"/>
      <c r="E16" s="7"/>
      <c r="F16" s="73">
        <f>SUM(F17:F24)</f>
        <v>421565.14554</v>
      </c>
      <c r="H16" s="73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5" t="s">
        <v>131</v>
      </c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ht="13.5" customHeight="1" x14ac:dyDescent="0.3">
      <c r="A17" s="7"/>
      <c r="B17" s="7"/>
      <c r="C17" s="7" t="s">
        <v>132</v>
      </c>
      <c r="D17" s="7" t="s">
        <v>4</v>
      </c>
      <c r="E17" s="7"/>
      <c r="F17" s="16">
        <f>Input!F49</f>
        <v>20000</v>
      </c>
      <c r="H17" s="64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5"/>
      <c r="AJ17" s="7"/>
      <c r="AK17" s="7"/>
      <c r="AL17" s="7"/>
      <c r="AM17" s="7"/>
      <c r="AN17" s="7"/>
      <c r="AO17" s="7"/>
      <c r="AP17" s="7"/>
      <c r="AQ17" s="344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ht="13.5" customHeight="1" x14ac:dyDescent="0.3">
      <c r="A18" s="7"/>
      <c r="B18" s="7"/>
      <c r="C18" s="7" t="s">
        <v>133</v>
      </c>
      <c r="D18" s="7" t="s">
        <v>4</v>
      </c>
      <c r="E18" s="7"/>
      <c r="F18" s="16">
        <f>Input!F50</f>
        <v>224825.14554</v>
      </c>
      <c r="H18" s="64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15"/>
      <c r="AJ18" s="7"/>
      <c r="AK18" s="7"/>
      <c r="AL18" s="74" t="str">
        <f>D414</f>
        <v>Без учета остатка КРС</v>
      </c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ht="13.5" customHeight="1" x14ac:dyDescent="0.3">
      <c r="A19" s="7"/>
      <c r="B19" s="7"/>
      <c r="C19" s="7" t="s">
        <v>134</v>
      </c>
      <c r="D19" s="7" t="s">
        <v>4</v>
      </c>
      <c r="E19" s="7"/>
      <c r="F19" s="16">
        <f>Input!F51</f>
        <v>57640</v>
      </c>
      <c r="H19" s="64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15" t="str">
        <f>C415</f>
        <v>NPV (10 лет)</v>
      </c>
      <c r="AJ19" s="7"/>
      <c r="AK19" s="7"/>
      <c r="AL19" s="75">
        <f ca="1">D415</f>
        <v>458767.09103621426</v>
      </c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ht="12.75" hidden="1" customHeight="1" x14ac:dyDescent="0.3">
      <c r="A20" s="7"/>
      <c r="B20" s="7"/>
      <c r="C20" s="7"/>
      <c r="D20" s="7"/>
      <c r="E20" s="7"/>
      <c r="F20" s="64"/>
      <c r="H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6" ht="12.75" hidden="1" customHeight="1" x14ac:dyDescent="0.3">
      <c r="A21" s="7"/>
      <c r="B21" s="7"/>
      <c r="C21" s="7" t="s">
        <v>135</v>
      </c>
      <c r="D21" s="7" t="s">
        <v>4</v>
      </c>
      <c r="E21" s="7"/>
      <c r="F21" s="64">
        <v>0</v>
      </c>
      <c r="H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</row>
    <row r="22" spans="1:66" ht="13.5" customHeight="1" x14ac:dyDescent="0.3">
      <c r="A22" s="7"/>
      <c r="B22" s="7"/>
      <c r="C22" s="7" t="s">
        <v>56</v>
      </c>
      <c r="D22" s="7" t="s">
        <v>4</v>
      </c>
      <c r="E22" s="7"/>
      <c r="F22" s="16">
        <f>Input!F53</f>
        <v>110000</v>
      </c>
      <c r="H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15" t="str">
        <f>C416</f>
        <v>IRR (10 лет)</v>
      </c>
      <c r="AJ22" s="7"/>
      <c r="AK22" s="7"/>
      <c r="AL22" s="76">
        <f ca="1">D416</f>
        <v>0.17060884929013875</v>
      </c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</row>
    <row r="23" spans="1:66" ht="13.5" customHeight="1" x14ac:dyDescent="0.3">
      <c r="A23" s="7"/>
      <c r="B23" s="7"/>
      <c r="C23" s="7" t="s">
        <v>136</v>
      </c>
      <c r="D23" s="7" t="s">
        <v>4</v>
      </c>
      <c r="E23" s="7"/>
      <c r="F23" s="16">
        <f>Input!F54</f>
        <v>9100</v>
      </c>
      <c r="H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15" t="str">
        <f>C417</f>
        <v>Простая окупаемость</v>
      </c>
      <c r="AJ23" s="7"/>
      <c r="AK23" s="7"/>
      <c r="AL23" s="77">
        <f ca="1">D417</f>
        <v>7.2195121020897401</v>
      </c>
      <c r="AM23" s="7"/>
      <c r="AN23" s="7"/>
      <c r="AO23" s="7"/>
      <c r="AP23" s="7"/>
      <c r="AQ23" s="7"/>
      <c r="AR23" s="55"/>
      <c r="AS23" s="55"/>
      <c r="AT23" s="55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</row>
    <row r="24" spans="1:66" ht="13.5" customHeight="1" x14ac:dyDescent="0.3">
      <c r="A24" s="7"/>
      <c r="B24" s="7"/>
      <c r="C24" s="7" t="s">
        <v>684</v>
      </c>
      <c r="D24" s="7" t="s">
        <v>4</v>
      </c>
      <c r="E24" s="7"/>
      <c r="F24" s="16">
        <v>0</v>
      </c>
      <c r="G24" s="16"/>
      <c r="H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15" t="str">
        <f>C418</f>
        <v>Дисконтированная окупаемость</v>
      </c>
      <c r="AJ24" s="7"/>
      <c r="AK24" s="7"/>
      <c r="AL24" s="77">
        <f ca="1">D418</f>
        <v>8.150758997801768</v>
      </c>
      <c r="AM24" s="7"/>
      <c r="AN24" s="7"/>
      <c r="AO24" s="7"/>
      <c r="AP24" s="7"/>
      <c r="AQ24" s="7"/>
      <c r="AR24" s="55"/>
      <c r="AS24" s="55"/>
      <c r="AT24" s="55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</row>
    <row r="25" spans="1:66" ht="13.5" customHeight="1" x14ac:dyDescent="0.3">
      <c r="A25" s="7"/>
      <c r="B25" s="7"/>
      <c r="C25" s="7"/>
      <c r="D25" s="7"/>
      <c r="E25" s="7"/>
      <c r="F25" s="16"/>
      <c r="G25" s="7"/>
      <c r="H25" s="7"/>
      <c r="I25" s="7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J25" s="7"/>
      <c r="AK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</row>
    <row r="26" spans="1:66" ht="13.5" customHeight="1" x14ac:dyDescent="0.3">
      <c r="A26" s="7"/>
      <c r="B26" s="5" t="s">
        <v>727</v>
      </c>
      <c r="C26" s="7"/>
      <c r="D26" s="7" t="s">
        <v>4</v>
      </c>
      <c r="E26" s="7"/>
      <c r="F26" s="16">
        <f ca="1">SUM(J308:AG308)</f>
        <v>56436.079391446037</v>
      </c>
      <c r="G26" s="7"/>
      <c r="H26" s="7"/>
      <c r="I26" s="7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15"/>
      <c r="AJ26" s="7"/>
      <c r="AK26" s="7"/>
      <c r="AL26" s="78"/>
      <c r="AM26" s="78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</row>
    <row r="27" spans="1:66" ht="13.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</row>
    <row r="28" spans="1:66" ht="13.5" customHeight="1" x14ac:dyDescent="0.3">
      <c r="A28" s="2" t="s">
        <v>0</v>
      </c>
      <c r="B28" s="3" t="s">
        <v>138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</row>
    <row r="29" spans="1:66" ht="13.5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9">
        <f>EOMONTH(F5,0)</f>
        <v>46265</v>
      </c>
      <c r="K29" s="79">
        <f t="shared" ref="K29:AG29" si="1">EOMONTH(J29,1)</f>
        <v>46295</v>
      </c>
      <c r="L29" s="79">
        <f t="shared" si="1"/>
        <v>46326</v>
      </c>
      <c r="M29" s="79">
        <f t="shared" si="1"/>
        <v>46356</v>
      </c>
      <c r="N29" s="79">
        <f t="shared" si="1"/>
        <v>46387</v>
      </c>
      <c r="O29" s="79">
        <f t="shared" si="1"/>
        <v>46418</v>
      </c>
      <c r="P29" s="79">
        <f t="shared" si="1"/>
        <v>46446</v>
      </c>
      <c r="Q29" s="79">
        <f t="shared" si="1"/>
        <v>46477</v>
      </c>
      <c r="R29" s="79">
        <f t="shared" si="1"/>
        <v>46507</v>
      </c>
      <c r="S29" s="79">
        <f t="shared" si="1"/>
        <v>46538</v>
      </c>
      <c r="T29" s="79">
        <f t="shared" si="1"/>
        <v>46568</v>
      </c>
      <c r="U29" s="79">
        <f t="shared" si="1"/>
        <v>46599</v>
      </c>
      <c r="V29" s="79">
        <f t="shared" si="1"/>
        <v>46630</v>
      </c>
      <c r="W29" s="79">
        <f t="shared" si="1"/>
        <v>46660</v>
      </c>
      <c r="X29" s="79">
        <f t="shared" si="1"/>
        <v>46691</v>
      </c>
      <c r="Y29" s="79">
        <f t="shared" si="1"/>
        <v>46721</v>
      </c>
      <c r="Z29" s="79">
        <f t="shared" si="1"/>
        <v>46752</v>
      </c>
      <c r="AA29" s="79">
        <f t="shared" si="1"/>
        <v>46783</v>
      </c>
      <c r="AB29" s="79">
        <f t="shared" si="1"/>
        <v>46812</v>
      </c>
      <c r="AC29" s="79">
        <f t="shared" si="1"/>
        <v>46843</v>
      </c>
      <c r="AD29" s="79">
        <f t="shared" si="1"/>
        <v>46873</v>
      </c>
      <c r="AE29" s="79">
        <f t="shared" si="1"/>
        <v>46904</v>
      </c>
      <c r="AF29" s="79">
        <f t="shared" si="1"/>
        <v>46934</v>
      </c>
      <c r="AG29" s="79">
        <f t="shared" si="1"/>
        <v>46965</v>
      </c>
      <c r="AH29" s="7"/>
      <c r="AI29" s="6">
        <f t="shared" ref="AI29:AS29" si="2">AI38</f>
        <v>2026</v>
      </c>
      <c r="AJ29" s="6">
        <f t="shared" si="2"/>
        <v>2027</v>
      </c>
      <c r="AK29" s="6">
        <f t="shared" si="2"/>
        <v>2028</v>
      </c>
      <c r="AL29" s="6">
        <f t="shared" si="2"/>
        <v>2029</v>
      </c>
      <c r="AM29" s="6">
        <f t="shared" si="2"/>
        <v>2030</v>
      </c>
      <c r="AN29" s="6">
        <f t="shared" si="2"/>
        <v>2031</v>
      </c>
      <c r="AO29" s="6">
        <f t="shared" si="2"/>
        <v>2032</v>
      </c>
      <c r="AP29" s="6">
        <f t="shared" si="2"/>
        <v>2033</v>
      </c>
      <c r="AQ29" s="6">
        <f t="shared" si="2"/>
        <v>2034</v>
      </c>
      <c r="AR29" s="6">
        <f t="shared" si="2"/>
        <v>2035</v>
      </c>
      <c r="AS29" s="6">
        <f t="shared" si="2"/>
        <v>2036</v>
      </c>
      <c r="AT29" s="6">
        <f t="shared" ref="AT29" si="3">AT38</f>
        <v>2037</v>
      </c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</row>
    <row r="30" spans="1:66" ht="13.5" customHeight="1" x14ac:dyDescent="0.3">
      <c r="A30" s="7"/>
      <c r="B30" s="15" t="s">
        <v>139</v>
      </c>
      <c r="C30" s="7"/>
      <c r="D30" s="7" t="s">
        <v>10</v>
      </c>
      <c r="E30" s="57" t="s">
        <v>140</v>
      </c>
      <c r="F30" s="7" t="s">
        <v>141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15">
        <v>4.3</v>
      </c>
      <c r="AJ30" s="15">
        <v>3.8</v>
      </c>
      <c r="AK30" s="15">
        <v>2.6</v>
      </c>
      <c r="AL30" s="15">
        <v>3.1</v>
      </c>
      <c r="AM30" s="15">
        <v>3.1</v>
      </c>
      <c r="AN30" s="15">
        <v>3.1</v>
      </c>
      <c r="AO30" s="15">
        <v>3.1</v>
      </c>
      <c r="AP30" s="15">
        <v>3.1</v>
      </c>
      <c r="AQ30" s="15">
        <v>3.1</v>
      </c>
      <c r="AR30" s="15">
        <v>3.1</v>
      </c>
      <c r="AS30" s="15">
        <v>3.1</v>
      </c>
      <c r="AT30" s="15">
        <v>3.1</v>
      </c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</row>
    <row r="31" spans="1:66" ht="13.5" customHeight="1" x14ac:dyDescent="0.3">
      <c r="A31" s="7"/>
      <c r="B31" s="15" t="s">
        <v>142</v>
      </c>
      <c r="C31" s="7"/>
      <c r="D31" s="7" t="s">
        <v>10</v>
      </c>
      <c r="E31" s="57" t="s">
        <v>140</v>
      </c>
      <c r="F31" s="7" t="s">
        <v>141</v>
      </c>
      <c r="G31" s="7"/>
      <c r="H31" s="7"/>
      <c r="I31" s="7"/>
      <c r="J31" s="30">
        <v>1</v>
      </c>
      <c r="K31" s="19">
        <f t="shared" ref="K31:N31" si="4">J31</f>
        <v>1</v>
      </c>
      <c r="L31" s="19">
        <f t="shared" si="4"/>
        <v>1</v>
      </c>
      <c r="M31" s="19">
        <f t="shared" si="4"/>
        <v>1</v>
      </c>
      <c r="N31" s="19">
        <f t="shared" si="4"/>
        <v>1</v>
      </c>
      <c r="O31" s="19">
        <f>AJ31+N31</f>
        <v>1.105</v>
      </c>
      <c r="P31" s="19">
        <v>1</v>
      </c>
      <c r="Q31" s="19">
        <v>1</v>
      </c>
      <c r="R31" s="19">
        <v>1</v>
      </c>
      <c r="S31" s="19">
        <v>1</v>
      </c>
      <c r="T31" s="19">
        <v>1</v>
      </c>
      <c r="U31" s="19">
        <v>1</v>
      </c>
      <c r="V31" s="19">
        <v>1</v>
      </c>
      <c r="W31" s="19">
        <v>1</v>
      </c>
      <c r="X31" s="19">
        <v>1</v>
      </c>
      <c r="Y31" s="19">
        <v>1</v>
      </c>
      <c r="Z31" s="19">
        <v>1</v>
      </c>
      <c r="AA31" s="19">
        <f>AK31+Z31</f>
        <v>1.1000000000000001</v>
      </c>
      <c r="AB31" s="19">
        <v>1</v>
      </c>
      <c r="AC31" s="19">
        <v>1</v>
      </c>
      <c r="AD31" s="19">
        <v>1</v>
      </c>
      <c r="AE31" s="19">
        <v>1</v>
      </c>
      <c r="AF31" s="19">
        <v>1</v>
      </c>
      <c r="AG31" s="19">
        <v>1</v>
      </c>
      <c r="AH31" s="7"/>
      <c r="AI31" s="30">
        <v>0.11</v>
      </c>
      <c r="AJ31" s="30">
        <v>0.105</v>
      </c>
      <c r="AK31" s="30">
        <v>0.1</v>
      </c>
      <c r="AL31" s="30">
        <v>9.5000000000000001E-2</v>
      </c>
      <c r="AM31" s="19">
        <v>0.09</v>
      </c>
      <c r="AN31" s="19">
        <v>8.5000000000000006E-2</v>
      </c>
      <c r="AO31" s="19">
        <v>0.08</v>
      </c>
      <c r="AP31" s="19">
        <v>7.0000000000000007E-2</v>
      </c>
      <c r="AQ31" s="19">
        <v>6.5000000000000002E-2</v>
      </c>
      <c r="AR31" s="19">
        <v>0.06</v>
      </c>
      <c r="AS31" s="19">
        <v>0.05</v>
      </c>
      <c r="AT31" s="19">
        <v>0.05</v>
      </c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</row>
    <row r="32" spans="1:66" ht="13.5" customHeight="1" x14ac:dyDescent="0.3">
      <c r="A32" s="7"/>
      <c r="B32" s="15" t="s">
        <v>143</v>
      </c>
      <c r="C32" s="7"/>
      <c r="D32" s="7" t="s">
        <v>144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68">
        <v>550</v>
      </c>
      <c r="AJ32" s="68">
        <f t="shared" ref="AJ32:AT32" si="5">AI32*(1+5%)</f>
        <v>577.5</v>
      </c>
      <c r="AK32" s="68">
        <f t="shared" si="5"/>
        <v>606.375</v>
      </c>
      <c r="AL32" s="68">
        <f t="shared" si="5"/>
        <v>636.69375000000002</v>
      </c>
      <c r="AM32" s="68">
        <f t="shared" si="5"/>
        <v>668.5284375</v>
      </c>
      <c r="AN32" s="68">
        <f t="shared" si="5"/>
        <v>701.95485937500007</v>
      </c>
      <c r="AO32" s="68">
        <f t="shared" si="5"/>
        <v>737.0526023437501</v>
      </c>
      <c r="AP32" s="68">
        <f t="shared" si="5"/>
        <v>773.90523246093767</v>
      </c>
      <c r="AQ32" s="68">
        <f t="shared" si="5"/>
        <v>812.60049408398459</v>
      </c>
      <c r="AR32" s="68">
        <f t="shared" si="5"/>
        <v>853.23051878818387</v>
      </c>
      <c r="AS32" s="68">
        <f t="shared" si="5"/>
        <v>895.89204472759309</v>
      </c>
      <c r="AT32" s="68">
        <f t="shared" si="5"/>
        <v>940.68664696397275</v>
      </c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</row>
    <row r="33" spans="1:66" ht="13.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</row>
    <row r="34" spans="1:66" ht="13.5" customHeight="1" x14ac:dyDescent="0.3">
      <c r="A34" s="2" t="s">
        <v>0</v>
      </c>
      <c r="B34" s="3" t="s">
        <v>38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</row>
    <row r="35" spans="1:66" ht="13.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15">
        <v>1</v>
      </c>
      <c r="K35" s="15">
        <f t="shared" ref="K35:AG35" si="6">J35+1</f>
        <v>2</v>
      </c>
      <c r="L35" s="15">
        <f t="shared" si="6"/>
        <v>3</v>
      </c>
      <c r="M35" s="15">
        <f t="shared" si="6"/>
        <v>4</v>
      </c>
      <c r="N35" s="15">
        <f t="shared" si="6"/>
        <v>5</v>
      </c>
      <c r="O35" s="15">
        <f t="shared" si="6"/>
        <v>6</v>
      </c>
      <c r="P35" s="15">
        <f t="shared" si="6"/>
        <v>7</v>
      </c>
      <c r="Q35" s="15">
        <f t="shared" si="6"/>
        <v>8</v>
      </c>
      <c r="R35" s="15">
        <f t="shared" si="6"/>
        <v>9</v>
      </c>
      <c r="S35" s="15">
        <f t="shared" si="6"/>
        <v>10</v>
      </c>
      <c r="T35" s="15">
        <f t="shared" si="6"/>
        <v>11</v>
      </c>
      <c r="U35" s="15">
        <f t="shared" si="6"/>
        <v>12</v>
      </c>
      <c r="V35" s="15">
        <f t="shared" si="6"/>
        <v>13</v>
      </c>
      <c r="W35" s="15">
        <f t="shared" si="6"/>
        <v>14</v>
      </c>
      <c r="X35" s="15">
        <f t="shared" si="6"/>
        <v>15</v>
      </c>
      <c r="Y35" s="15">
        <f t="shared" si="6"/>
        <v>16</v>
      </c>
      <c r="Z35" s="15">
        <f t="shared" si="6"/>
        <v>17</v>
      </c>
      <c r="AA35" s="15">
        <f t="shared" si="6"/>
        <v>18</v>
      </c>
      <c r="AB35" s="15">
        <f t="shared" si="6"/>
        <v>19</v>
      </c>
      <c r="AC35" s="15">
        <f t="shared" si="6"/>
        <v>20</v>
      </c>
      <c r="AD35" s="15">
        <f t="shared" si="6"/>
        <v>21</v>
      </c>
      <c r="AE35" s="15">
        <f t="shared" si="6"/>
        <v>22</v>
      </c>
      <c r="AF35" s="15">
        <f t="shared" si="6"/>
        <v>23</v>
      </c>
      <c r="AG35" s="15">
        <f t="shared" si="6"/>
        <v>24</v>
      </c>
      <c r="AH35" s="7"/>
      <c r="AI35" s="15">
        <v>5</v>
      </c>
      <c r="AJ35" s="15">
        <v>12</v>
      </c>
      <c r="AK35" s="15">
        <v>12</v>
      </c>
      <c r="AL35" s="15">
        <v>12</v>
      </c>
      <c r="AM35" s="15">
        <v>12</v>
      </c>
      <c r="AN35" s="15">
        <v>12</v>
      </c>
      <c r="AO35" s="15">
        <v>12</v>
      </c>
      <c r="AP35" s="15">
        <v>12</v>
      </c>
      <c r="AQ35" s="15">
        <v>12</v>
      </c>
      <c r="AR35" s="15">
        <v>12</v>
      </c>
      <c r="AS35" s="15">
        <v>12</v>
      </c>
      <c r="AT35" s="15">
        <v>12</v>
      </c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</row>
    <row r="36" spans="1:66" ht="13.5" customHeight="1" x14ac:dyDescent="0.3">
      <c r="A36" s="80" t="s">
        <v>145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</row>
    <row r="37" spans="1:66" ht="13.5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10">
        <f t="shared" ref="J37:AG37" si="7">YEAR(J39)</f>
        <v>2026</v>
      </c>
      <c r="K37" s="10">
        <f t="shared" si="7"/>
        <v>2026</v>
      </c>
      <c r="L37" s="10">
        <f t="shared" si="7"/>
        <v>2026</v>
      </c>
      <c r="M37" s="10">
        <f t="shared" si="7"/>
        <v>2026</v>
      </c>
      <c r="N37" s="10">
        <f t="shared" si="7"/>
        <v>2026</v>
      </c>
      <c r="O37" s="10">
        <f t="shared" si="7"/>
        <v>2027</v>
      </c>
      <c r="P37" s="10">
        <f t="shared" si="7"/>
        <v>2027</v>
      </c>
      <c r="Q37" s="10">
        <f t="shared" si="7"/>
        <v>2027</v>
      </c>
      <c r="R37" s="10">
        <f t="shared" si="7"/>
        <v>2027</v>
      </c>
      <c r="S37" s="10">
        <f t="shared" si="7"/>
        <v>2027</v>
      </c>
      <c r="T37" s="10">
        <f t="shared" si="7"/>
        <v>2027</v>
      </c>
      <c r="U37" s="10">
        <f t="shared" si="7"/>
        <v>2027</v>
      </c>
      <c r="V37" s="10">
        <f t="shared" si="7"/>
        <v>2027</v>
      </c>
      <c r="W37" s="10">
        <f t="shared" si="7"/>
        <v>2027</v>
      </c>
      <c r="X37" s="10">
        <f t="shared" si="7"/>
        <v>2027</v>
      </c>
      <c r="Y37" s="10">
        <f t="shared" si="7"/>
        <v>2027</v>
      </c>
      <c r="Z37" s="10">
        <f t="shared" si="7"/>
        <v>2027</v>
      </c>
      <c r="AA37" s="10">
        <f t="shared" si="7"/>
        <v>2028</v>
      </c>
      <c r="AB37" s="10">
        <f t="shared" si="7"/>
        <v>2028</v>
      </c>
      <c r="AC37" s="10">
        <f t="shared" si="7"/>
        <v>2028</v>
      </c>
      <c r="AD37" s="10">
        <f t="shared" si="7"/>
        <v>2028</v>
      </c>
      <c r="AE37" s="10">
        <f t="shared" si="7"/>
        <v>2028</v>
      </c>
      <c r="AF37" s="10">
        <f t="shared" si="7"/>
        <v>2028</v>
      </c>
      <c r="AG37" s="10">
        <f t="shared" si="7"/>
        <v>2028</v>
      </c>
      <c r="AH37" s="7"/>
      <c r="AI37" s="10">
        <f t="shared" ref="AI37:AS37" si="8">YEAR(AI39)</f>
        <v>2026</v>
      </c>
      <c r="AJ37" s="10">
        <f t="shared" si="8"/>
        <v>2027</v>
      </c>
      <c r="AK37" s="10">
        <f t="shared" si="8"/>
        <v>2028</v>
      </c>
      <c r="AL37" s="10">
        <f t="shared" si="8"/>
        <v>2029</v>
      </c>
      <c r="AM37" s="10">
        <f t="shared" si="8"/>
        <v>2030</v>
      </c>
      <c r="AN37" s="10">
        <f t="shared" si="8"/>
        <v>2031</v>
      </c>
      <c r="AO37" s="10">
        <f t="shared" si="8"/>
        <v>2032</v>
      </c>
      <c r="AP37" s="10">
        <f t="shared" si="8"/>
        <v>2033</v>
      </c>
      <c r="AQ37" s="10">
        <f t="shared" si="8"/>
        <v>2034</v>
      </c>
      <c r="AR37" s="10">
        <f t="shared" si="8"/>
        <v>2035</v>
      </c>
      <c r="AS37" s="10">
        <f t="shared" si="8"/>
        <v>2036</v>
      </c>
      <c r="AT37" s="10">
        <f t="shared" ref="AT37" si="9">YEAR(AT39)</f>
        <v>2037</v>
      </c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</row>
    <row r="38" spans="1:66" ht="13.5" customHeight="1" x14ac:dyDescent="0.3">
      <c r="A38" s="7"/>
      <c r="B38" s="7"/>
      <c r="C38" s="7"/>
      <c r="D38" s="7"/>
      <c r="E38" s="82" t="s">
        <v>146</v>
      </c>
      <c r="F38" s="82"/>
      <c r="G38" s="82" t="s">
        <v>147</v>
      </c>
      <c r="H38" s="7"/>
      <c r="I38" s="7"/>
      <c r="J38" s="79">
        <v>46265</v>
      </c>
      <c r="K38" s="79">
        <f t="shared" ref="K38:AG38" si="10">EDATE(J38,1)</f>
        <v>46295</v>
      </c>
      <c r="L38" s="79">
        <f t="shared" si="10"/>
        <v>46325</v>
      </c>
      <c r="M38" s="79">
        <f t="shared" si="10"/>
        <v>46356</v>
      </c>
      <c r="N38" s="79">
        <f t="shared" si="10"/>
        <v>46386</v>
      </c>
      <c r="O38" s="79">
        <f t="shared" si="10"/>
        <v>46417</v>
      </c>
      <c r="P38" s="79">
        <f t="shared" si="10"/>
        <v>46446</v>
      </c>
      <c r="Q38" s="79">
        <f t="shared" si="10"/>
        <v>46474</v>
      </c>
      <c r="R38" s="79">
        <f t="shared" si="10"/>
        <v>46505</v>
      </c>
      <c r="S38" s="79">
        <f t="shared" si="10"/>
        <v>46535</v>
      </c>
      <c r="T38" s="79">
        <f t="shared" si="10"/>
        <v>46566</v>
      </c>
      <c r="U38" s="79">
        <f t="shared" si="10"/>
        <v>46596</v>
      </c>
      <c r="V38" s="79">
        <f t="shared" si="10"/>
        <v>46627</v>
      </c>
      <c r="W38" s="79">
        <f t="shared" si="10"/>
        <v>46658</v>
      </c>
      <c r="X38" s="79">
        <f t="shared" si="10"/>
        <v>46688</v>
      </c>
      <c r="Y38" s="79">
        <f t="shared" si="10"/>
        <v>46719</v>
      </c>
      <c r="Z38" s="79">
        <f t="shared" si="10"/>
        <v>46749</v>
      </c>
      <c r="AA38" s="79">
        <f t="shared" si="10"/>
        <v>46780</v>
      </c>
      <c r="AB38" s="79">
        <f t="shared" si="10"/>
        <v>46811</v>
      </c>
      <c r="AC38" s="79">
        <f t="shared" si="10"/>
        <v>46840</v>
      </c>
      <c r="AD38" s="79">
        <f t="shared" si="10"/>
        <v>46871</v>
      </c>
      <c r="AE38" s="79">
        <f t="shared" si="10"/>
        <v>46901</v>
      </c>
      <c r="AF38" s="79">
        <f t="shared" si="10"/>
        <v>46932</v>
      </c>
      <c r="AG38" s="79">
        <f t="shared" si="10"/>
        <v>46962</v>
      </c>
      <c r="AH38" s="7"/>
      <c r="AI38" s="6">
        <f t="shared" ref="AI38:AT38" si="11">YEAR(AI2)</f>
        <v>2026</v>
      </c>
      <c r="AJ38" s="6">
        <f t="shared" si="11"/>
        <v>2027</v>
      </c>
      <c r="AK38" s="6">
        <f t="shared" si="11"/>
        <v>2028</v>
      </c>
      <c r="AL38" s="6">
        <f t="shared" si="11"/>
        <v>2029</v>
      </c>
      <c r="AM38" s="6">
        <f t="shared" si="11"/>
        <v>2030</v>
      </c>
      <c r="AN38" s="6">
        <f t="shared" si="11"/>
        <v>2031</v>
      </c>
      <c r="AO38" s="6">
        <f t="shared" si="11"/>
        <v>2032</v>
      </c>
      <c r="AP38" s="6">
        <f t="shared" si="11"/>
        <v>2033</v>
      </c>
      <c r="AQ38" s="6">
        <f t="shared" si="11"/>
        <v>2034</v>
      </c>
      <c r="AR38" s="6">
        <f t="shared" si="11"/>
        <v>2035</v>
      </c>
      <c r="AS38" s="6">
        <f t="shared" si="11"/>
        <v>2036</v>
      </c>
      <c r="AT38" s="6">
        <f t="shared" si="11"/>
        <v>2037</v>
      </c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</row>
    <row r="39" spans="1:66" ht="13.5" customHeight="1" x14ac:dyDescent="0.3">
      <c r="A39" s="7"/>
      <c r="B39" s="7"/>
      <c r="C39" s="7"/>
      <c r="D39" s="7"/>
      <c r="E39" s="82"/>
      <c r="F39" s="82"/>
      <c r="G39" s="82"/>
      <c r="H39" s="7"/>
      <c r="I39" s="7"/>
      <c r="J39" s="83">
        <v>46265</v>
      </c>
      <c r="K39" s="83">
        <f t="shared" ref="K39:AG39" si="12">EOMONTH(J39,1)</f>
        <v>46295</v>
      </c>
      <c r="L39" s="83">
        <f t="shared" si="12"/>
        <v>46326</v>
      </c>
      <c r="M39" s="83">
        <f t="shared" si="12"/>
        <v>46356</v>
      </c>
      <c r="N39" s="83">
        <f t="shared" si="12"/>
        <v>46387</v>
      </c>
      <c r="O39" s="83">
        <f t="shared" si="12"/>
        <v>46418</v>
      </c>
      <c r="P39" s="83">
        <f t="shared" si="12"/>
        <v>46446</v>
      </c>
      <c r="Q39" s="83">
        <f t="shared" si="12"/>
        <v>46477</v>
      </c>
      <c r="R39" s="83">
        <f t="shared" si="12"/>
        <v>46507</v>
      </c>
      <c r="S39" s="83">
        <f t="shared" si="12"/>
        <v>46538</v>
      </c>
      <c r="T39" s="83">
        <f t="shared" si="12"/>
        <v>46568</v>
      </c>
      <c r="U39" s="83">
        <f t="shared" si="12"/>
        <v>46599</v>
      </c>
      <c r="V39" s="83">
        <f t="shared" si="12"/>
        <v>46630</v>
      </c>
      <c r="W39" s="83">
        <f t="shared" si="12"/>
        <v>46660</v>
      </c>
      <c r="X39" s="83">
        <f t="shared" si="12"/>
        <v>46691</v>
      </c>
      <c r="Y39" s="83">
        <f t="shared" si="12"/>
        <v>46721</v>
      </c>
      <c r="Z39" s="83">
        <f t="shared" si="12"/>
        <v>46752</v>
      </c>
      <c r="AA39" s="83">
        <f t="shared" si="12"/>
        <v>46783</v>
      </c>
      <c r="AB39" s="83">
        <f t="shared" si="12"/>
        <v>46812</v>
      </c>
      <c r="AC39" s="83">
        <f t="shared" si="12"/>
        <v>46843</v>
      </c>
      <c r="AD39" s="83">
        <f t="shared" si="12"/>
        <v>46873</v>
      </c>
      <c r="AE39" s="83">
        <f t="shared" si="12"/>
        <v>46904</v>
      </c>
      <c r="AF39" s="83">
        <f t="shared" si="12"/>
        <v>46934</v>
      </c>
      <c r="AG39" s="83">
        <f t="shared" si="12"/>
        <v>46965</v>
      </c>
      <c r="AH39" s="7"/>
      <c r="AI39" s="83">
        <v>46387</v>
      </c>
      <c r="AJ39" s="83">
        <f t="shared" ref="AJ39:AT39" si="13">EOMONTH(AI39,12)</f>
        <v>46752</v>
      </c>
      <c r="AK39" s="83">
        <f t="shared" si="13"/>
        <v>47118</v>
      </c>
      <c r="AL39" s="83">
        <f t="shared" si="13"/>
        <v>47483</v>
      </c>
      <c r="AM39" s="83">
        <f t="shared" si="13"/>
        <v>47848</v>
      </c>
      <c r="AN39" s="83">
        <f t="shared" si="13"/>
        <v>48213</v>
      </c>
      <c r="AO39" s="83">
        <f t="shared" si="13"/>
        <v>48579</v>
      </c>
      <c r="AP39" s="83">
        <f t="shared" si="13"/>
        <v>48944</v>
      </c>
      <c r="AQ39" s="83">
        <f t="shared" si="13"/>
        <v>49309</v>
      </c>
      <c r="AR39" s="83">
        <f t="shared" si="13"/>
        <v>49674</v>
      </c>
      <c r="AS39" s="83">
        <f t="shared" si="13"/>
        <v>50040</v>
      </c>
      <c r="AT39" s="83">
        <f t="shared" si="13"/>
        <v>50405</v>
      </c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</row>
    <row r="40" spans="1:66" ht="13.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</row>
    <row r="41" spans="1:66" ht="13.5" customHeight="1" x14ac:dyDescent="0.3">
      <c r="A41" s="7"/>
      <c r="B41" s="7" t="s">
        <v>39</v>
      </c>
      <c r="C41" s="7"/>
      <c r="D41" s="7" t="s">
        <v>40</v>
      </c>
      <c r="E41" s="84">
        <f>Input!F42</f>
        <v>300</v>
      </c>
      <c r="F41" s="68"/>
      <c r="G41" s="7"/>
      <c r="H41" s="7"/>
      <c r="I41" s="49"/>
      <c r="J41" s="8">
        <f>$E$41*J42</f>
        <v>300</v>
      </c>
      <c r="K41" s="8">
        <f t="shared" ref="K41:AG41" si="14">$E$41*K42</f>
        <v>300</v>
      </c>
      <c r="L41" s="8">
        <f t="shared" si="14"/>
        <v>300</v>
      </c>
      <c r="M41" s="8">
        <f t="shared" si="14"/>
        <v>300</v>
      </c>
      <c r="N41" s="8">
        <f t="shared" si="14"/>
        <v>300</v>
      </c>
      <c r="O41" s="8">
        <f t="shared" si="14"/>
        <v>300</v>
      </c>
      <c r="P41" s="8">
        <f t="shared" si="14"/>
        <v>300</v>
      </c>
      <c r="Q41" s="8">
        <f t="shared" si="14"/>
        <v>300</v>
      </c>
      <c r="R41" s="8">
        <f t="shared" si="14"/>
        <v>300</v>
      </c>
      <c r="S41" s="8">
        <f t="shared" si="14"/>
        <v>300</v>
      </c>
      <c r="T41" s="8">
        <f t="shared" si="14"/>
        <v>300</v>
      </c>
      <c r="U41" s="8">
        <f t="shared" si="14"/>
        <v>300</v>
      </c>
      <c r="V41" s="8">
        <f t="shared" si="14"/>
        <v>300</v>
      </c>
      <c r="W41" s="8">
        <f t="shared" si="14"/>
        <v>300</v>
      </c>
      <c r="X41" s="8">
        <f t="shared" si="14"/>
        <v>300</v>
      </c>
      <c r="Y41" s="8">
        <f t="shared" si="14"/>
        <v>300</v>
      </c>
      <c r="Z41" s="8">
        <f t="shared" si="14"/>
        <v>300</v>
      </c>
      <c r="AA41" s="8">
        <f t="shared" si="14"/>
        <v>300</v>
      </c>
      <c r="AB41" s="8">
        <f t="shared" si="14"/>
        <v>300</v>
      </c>
      <c r="AC41" s="8">
        <f t="shared" si="14"/>
        <v>300</v>
      </c>
      <c r="AD41" s="8">
        <f t="shared" si="14"/>
        <v>300</v>
      </c>
      <c r="AE41" s="8">
        <f t="shared" si="14"/>
        <v>300</v>
      </c>
      <c r="AF41" s="8">
        <f t="shared" si="14"/>
        <v>300</v>
      </c>
      <c r="AG41" s="8">
        <f t="shared" si="14"/>
        <v>300</v>
      </c>
      <c r="AH41" s="7"/>
      <c r="AI41" s="8">
        <f>$E$41*AI42</f>
        <v>300</v>
      </c>
      <c r="AJ41" s="8">
        <f t="shared" ref="AJ41:AT41" si="15">$E$41*AJ42</f>
        <v>300</v>
      </c>
      <c r="AK41" s="8">
        <f t="shared" si="15"/>
        <v>300</v>
      </c>
      <c r="AL41" s="8">
        <f t="shared" si="15"/>
        <v>300</v>
      </c>
      <c r="AM41" s="8">
        <f t="shared" si="15"/>
        <v>300</v>
      </c>
      <c r="AN41" s="8">
        <f t="shared" si="15"/>
        <v>300</v>
      </c>
      <c r="AO41" s="8">
        <f t="shared" si="15"/>
        <v>300</v>
      </c>
      <c r="AP41" s="8">
        <f t="shared" si="15"/>
        <v>300</v>
      </c>
      <c r="AQ41" s="8">
        <f t="shared" si="15"/>
        <v>300</v>
      </c>
      <c r="AR41" s="8">
        <f t="shared" si="15"/>
        <v>300</v>
      </c>
      <c r="AS41" s="8">
        <f t="shared" si="15"/>
        <v>300</v>
      </c>
      <c r="AT41" s="8">
        <f t="shared" si="15"/>
        <v>300</v>
      </c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</row>
    <row r="42" spans="1:66" ht="13.5" customHeight="1" x14ac:dyDescent="0.3">
      <c r="A42" s="7"/>
      <c r="B42" s="7" t="s">
        <v>148</v>
      </c>
      <c r="C42" s="7"/>
      <c r="D42" s="7" t="s">
        <v>122</v>
      </c>
      <c r="E42" s="7"/>
      <c r="F42" s="7"/>
      <c r="G42" s="7"/>
      <c r="H42" s="7"/>
      <c r="I42" s="7"/>
      <c r="J42" s="85">
        <f>J45</f>
        <v>1</v>
      </c>
      <c r="K42" s="8">
        <f t="shared" ref="K42:AG42" si="16">J42</f>
        <v>1</v>
      </c>
      <c r="L42" s="8">
        <f t="shared" si="16"/>
        <v>1</v>
      </c>
      <c r="M42" s="8">
        <f t="shared" si="16"/>
        <v>1</v>
      </c>
      <c r="N42" s="8">
        <f t="shared" si="16"/>
        <v>1</v>
      </c>
      <c r="O42" s="8">
        <f t="shared" si="16"/>
        <v>1</v>
      </c>
      <c r="P42" s="8">
        <f t="shared" si="16"/>
        <v>1</v>
      </c>
      <c r="Q42" s="8">
        <f t="shared" si="16"/>
        <v>1</v>
      </c>
      <c r="R42" s="8">
        <f t="shared" si="16"/>
        <v>1</v>
      </c>
      <c r="S42" s="8">
        <f t="shared" si="16"/>
        <v>1</v>
      </c>
      <c r="T42" s="8">
        <f t="shared" si="16"/>
        <v>1</v>
      </c>
      <c r="U42" s="8">
        <f t="shared" si="16"/>
        <v>1</v>
      </c>
      <c r="V42" s="8">
        <f t="shared" si="16"/>
        <v>1</v>
      </c>
      <c r="W42" s="8">
        <f t="shared" si="16"/>
        <v>1</v>
      </c>
      <c r="X42" s="8">
        <f t="shared" si="16"/>
        <v>1</v>
      </c>
      <c r="Y42" s="8">
        <f t="shared" si="16"/>
        <v>1</v>
      </c>
      <c r="Z42" s="8">
        <f t="shared" si="16"/>
        <v>1</v>
      </c>
      <c r="AA42" s="8">
        <f t="shared" si="16"/>
        <v>1</v>
      </c>
      <c r="AB42" s="8">
        <f t="shared" si="16"/>
        <v>1</v>
      </c>
      <c r="AC42" s="8">
        <f t="shared" si="16"/>
        <v>1</v>
      </c>
      <c r="AD42" s="8">
        <f t="shared" si="16"/>
        <v>1</v>
      </c>
      <c r="AE42" s="8">
        <f t="shared" si="16"/>
        <v>1</v>
      </c>
      <c r="AF42" s="8">
        <f t="shared" si="16"/>
        <v>1</v>
      </c>
      <c r="AG42" s="8">
        <f t="shared" si="16"/>
        <v>1</v>
      </c>
      <c r="AH42" s="7"/>
      <c r="AI42" s="85">
        <v>1</v>
      </c>
      <c r="AJ42" s="8">
        <f t="shared" ref="AJ42:AT42" si="17">AI42</f>
        <v>1</v>
      </c>
      <c r="AK42" s="8">
        <f t="shared" si="17"/>
        <v>1</v>
      </c>
      <c r="AL42" s="8">
        <f t="shared" si="17"/>
        <v>1</v>
      </c>
      <c r="AM42" s="8">
        <f t="shared" si="17"/>
        <v>1</v>
      </c>
      <c r="AN42" s="8">
        <f t="shared" si="17"/>
        <v>1</v>
      </c>
      <c r="AO42" s="8">
        <f t="shared" si="17"/>
        <v>1</v>
      </c>
      <c r="AP42" s="8">
        <f t="shared" si="17"/>
        <v>1</v>
      </c>
      <c r="AQ42" s="8">
        <f t="shared" si="17"/>
        <v>1</v>
      </c>
      <c r="AR42" s="8">
        <f t="shared" si="17"/>
        <v>1</v>
      </c>
      <c r="AS42" s="8">
        <f t="shared" si="17"/>
        <v>1</v>
      </c>
      <c r="AT42" s="8">
        <f t="shared" si="17"/>
        <v>1</v>
      </c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</row>
    <row r="43" spans="1:66" ht="13.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55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55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</row>
    <row r="44" spans="1:66" ht="13.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55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55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</row>
    <row r="45" spans="1:66" ht="13.5" customHeight="1" x14ac:dyDescent="0.3">
      <c r="A45" s="7"/>
      <c r="B45" s="7" t="s">
        <v>149</v>
      </c>
      <c r="C45" s="7"/>
      <c r="D45" s="7" t="s">
        <v>150</v>
      </c>
      <c r="E45" s="7"/>
      <c r="F45" s="7"/>
      <c r="G45" s="7"/>
      <c r="H45" s="7"/>
      <c r="I45" s="7"/>
      <c r="J45" s="85">
        <v>1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f>J45</f>
        <v>1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7"/>
      <c r="AI45" s="85">
        <f>F7</f>
        <v>1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</row>
    <row r="46" spans="1:66" ht="13.5" customHeight="1" x14ac:dyDescent="0.3">
      <c r="A46" s="7"/>
      <c r="B46" s="15" t="s">
        <v>35</v>
      </c>
      <c r="C46" s="7"/>
      <c r="D46" s="7" t="s">
        <v>40</v>
      </c>
      <c r="E46" s="86">
        <f>Input!F40</f>
        <v>200</v>
      </c>
      <c r="F46" s="7"/>
      <c r="G46" s="7"/>
      <c r="H46" s="7"/>
      <c r="I46" s="7"/>
      <c r="J46" s="8">
        <f>$E$46*J45</f>
        <v>200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f>$F$46*S45</f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7"/>
      <c r="AI46" s="8">
        <f t="shared" ref="AI46:AJ46" si="18">SUMIF($J$37:$AG$37,AI$37,$J46:$AG46)</f>
        <v>200</v>
      </c>
      <c r="AJ46" s="8">
        <f t="shared" si="18"/>
        <v>0</v>
      </c>
      <c r="AK46" s="8">
        <v>0</v>
      </c>
      <c r="AL46" s="8">
        <f t="shared" ref="AL46:AL47" si="19">SUMIF($J$37:$AG$37,AL$37,$J46:$AG46)</f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</row>
    <row r="47" spans="1:66" ht="13.5" customHeight="1" x14ac:dyDescent="0.3">
      <c r="A47" s="7"/>
      <c r="B47" s="7" t="s">
        <v>36</v>
      </c>
      <c r="C47" s="7"/>
      <c r="D47" s="7" t="s">
        <v>40</v>
      </c>
      <c r="E47" s="87">
        <f>ROUNDUP(E48,0)</f>
        <v>14</v>
      </c>
      <c r="F47" s="7"/>
      <c r="G47" s="7"/>
      <c r="H47" s="7"/>
      <c r="I47" s="7"/>
      <c r="J47" s="8">
        <f>$E$47*J45</f>
        <v>14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f>F47</f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7"/>
      <c r="AI47" s="8">
        <f t="shared" ref="AI47:AJ47" si="20">SUMIF($J$37:$AG$37,AI$37,$J47:$AG47)</f>
        <v>14</v>
      </c>
      <c r="AJ47" s="8">
        <f t="shared" si="20"/>
        <v>0</v>
      </c>
      <c r="AK47" s="8">
        <v>0</v>
      </c>
      <c r="AL47" s="8">
        <f t="shared" si="19"/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</row>
    <row r="48" spans="1:66" ht="13.5" customHeight="1" x14ac:dyDescent="0.3">
      <c r="A48" s="7"/>
      <c r="B48" s="7" t="s">
        <v>151</v>
      </c>
      <c r="C48" s="7"/>
      <c r="D48" s="7" t="s">
        <v>152</v>
      </c>
      <c r="E48" s="88">
        <f>1/15*E46</f>
        <v>13.333333333333334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55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</row>
    <row r="49" spans="1:66" ht="13.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55"/>
      <c r="AJ49" s="55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</row>
    <row r="50" spans="1:66" ht="13.5" customHeight="1" x14ac:dyDescent="0.3">
      <c r="A50" s="7"/>
      <c r="B50" s="5" t="s">
        <v>153</v>
      </c>
      <c r="C50" s="7"/>
      <c r="D50" s="7" t="s">
        <v>40</v>
      </c>
      <c r="E50" s="7"/>
      <c r="F50" s="7"/>
      <c r="G50" s="7"/>
      <c r="H50" s="7"/>
      <c r="I50" s="7"/>
      <c r="J50" s="12">
        <v>0</v>
      </c>
      <c r="K50" s="12">
        <f t="shared" ref="K50:AG50" si="21">J57</f>
        <v>200</v>
      </c>
      <c r="L50" s="12">
        <f t="shared" si="21"/>
        <v>199.5</v>
      </c>
      <c r="M50" s="12">
        <f t="shared" si="21"/>
        <v>199.00125</v>
      </c>
      <c r="N50" s="12">
        <f t="shared" si="21"/>
        <v>198.50374687499999</v>
      </c>
      <c r="O50" s="12">
        <f t="shared" si="21"/>
        <v>198.0074875078125</v>
      </c>
      <c r="P50" s="12">
        <f t="shared" si="21"/>
        <v>197.51246878904297</v>
      </c>
      <c r="Q50" s="12">
        <f t="shared" si="21"/>
        <v>197.01868761707036</v>
      </c>
      <c r="R50" s="12">
        <f t="shared" si="21"/>
        <v>196.52614089802768</v>
      </c>
      <c r="S50" s="12">
        <f t="shared" si="21"/>
        <v>196.03482554578261</v>
      </c>
      <c r="T50" s="12">
        <f t="shared" si="21"/>
        <v>195.54473848191816</v>
      </c>
      <c r="U50" s="12">
        <f t="shared" si="21"/>
        <v>195.05587663571336</v>
      </c>
      <c r="V50" s="12">
        <f t="shared" si="21"/>
        <v>194.56823694412407</v>
      </c>
      <c r="W50" s="12">
        <f t="shared" si="21"/>
        <v>194.08181635176376</v>
      </c>
      <c r="X50" s="12">
        <f t="shared" si="21"/>
        <v>193.59661181088435</v>
      </c>
      <c r="Y50" s="12">
        <f t="shared" si="21"/>
        <v>164.07312850972451</v>
      </c>
      <c r="Z50" s="12">
        <f t="shared" si="21"/>
        <v>163.66294568845021</v>
      </c>
      <c r="AA50" s="12">
        <f t="shared" si="21"/>
        <v>163.25378832422908</v>
      </c>
      <c r="AB50" s="12">
        <f t="shared" si="21"/>
        <v>162.8456538534185</v>
      </c>
      <c r="AC50" s="12">
        <f t="shared" si="21"/>
        <v>162.43853971878494</v>
      </c>
      <c r="AD50" s="12">
        <f t="shared" si="21"/>
        <v>162.03244336948796</v>
      </c>
      <c r="AE50" s="12">
        <f t="shared" si="21"/>
        <v>161.62736226106423</v>
      </c>
      <c r="AF50" s="12">
        <f t="shared" si="21"/>
        <v>161.22329385541158</v>
      </c>
      <c r="AG50" s="12">
        <f t="shared" si="21"/>
        <v>160.82023562077305</v>
      </c>
      <c r="AH50" s="7"/>
      <c r="AI50" s="12">
        <v>0</v>
      </c>
      <c r="AJ50" s="12">
        <f t="shared" ref="AJ50:AT50" si="22">AI57</f>
        <v>198.0074875078125</v>
      </c>
      <c r="AK50" s="12">
        <f t="shared" si="22"/>
        <v>163.25378832422908</v>
      </c>
      <c r="AL50" s="12">
        <f t="shared" ca="1" si="22"/>
        <v>201.16948066253127</v>
      </c>
      <c r="AM50" s="12">
        <f t="shared" ca="1" si="22"/>
        <v>247.89109254640417</v>
      </c>
      <c r="AN50" s="12">
        <f t="shared" ca="1" si="22"/>
        <v>300</v>
      </c>
      <c r="AO50" s="12">
        <f t="shared" ca="1" si="22"/>
        <v>300</v>
      </c>
      <c r="AP50" s="12">
        <f t="shared" ca="1" si="22"/>
        <v>300</v>
      </c>
      <c r="AQ50" s="12">
        <f t="shared" ca="1" si="22"/>
        <v>300</v>
      </c>
      <c r="AR50" s="12">
        <f t="shared" ca="1" si="22"/>
        <v>300</v>
      </c>
      <c r="AS50" s="12">
        <f t="shared" ca="1" si="22"/>
        <v>300</v>
      </c>
      <c r="AT50" s="12">
        <f t="shared" ca="1" si="22"/>
        <v>300</v>
      </c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</row>
    <row r="51" spans="1:66" ht="13.5" customHeight="1" x14ac:dyDescent="0.3">
      <c r="A51" s="7"/>
      <c r="B51" s="89" t="s">
        <v>154</v>
      </c>
      <c r="C51" s="15" t="s">
        <v>155</v>
      </c>
      <c r="D51" s="7" t="s">
        <v>40</v>
      </c>
      <c r="E51" s="7"/>
      <c r="F51" s="7"/>
      <c r="G51" s="7"/>
      <c r="H51" s="7"/>
      <c r="I51" s="7"/>
      <c r="J51" s="8">
        <f t="shared" ref="J51:AG51" si="23">J46</f>
        <v>200</v>
      </c>
      <c r="K51" s="8">
        <f t="shared" si="23"/>
        <v>0</v>
      </c>
      <c r="L51" s="8">
        <f t="shared" si="23"/>
        <v>0</v>
      </c>
      <c r="M51" s="8">
        <f t="shared" si="23"/>
        <v>0</v>
      </c>
      <c r="N51" s="8">
        <f t="shared" si="23"/>
        <v>0</v>
      </c>
      <c r="O51" s="8">
        <f t="shared" si="23"/>
        <v>0</v>
      </c>
      <c r="P51" s="8">
        <f t="shared" si="23"/>
        <v>0</v>
      </c>
      <c r="Q51" s="8">
        <f t="shared" si="23"/>
        <v>0</v>
      </c>
      <c r="R51" s="8">
        <f t="shared" si="23"/>
        <v>0</v>
      </c>
      <c r="S51" s="8">
        <f t="shared" si="23"/>
        <v>0</v>
      </c>
      <c r="T51" s="8">
        <f t="shared" si="23"/>
        <v>0</v>
      </c>
      <c r="U51" s="8">
        <f t="shared" si="23"/>
        <v>0</v>
      </c>
      <c r="V51" s="8">
        <f t="shared" si="23"/>
        <v>0</v>
      </c>
      <c r="W51" s="8">
        <f t="shared" si="23"/>
        <v>0</v>
      </c>
      <c r="X51" s="8">
        <f t="shared" si="23"/>
        <v>0</v>
      </c>
      <c r="Y51" s="8">
        <f t="shared" si="23"/>
        <v>0</v>
      </c>
      <c r="Z51" s="8">
        <f t="shared" si="23"/>
        <v>0</v>
      </c>
      <c r="AA51" s="8">
        <f t="shared" si="23"/>
        <v>0</v>
      </c>
      <c r="AB51" s="8">
        <f t="shared" si="23"/>
        <v>0</v>
      </c>
      <c r="AC51" s="8">
        <f t="shared" si="23"/>
        <v>0</v>
      </c>
      <c r="AD51" s="8">
        <f t="shared" si="23"/>
        <v>0</v>
      </c>
      <c r="AE51" s="8">
        <f t="shared" si="23"/>
        <v>0</v>
      </c>
      <c r="AF51" s="8">
        <f t="shared" si="23"/>
        <v>0</v>
      </c>
      <c r="AG51" s="8">
        <f t="shared" si="23"/>
        <v>0</v>
      </c>
      <c r="AH51" s="7"/>
      <c r="AI51" s="8">
        <f t="shared" ref="AI51:AJ51" si="24">SUMIF($J$37:$AG$37,AI$37,$J51:$AG51)</f>
        <v>200</v>
      </c>
      <c r="AJ51" s="8">
        <f t="shared" si="24"/>
        <v>0</v>
      </c>
      <c r="AK51" s="8">
        <f t="shared" ref="AK51:AS51" si="25">AK46</f>
        <v>0</v>
      </c>
      <c r="AL51" s="8">
        <f t="shared" si="25"/>
        <v>0</v>
      </c>
      <c r="AM51" s="8">
        <f t="shared" si="25"/>
        <v>0</v>
      </c>
      <c r="AN51" s="8">
        <f t="shared" si="25"/>
        <v>0</v>
      </c>
      <c r="AO51" s="8">
        <f t="shared" si="25"/>
        <v>0</v>
      </c>
      <c r="AP51" s="8">
        <f t="shared" si="25"/>
        <v>0</v>
      </c>
      <c r="AQ51" s="8">
        <f t="shared" si="25"/>
        <v>0</v>
      </c>
      <c r="AR51" s="8">
        <f t="shared" si="25"/>
        <v>0</v>
      </c>
      <c r="AS51" s="8">
        <f t="shared" si="25"/>
        <v>0</v>
      </c>
      <c r="AT51" s="8">
        <f t="shared" ref="AT51" si="26">AT46</f>
        <v>0</v>
      </c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</row>
    <row r="52" spans="1:66" ht="13.5" customHeight="1" x14ac:dyDescent="0.3">
      <c r="A52" s="7"/>
      <c r="B52" s="89" t="s">
        <v>154</v>
      </c>
      <c r="C52" s="15" t="s">
        <v>156</v>
      </c>
      <c r="D52" s="7" t="s">
        <v>40</v>
      </c>
      <c r="E52" s="7"/>
      <c r="F52" s="7"/>
      <c r="G52" s="7"/>
      <c r="H52" s="7"/>
      <c r="I52" s="7"/>
      <c r="J52" s="8">
        <f t="shared" ref="J52:AG52" si="27">-J85</f>
        <v>0</v>
      </c>
      <c r="K52" s="8">
        <f t="shared" si="27"/>
        <v>0</v>
      </c>
      <c r="L52" s="8">
        <f t="shared" si="27"/>
        <v>0</v>
      </c>
      <c r="M52" s="8">
        <f t="shared" si="27"/>
        <v>0</v>
      </c>
      <c r="N52" s="8">
        <f t="shared" si="27"/>
        <v>0</v>
      </c>
      <c r="O52" s="8">
        <f t="shared" si="27"/>
        <v>0</v>
      </c>
      <c r="P52" s="8">
        <f t="shared" si="27"/>
        <v>0</v>
      </c>
      <c r="Q52" s="8">
        <f t="shared" si="27"/>
        <v>0</v>
      </c>
      <c r="R52" s="8">
        <f t="shared" si="27"/>
        <v>0</v>
      </c>
      <c r="S52" s="8">
        <f t="shared" si="27"/>
        <v>0</v>
      </c>
      <c r="T52" s="8">
        <f t="shared" si="27"/>
        <v>0</v>
      </c>
      <c r="U52" s="8">
        <f t="shared" si="27"/>
        <v>0</v>
      </c>
      <c r="V52" s="8">
        <f t="shared" si="27"/>
        <v>0</v>
      </c>
      <c r="W52" s="8">
        <f t="shared" si="27"/>
        <v>0</v>
      </c>
      <c r="X52" s="8">
        <f t="shared" si="27"/>
        <v>0</v>
      </c>
      <c r="Y52" s="8">
        <f t="shared" si="27"/>
        <v>0</v>
      </c>
      <c r="Z52" s="8">
        <f t="shared" si="27"/>
        <v>0</v>
      </c>
      <c r="AA52" s="8">
        <f t="shared" si="27"/>
        <v>0</v>
      </c>
      <c r="AB52" s="8">
        <f t="shared" si="27"/>
        <v>0</v>
      </c>
      <c r="AC52" s="8">
        <f t="shared" si="27"/>
        <v>0</v>
      </c>
      <c r="AD52" s="8">
        <f t="shared" si="27"/>
        <v>0</v>
      </c>
      <c r="AE52" s="8">
        <f t="shared" si="27"/>
        <v>0</v>
      </c>
      <c r="AF52" s="8">
        <f t="shared" si="27"/>
        <v>0</v>
      </c>
      <c r="AG52" s="8">
        <f t="shared" si="27"/>
        <v>0</v>
      </c>
      <c r="AH52" s="7"/>
      <c r="AI52" s="8">
        <f t="shared" ref="AI52:AJ52" si="28">SUMIF($J$37:$AG$37,AI$37,$J52:$AG52)</f>
        <v>0</v>
      </c>
      <c r="AJ52" s="8">
        <f t="shared" si="28"/>
        <v>0</v>
      </c>
      <c r="AK52" s="8">
        <f t="shared" ref="AK52:AS52" ca="1" si="29">-AK85</f>
        <v>67.301374236663435</v>
      </c>
      <c r="AL52" s="8">
        <f t="shared" ca="1" si="29"/>
        <v>82.932118403128513</v>
      </c>
      <c r="AM52" s="8">
        <f t="shared" ca="1" si="29"/>
        <v>102.19310290225512</v>
      </c>
      <c r="AN52" s="8">
        <f t="shared" ca="1" si="29"/>
        <v>123.675</v>
      </c>
      <c r="AO52" s="8">
        <f t="shared" ca="1" si="29"/>
        <v>123.675</v>
      </c>
      <c r="AP52" s="8">
        <f t="shared" ca="1" si="29"/>
        <v>123.675</v>
      </c>
      <c r="AQ52" s="8">
        <f t="shared" ca="1" si="29"/>
        <v>123.675</v>
      </c>
      <c r="AR52" s="8">
        <f t="shared" ca="1" si="29"/>
        <v>123.675</v>
      </c>
      <c r="AS52" s="8">
        <f t="shared" ca="1" si="29"/>
        <v>123.675</v>
      </c>
      <c r="AT52" s="8">
        <f t="shared" ref="AT52" ca="1" si="30">-AT85</f>
        <v>123.675</v>
      </c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</row>
    <row r="53" spans="1:66" ht="13.5" customHeight="1" x14ac:dyDescent="0.3">
      <c r="A53" s="7"/>
      <c r="B53" s="89" t="s">
        <v>157</v>
      </c>
      <c r="C53" s="15" t="s">
        <v>158</v>
      </c>
      <c r="D53" s="7" t="s">
        <v>40</v>
      </c>
      <c r="E53" s="90">
        <v>0.15</v>
      </c>
      <c r="F53" s="49"/>
      <c r="G53" s="90">
        <f t="shared" ref="G53:G54" si="31">E53/12</f>
        <v>1.2499999999999999E-2</v>
      </c>
      <c r="H53" s="7"/>
      <c r="I53" s="7"/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f>-$E53*X$50</f>
        <v>-29.039491771632651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7"/>
      <c r="AI53" s="8">
        <f t="shared" ref="AI53:AJ53" si="32">SUMIF($J$37:$AG$37,AI$37,$J53:$AG53)</f>
        <v>0</v>
      </c>
      <c r="AJ53" s="8">
        <f t="shared" si="32"/>
        <v>-29.039491771632651</v>
      </c>
      <c r="AK53" s="8">
        <f t="shared" ref="AK53:AT53" si="33">-$E53*AK$50</f>
        <v>-24.488068248634359</v>
      </c>
      <c r="AL53" s="8">
        <f t="shared" ca="1" si="33"/>
        <v>-30.175422099379688</v>
      </c>
      <c r="AM53" s="8">
        <f t="shared" ca="1" si="33"/>
        <v>-37.183663881960626</v>
      </c>
      <c r="AN53" s="8">
        <f t="shared" ca="1" si="33"/>
        <v>-45</v>
      </c>
      <c r="AO53" s="8">
        <f t="shared" ca="1" si="33"/>
        <v>-45</v>
      </c>
      <c r="AP53" s="8">
        <f t="shared" ca="1" si="33"/>
        <v>-45</v>
      </c>
      <c r="AQ53" s="8">
        <f t="shared" ca="1" si="33"/>
        <v>-45</v>
      </c>
      <c r="AR53" s="8">
        <f t="shared" ca="1" si="33"/>
        <v>-45</v>
      </c>
      <c r="AS53" s="8">
        <f t="shared" ca="1" si="33"/>
        <v>-45</v>
      </c>
      <c r="AT53" s="8">
        <f t="shared" ca="1" si="33"/>
        <v>-45</v>
      </c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</row>
    <row r="54" spans="1:66" ht="13.5" customHeight="1" x14ac:dyDescent="0.3">
      <c r="A54" s="7"/>
      <c r="B54" s="89" t="s">
        <v>157</v>
      </c>
      <c r="C54" s="15" t="s">
        <v>159</v>
      </c>
      <c r="D54" s="7" t="s">
        <v>40</v>
      </c>
      <c r="E54" s="90">
        <v>0.03</v>
      </c>
      <c r="F54" s="7"/>
      <c r="G54" s="90">
        <f t="shared" si="31"/>
        <v>2.5000000000000001E-3</v>
      </c>
      <c r="H54" s="7"/>
      <c r="I54" s="7"/>
      <c r="J54" s="8">
        <f t="shared" ref="J54:AG54" si="34">-$G54*J$50</f>
        <v>0</v>
      </c>
      <c r="K54" s="8">
        <f>-$G54*K$50</f>
        <v>-0.5</v>
      </c>
      <c r="L54" s="8">
        <f t="shared" si="34"/>
        <v>-0.49875000000000003</v>
      </c>
      <c r="M54" s="8">
        <f t="shared" si="34"/>
        <v>-0.49750312499999999</v>
      </c>
      <c r="N54" s="8">
        <f t="shared" si="34"/>
        <v>-0.49625936718749997</v>
      </c>
      <c r="O54" s="8">
        <f t="shared" si="34"/>
        <v>-0.49501871876953124</v>
      </c>
      <c r="P54" s="8">
        <f t="shared" si="34"/>
        <v>-0.49378117197260746</v>
      </c>
      <c r="Q54" s="8">
        <f t="shared" si="34"/>
        <v>-0.49254671904267588</v>
      </c>
      <c r="R54" s="8">
        <f t="shared" si="34"/>
        <v>-0.49131535224506923</v>
      </c>
      <c r="S54" s="8">
        <f t="shared" si="34"/>
        <v>-0.49008706386445655</v>
      </c>
      <c r="T54" s="8">
        <f t="shared" si="34"/>
        <v>-0.48886184620479539</v>
      </c>
      <c r="U54" s="8">
        <f t="shared" si="34"/>
        <v>-0.48763969158928339</v>
      </c>
      <c r="V54" s="8">
        <f t="shared" si="34"/>
        <v>-0.48642059236031016</v>
      </c>
      <c r="W54" s="8">
        <f t="shared" si="34"/>
        <v>-0.4852045408794094</v>
      </c>
      <c r="X54" s="8">
        <f t="shared" si="34"/>
        <v>-0.48399152952721092</v>
      </c>
      <c r="Y54" s="8">
        <f t="shared" si="34"/>
        <v>-0.41018282127431127</v>
      </c>
      <c r="Z54" s="8">
        <f t="shared" si="34"/>
        <v>-0.40915736422112553</v>
      </c>
      <c r="AA54" s="8">
        <f t="shared" si="34"/>
        <v>-0.40813447081057269</v>
      </c>
      <c r="AB54" s="8">
        <f t="shared" si="34"/>
        <v>-0.40711413463354623</v>
      </c>
      <c r="AC54" s="8">
        <f t="shared" si="34"/>
        <v>-0.40609634929696237</v>
      </c>
      <c r="AD54" s="8">
        <f t="shared" si="34"/>
        <v>-0.40508110842371992</v>
      </c>
      <c r="AE54" s="8">
        <f t="shared" si="34"/>
        <v>-0.40406840565266061</v>
      </c>
      <c r="AF54" s="8">
        <f t="shared" si="34"/>
        <v>-0.40305823463852897</v>
      </c>
      <c r="AG54" s="8">
        <f t="shared" si="34"/>
        <v>-0.40205058905193264</v>
      </c>
      <c r="AH54" s="7"/>
      <c r="AI54" s="8">
        <f t="shared" ref="AI54:AJ54" si="35">SUMIF($J$37:$AG$37,AI$37,$J54:$AG54)</f>
        <v>-1.9925124921874999</v>
      </c>
      <c r="AJ54" s="8">
        <f t="shared" si="35"/>
        <v>-5.7142074119507873</v>
      </c>
      <c r="AK54" s="8">
        <f t="shared" ref="AK54:AT54" si="36">-$E54*AK$50</f>
        <v>-4.8976136497268721</v>
      </c>
      <c r="AL54" s="8">
        <f t="shared" ca="1" si="36"/>
        <v>-6.0350844198759379</v>
      </c>
      <c r="AM54" s="8">
        <f t="shared" ca="1" si="36"/>
        <v>-7.4367327763921249</v>
      </c>
      <c r="AN54" s="8">
        <f t="shared" ca="1" si="36"/>
        <v>-9</v>
      </c>
      <c r="AO54" s="8">
        <f t="shared" ca="1" si="36"/>
        <v>-9</v>
      </c>
      <c r="AP54" s="8">
        <f t="shared" ca="1" si="36"/>
        <v>-9</v>
      </c>
      <c r="AQ54" s="8">
        <f t="shared" ca="1" si="36"/>
        <v>-9</v>
      </c>
      <c r="AR54" s="8">
        <f t="shared" ca="1" si="36"/>
        <v>-9</v>
      </c>
      <c r="AS54" s="8">
        <f t="shared" ca="1" si="36"/>
        <v>-9</v>
      </c>
      <c r="AT54" s="8">
        <f t="shared" ca="1" si="36"/>
        <v>-9</v>
      </c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</row>
    <row r="55" spans="1:66" ht="13.5" customHeight="1" x14ac:dyDescent="0.3">
      <c r="A55" s="7"/>
      <c r="B55" s="5" t="s">
        <v>160</v>
      </c>
      <c r="C55" s="15"/>
      <c r="D55" s="7"/>
      <c r="E55" s="19"/>
      <c r="F55" s="7"/>
      <c r="G55" s="7"/>
      <c r="H55" s="7"/>
      <c r="I55" s="7"/>
      <c r="J55" s="12">
        <f t="shared" ref="J55:AG55" si="37">SUM(J50:J54)</f>
        <v>200</v>
      </c>
      <c r="K55" s="12">
        <f t="shared" si="37"/>
        <v>199.5</v>
      </c>
      <c r="L55" s="12">
        <f t="shared" si="37"/>
        <v>199.00125</v>
      </c>
      <c r="M55" s="12">
        <f t="shared" si="37"/>
        <v>198.50374687499999</v>
      </c>
      <c r="N55" s="12">
        <f t="shared" si="37"/>
        <v>198.0074875078125</v>
      </c>
      <c r="O55" s="12">
        <f t="shared" si="37"/>
        <v>197.51246878904297</v>
      </c>
      <c r="P55" s="12">
        <f t="shared" si="37"/>
        <v>197.01868761707036</v>
      </c>
      <c r="Q55" s="12">
        <f t="shared" si="37"/>
        <v>196.52614089802768</v>
      </c>
      <c r="R55" s="12">
        <f t="shared" si="37"/>
        <v>196.03482554578261</v>
      </c>
      <c r="S55" s="12">
        <f t="shared" si="37"/>
        <v>195.54473848191816</v>
      </c>
      <c r="T55" s="12">
        <f t="shared" si="37"/>
        <v>195.05587663571336</v>
      </c>
      <c r="U55" s="12">
        <f t="shared" si="37"/>
        <v>194.56823694412407</v>
      </c>
      <c r="V55" s="12">
        <f t="shared" si="37"/>
        <v>194.08181635176376</v>
      </c>
      <c r="W55" s="12">
        <f t="shared" si="37"/>
        <v>193.59661181088435</v>
      </c>
      <c r="X55" s="12">
        <f t="shared" si="37"/>
        <v>164.07312850972451</v>
      </c>
      <c r="Y55" s="12">
        <f t="shared" si="37"/>
        <v>163.66294568845021</v>
      </c>
      <c r="Z55" s="12">
        <f t="shared" si="37"/>
        <v>163.25378832422908</v>
      </c>
      <c r="AA55" s="12">
        <f t="shared" si="37"/>
        <v>162.8456538534185</v>
      </c>
      <c r="AB55" s="12">
        <f t="shared" si="37"/>
        <v>162.43853971878494</v>
      </c>
      <c r="AC55" s="12">
        <f t="shared" si="37"/>
        <v>162.03244336948796</v>
      </c>
      <c r="AD55" s="12">
        <f t="shared" si="37"/>
        <v>161.62736226106423</v>
      </c>
      <c r="AE55" s="12">
        <f t="shared" si="37"/>
        <v>161.22329385541158</v>
      </c>
      <c r="AF55" s="12">
        <f t="shared" si="37"/>
        <v>160.82023562077305</v>
      </c>
      <c r="AG55" s="12">
        <f t="shared" si="37"/>
        <v>160.41818503172112</v>
      </c>
      <c r="AH55" s="7"/>
      <c r="AI55" s="12">
        <f t="shared" ref="AI55:AS55" si="38">SUM(AI50:AI54)</f>
        <v>198.0074875078125</v>
      </c>
      <c r="AJ55" s="12">
        <f t="shared" si="38"/>
        <v>163.25378832422908</v>
      </c>
      <c r="AK55" s="12">
        <f t="shared" ca="1" si="38"/>
        <v>201.16948066253127</v>
      </c>
      <c r="AL55" s="12">
        <f t="shared" ca="1" si="38"/>
        <v>247.89109254640417</v>
      </c>
      <c r="AM55" s="12">
        <f t="shared" ca="1" si="38"/>
        <v>305.4637987903065</v>
      </c>
      <c r="AN55" s="12">
        <f t="shared" ca="1" si="38"/>
        <v>369.67500000000001</v>
      </c>
      <c r="AO55" s="12">
        <f t="shared" ca="1" si="38"/>
        <v>369.67500000000001</v>
      </c>
      <c r="AP55" s="12">
        <f t="shared" ca="1" si="38"/>
        <v>369.67500000000001</v>
      </c>
      <c r="AQ55" s="12">
        <f t="shared" ca="1" si="38"/>
        <v>369.67500000000001</v>
      </c>
      <c r="AR55" s="12">
        <f t="shared" ca="1" si="38"/>
        <v>369.67500000000001</v>
      </c>
      <c r="AS55" s="12">
        <f t="shared" ca="1" si="38"/>
        <v>369.67500000000001</v>
      </c>
      <c r="AT55" s="12">
        <f t="shared" ref="AT55" ca="1" si="39">SUM(AT50:AT54)</f>
        <v>369.67500000000001</v>
      </c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</row>
    <row r="56" spans="1:66" ht="13.5" customHeight="1" x14ac:dyDescent="0.3">
      <c r="A56" s="7"/>
      <c r="B56" s="89" t="s">
        <v>157</v>
      </c>
      <c r="C56" s="15" t="s">
        <v>161</v>
      </c>
      <c r="D56" s="7" t="s">
        <v>40</v>
      </c>
      <c r="E56" s="7"/>
      <c r="F56" s="7"/>
      <c r="G56" s="7"/>
      <c r="H56" s="7"/>
      <c r="I56" s="7"/>
      <c r="J56" s="8">
        <f>-MIN(J55-MIN(J55,J41))</f>
        <v>0</v>
      </c>
      <c r="K56" s="8">
        <f t="shared" ref="K56:AG56" si="40">-MIN(K55-MIN(K55,K41))</f>
        <v>0</v>
      </c>
      <c r="L56" s="8">
        <f t="shared" si="40"/>
        <v>0</v>
      </c>
      <c r="M56" s="8">
        <f t="shared" si="40"/>
        <v>0</v>
      </c>
      <c r="N56" s="8">
        <f t="shared" si="40"/>
        <v>0</v>
      </c>
      <c r="O56" s="8">
        <f t="shared" si="40"/>
        <v>0</v>
      </c>
      <c r="P56" s="8">
        <f t="shared" si="40"/>
        <v>0</v>
      </c>
      <c r="Q56" s="8">
        <f t="shared" si="40"/>
        <v>0</v>
      </c>
      <c r="R56" s="8">
        <f t="shared" si="40"/>
        <v>0</v>
      </c>
      <c r="S56" s="8">
        <f t="shared" si="40"/>
        <v>0</v>
      </c>
      <c r="T56" s="8">
        <f t="shared" si="40"/>
        <v>0</v>
      </c>
      <c r="U56" s="8">
        <f t="shared" si="40"/>
        <v>0</v>
      </c>
      <c r="V56" s="8">
        <f t="shared" si="40"/>
        <v>0</v>
      </c>
      <c r="W56" s="8">
        <f t="shared" si="40"/>
        <v>0</v>
      </c>
      <c r="X56" s="8">
        <f t="shared" si="40"/>
        <v>0</v>
      </c>
      <c r="Y56" s="8">
        <f t="shared" si="40"/>
        <v>0</v>
      </c>
      <c r="Z56" s="8">
        <f t="shared" si="40"/>
        <v>0</v>
      </c>
      <c r="AA56" s="8">
        <f t="shared" si="40"/>
        <v>0</v>
      </c>
      <c r="AB56" s="8">
        <f t="shared" si="40"/>
        <v>0</v>
      </c>
      <c r="AC56" s="8">
        <f t="shared" si="40"/>
        <v>0</v>
      </c>
      <c r="AD56" s="8">
        <f t="shared" si="40"/>
        <v>0</v>
      </c>
      <c r="AE56" s="8">
        <f t="shared" si="40"/>
        <v>0</v>
      </c>
      <c r="AF56" s="8">
        <f t="shared" si="40"/>
        <v>0</v>
      </c>
      <c r="AG56" s="8">
        <f t="shared" si="40"/>
        <v>0</v>
      </c>
      <c r="AH56" s="7"/>
      <c r="AI56" s="8">
        <f t="shared" ref="AI56:AJ56" si="41">SUMIF($J$37:$AG$37,AI$37,$J56:$AG56)</f>
        <v>0</v>
      </c>
      <c r="AJ56" s="8">
        <f t="shared" si="41"/>
        <v>0</v>
      </c>
      <c r="AK56" s="8">
        <f t="shared" ref="AK56:AS56" ca="1" si="42">-MIN(AK55-MIN(AK55,AK41))</f>
        <v>0</v>
      </c>
      <c r="AL56" s="8">
        <f t="shared" ca="1" si="42"/>
        <v>0</v>
      </c>
      <c r="AM56" s="8">
        <f t="shared" ca="1" si="42"/>
        <v>-5.4637987903064982</v>
      </c>
      <c r="AN56" s="8">
        <f t="shared" ca="1" si="42"/>
        <v>-69.675000000000011</v>
      </c>
      <c r="AO56" s="8">
        <f t="shared" ca="1" si="42"/>
        <v>-69.675000000000011</v>
      </c>
      <c r="AP56" s="8">
        <f t="shared" ca="1" si="42"/>
        <v>-69.675000000000011</v>
      </c>
      <c r="AQ56" s="8">
        <f t="shared" ca="1" si="42"/>
        <v>-69.675000000000011</v>
      </c>
      <c r="AR56" s="8">
        <f t="shared" ca="1" si="42"/>
        <v>-69.675000000000011</v>
      </c>
      <c r="AS56" s="8">
        <f t="shared" ca="1" si="42"/>
        <v>-69.675000000000011</v>
      </c>
      <c r="AT56" s="8">
        <f t="shared" ref="AT56" ca="1" si="43">-MIN(AT55-MIN(AT55,AT41))</f>
        <v>-69.675000000000011</v>
      </c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</row>
    <row r="57" spans="1:66" ht="13.5" customHeight="1" x14ac:dyDescent="0.3">
      <c r="A57" s="7"/>
      <c r="B57" s="5" t="s">
        <v>41</v>
      </c>
      <c r="C57" s="7"/>
      <c r="D57" s="7" t="s">
        <v>40</v>
      </c>
      <c r="E57" s="7"/>
      <c r="F57" s="7"/>
      <c r="G57" s="7"/>
      <c r="H57" s="7"/>
      <c r="I57" s="7"/>
      <c r="J57" s="12">
        <f t="shared" ref="J57:AG57" si="44">SUM(J55:J56)</f>
        <v>200</v>
      </c>
      <c r="K57" s="12">
        <f t="shared" si="44"/>
        <v>199.5</v>
      </c>
      <c r="L57" s="12">
        <f t="shared" si="44"/>
        <v>199.00125</v>
      </c>
      <c r="M57" s="12">
        <f t="shared" si="44"/>
        <v>198.50374687499999</v>
      </c>
      <c r="N57" s="12">
        <f t="shared" si="44"/>
        <v>198.0074875078125</v>
      </c>
      <c r="O57" s="12">
        <f t="shared" si="44"/>
        <v>197.51246878904297</v>
      </c>
      <c r="P57" s="12">
        <f t="shared" si="44"/>
        <v>197.01868761707036</v>
      </c>
      <c r="Q57" s="12">
        <f t="shared" si="44"/>
        <v>196.52614089802768</v>
      </c>
      <c r="R57" s="12">
        <f t="shared" si="44"/>
        <v>196.03482554578261</v>
      </c>
      <c r="S57" s="12">
        <f t="shared" si="44"/>
        <v>195.54473848191816</v>
      </c>
      <c r="T57" s="12">
        <f t="shared" si="44"/>
        <v>195.05587663571336</v>
      </c>
      <c r="U57" s="12">
        <f t="shared" si="44"/>
        <v>194.56823694412407</v>
      </c>
      <c r="V57" s="12">
        <f t="shared" si="44"/>
        <v>194.08181635176376</v>
      </c>
      <c r="W57" s="12">
        <f t="shared" si="44"/>
        <v>193.59661181088435</v>
      </c>
      <c r="X57" s="12">
        <f t="shared" si="44"/>
        <v>164.07312850972451</v>
      </c>
      <c r="Y57" s="12">
        <f t="shared" si="44"/>
        <v>163.66294568845021</v>
      </c>
      <c r="Z57" s="12">
        <f t="shared" si="44"/>
        <v>163.25378832422908</v>
      </c>
      <c r="AA57" s="12">
        <f t="shared" si="44"/>
        <v>162.8456538534185</v>
      </c>
      <c r="AB57" s="12">
        <f t="shared" si="44"/>
        <v>162.43853971878494</v>
      </c>
      <c r="AC57" s="12">
        <f t="shared" si="44"/>
        <v>162.03244336948796</v>
      </c>
      <c r="AD57" s="12">
        <f t="shared" si="44"/>
        <v>161.62736226106423</v>
      </c>
      <c r="AE57" s="12">
        <f t="shared" si="44"/>
        <v>161.22329385541158</v>
      </c>
      <c r="AF57" s="12">
        <f t="shared" si="44"/>
        <v>160.82023562077305</v>
      </c>
      <c r="AG57" s="12">
        <f t="shared" si="44"/>
        <v>160.41818503172112</v>
      </c>
      <c r="AH57" s="7"/>
      <c r="AI57" s="12">
        <f t="shared" ref="AI57:AS57" si="45">SUM(AI55:AI56)</f>
        <v>198.0074875078125</v>
      </c>
      <c r="AJ57" s="12">
        <f t="shared" si="45"/>
        <v>163.25378832422908</v>
      </c>
      <c r="AK57" s="12">
        <f t="shared" ca="1" si="45"/>
        <v>201.16948066253127</v>
      </c>
      <c r="AL57" s="12">
        <f t="shared" ca="1" si="45"/>
        <v>247.89109254640417</v>
      </c>
      <c r="AM57" s="12">
        <f t="shared" ca="1" si="45"/>
        <v>300</v>
      </c>
      <c r="AN57" s="12">
        <f t="shared" ca="1" si="45"/>
        <v>300</v>
      </c>
      <c r="AO57" s="12">
        <f t="shared" ca="1" si="45"/>
        <v>300</v>
      </c>
      <c r="AP57" s="12">
        <f t="shared" ca="1" si="45"/>
        <v>300</v>
      </c>
      <c r="AQ57" s="12">
        <f t="shared" ca="1" si="45"/>
        <v>300</v>
      </c>
      <c r="AR57" s="12">
        <f t="shared" ca="1" si="45"/>
        <v>300</v>
      </c>
      <c r="AS57" s="12">
        <f t="shared" ca="1" si="45"/>
        <v>300</v>
      </c>
      <c r="AT57" s="12">
        <f t="shared" ref="AT57" ca="1" si="46">SUM(AT55:AT56)</f>
        <v>300</v>
      </c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</row>
    <row r="58" spans="1:66" ht="13.5" customHeight="1" x14ac:dyDescent="0.3">
      <c r="A58" s="7"/>
      <c r="B58" s="14" t="s">
        <v>162</v>
      </c>
      <c r="C58" s="7"/>
      <c r="D58" s="7" t="s">
        <v>40</v>
      </c>
      <c r="E58" s="7"/>
      <c r="F58" s="7"/>
      <c r="G58" s="7"/>
      <c r="H58" s="7"/>
      <c r="I58" s="7"/>
      <c r="J58" s="8">
        <f t="shared" ref="J58:AG58" si="47">AVERAGE(J50+J51,J57)</f>
        <v>200</v>
      </c>
      <c r="K58" s="8">
        <f t="shared" si="47"/>
        <v>199.75</v>
      </c>
      <c r="L58" s="8">
        <f t="shared" si="47"/>
        <v>199.25062500000001</v>
      </c>
      <c r="M58" s="8">
        <f t="shared" si="47"/>
        <v>198.75249843749998</v>
      </c>
      <c r="N58" s="8">
        <f t="shared" si="47"/>
        <v>198.25561719140626</v>
      </c>
      <c r="O58" s="8">
        <f t="shared" si="47"/>
        <v>197.75997814842773</v>
      </c>
      <c r="P58" s="8">
        <f t="shared" si="47"/>
        <v>197.26557820305666</v>
      </c>
      <c r="Q58" s="8">
        <f t="shared" si="47"/>
        <v>196.77241425754903</v>
      </c>
      <c r="R58" s="8">
        <f t="shared" si="47"/>
        <v>196.28048322190514</v>
      </c>
      <c r="S58" s="8">
        <f t="shared" si="47"/>
        <v>195.78978201385038</v>
      </c>
      <c r="T58" s="8">
        <f t="shared" si="47"/>
        <v>195.30030755881575</v>
      </c>
      <c r="U58" s="8">
        <f t="shared" si="47"/>
        <v>194.8120567899187</v>
      </c>
      <c r="V58" s="8">
        <f t="shared" si="47"/>
        <v>194.3250266479439</v>
      </c>
      <c r="W58" s="8">
        <f t="shared" si="47"/>
        <v>193.83921408132406</v>
      </c>
      <c r="X58" s="8">
        <f t="shared" si="47"/>
        <v>178.83487016030443</v>
      </c>
      <c r="Y58" s="8">
        <f t="shared" si="47"/>
        <v>163.86803709908736</v>
      </c>
      <c r="Z58" s="8">
        <f t="shared" si="47"/>
        <v>163.45836700633964</v>
      </c>
      <c r="AA58" s="8">
        <f t="shared" si="47"/>
        <v>163.04972108882379</v>
      </c>
      <c r="AB58" s="8">
        <f t="shared" si="47"/>
        <v>162.64209678610172</v>
      </c>
      <c r="AC58" s="8">
        <f t="shared" si="47"/>
        <v>162.23549154413644</v>
      </c>
      <c r="AD58" s="8">
        <f t="shared" si="47"/>
        <v>161.82990281527611</v>
      </c>
      <c r="AE58" s="8">
        <f t="shared" si="47"/>
        <v>161.42532805823791</v>
      </c>
      <c r="AF58" s="8">
        <f t="shared" si="47"/>
        <v>161.02176473809232</v>
      </c>
      <c r="AG58" s="8">
        <f t="shared" si="47"/>
        <v>160.61921032624707</v>
      </c>
      <c r="AH58" s="7"/>
      <c r="AI58" s="8">
        <f t="shared" ref="AI58:AS58" si="48">AVERAGE(AI50+AI51,AI57)</f>
        <v>199.00374375390624</v>
      </c>
      <c r="AJ58" s="8">
        <f t="shared" si="48"/>
        <v>180.63063791602079</v>
      </c>
      <c r="AK58" s="8">
        <f t="shared" ca="1" si="48"/>
        <v>182.21163449338019</v>
      </c>
      <c r="AL58" s="8">
        <f t="shared" ca="1" si="48"/>
        <v>224.53028660446773</v>
      </c>
      <c r="AM58" s="8">
        <f t="shared" ca="1" si="48"/>
        <v>273.94554627320207</v>
      </c>
      <c r="AN58" s="8">
        <f t="shared" ca="1" si="48"/>
        <v>300</v>
      </c>
      <c r="AO58" s="8">
        <f t="shared" ca="1" si="48"/>
        <v>300</v>
      </c>
      <c r="AP58" s="8">
        <f t="shared" ca="1" si="48"/>
        <v>300</v>
      </c>
      <c r="AQ58" s="8">
        <f t="shared" ca="1" si="48"/>
        <v>300</v>
      </c>
      <c r="AR58" s="8">
        <f t="shared" ca="1" si="48"/>
        <v>300</v>
      </c>
      <c r="AS58" s="8">
        <f t="shared" ca="1" si="48"/>
        <v>300</v>
      </c>
      <c r="AT58" s="8">
        <f t="shared" ref="AT58" ca="1" si="49">AVERAGE(AT50+AT51,AT57)</f>
        <v>300</v>
      </c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</row>
    <row r="59" spans="1:66" ht="13.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55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</row>
    <row r="60" spans="1:66" ht="13.5" customHeight="1" x14ac:dyDescent="0.3">
      <c r="A60" s="7"/>
      <c r="B60" s="14" t="s">
        <v>163</v>
      </c>
      <c r="C60" s="15"/>
      <c r="D60" s="7" t="s">
        <v>40</v>
      </c>
      <c r="E60" s="7"/>
      <c r="F60" s="7"/>
      <c r="G60" s="7"/>
      <c r="H60" s="7"/>
      <c r="I60" s="7"/>
      <c r="J60" s="12">
        <v>0</v>
      </c>
      <c r="K60" s="12">
        <f t="shared" ref="K60:AG60" si="50">J66</f>
        <v>14</v>
      </c>
      <c r="L60" s="12">
        <f t="shared" si="50"/>
        <v>14</v>
      </c>
      <c r="M60" s="12">
        <f t="shared" si="50"/>
        <v>14</v>
      </c>
      <c r="N60" s="12">
        <f t="shared" si="50"/>
        <v>14</v>
      </c>
      <c r="O60" s="12">
        <f t="shared" si="50"/>
        <v>14</v>
      </c>
      <c r="P60" s="12">
        <f t="shared" si="50"/>
        <v>14</v>
      </c>
      <c r="Q60" s="12">
        <f t="shared" si="50"/>
        <v>14</v>
      </c>
      <c r="R60" s="12">
        <f t="shared" si="50"/>
        <v>14</v>
      </c>
      <c r="S60" s="12">
        <f t="shared" si="50"/>
        <v>14</v>
      </c>
      <c r="T60" s="12">
        <f t="shared" si="50"/>
        <v>14</v>
      </c>
      <c r="U60" s="12">
        <f t="shared" si="50"/>
        <v>14</v>
      </c>
      <c r="V60" s="12">
        <f t="shared" si="50"/>
        <v>14</v>
      </c>
      <c r="W60" s="12">
        <f t="shared" si="50"/>
        <v>14</v>
      </c>
      <c r="X60" s="12">
        <f t="shared" si="50"/>
        <v>14</v>
      </c>
      <c r="Y60" s="12">
        <f t="shared" si="50"/>
        <v>14</v>
      </c>
      <c r="Z60" s="12">
        <f t="shared" si="50"/>
        <v>14</v>
      </c>
      <c r="AA60" s="12">
        <f t="shared" si="50"/>
        <v>14</v>
      </c>
      <c r="AB60" s="12">
        <f t="shared" si="50"/>
        <v>13.965</v>
      </c>
      <c r="AC60" s="12">
        <f t="shared" si="50"/>
        <v>13.930087499999999</v>
      </c>
      <c r="AD60" s="12">
        <f t="shared" si="50"/>
        <v>13.895262281249998</v>
      </c>
      <c r="AE60" s="12">
        <f t="shared" si="50"/>
        <v>13.860524125546874</v>
      </c>
      <c r="AF60" s="12">
        <f t="shared" si="50"/>
        <v>13.825872815233007</v>
      </c>
      <c r="AG60" s="12">
        <f t="shared" si="50"/>
        <v>13.791308133194924</v>
      </c>
      <c r="AH60" s="7"/>
      <c r="AI60" s="12">
        <v>0</v>
      </c>
      <c r="AJ60" s="12">
        <f t="shared" ref="AJ60:AT60" si="51">AI66</f>
        <v>14</v>
      </c>
      <c r="AK60" s="12">
        <f t="shared" si="51"/>
        <v>14</v>
      </c>
      <c r="AL60" s="12">
        <f t="shared" si="51"/>
        <v>10.883585888281942</v>
      </c>
      <c r="AM60" s="12">
        <f t="shared" ca="1" si="51"/>
        <v>13.411298710835423</v>
      </c>
      <c r="AN60" s="12">
        <f t="shared" ca="1" si="51"/>
        <v>16.526072836426952</v>
      </c>
      <c r="AO60" s="12">
        <f t="shared" ca="1" si="51"/>
        <v>20.000000000000007</v>
      </c>
      <c r="AP60" s="12">
        <f t="shared" ca="1" si="51"/>
        <v>20.000000000000007</v>
      </c>
      <c r="AQ60" s="12">
        <f t="shared" ca="1" si="51"/>
        <v>20.000000000000007</v>
      </c>
      <c r="AR60" s="12">
        <f t="shared" ca="1" si="51"/>
        <v>20.000000000000007</v>
      </c>
      <c r="AS60" s="12">
        <f t="shared" ca="1" si="51"/>
        <v>20.000000000000007</v>
      </c>
      <c r="AT60" s="12">
        <f t="shared" ca="1" si="51"/>
        <v>20.000000000000007</v>
      </c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</row>
    <row r="61" spans="1:66" ht="13.5" customHeight="1" x14ac:dyDescent="0.3">
      <c r="A61" s="7"/>
      <c r="B61" s="89" t="s">
        <v>154</v>
      </c>
      <c r="C61" s="15" t="s">
        <v>164</v>
      </c>
      <c r="D61" s="7" t="s">
        <v>40</v>
      </c>
      <c r="E61" s="7"/>
      <c r="F61" s="7"/>
      <c r="G61" s="7"/>
      <c r="H61" s="7"/>
      <c r="I61" s="7"/>
      <c r="J61" s="8">
        <f t="shared" ref="J61:AG61" si="52">J47</f>
        <v>14</v>
      </c>
      <c r="K61" s="8">
        <f t="shared" si="52"/>
        <v>0</v>
      </c>
      <c r="L61" s="8">
        <f t="shared" si="52"/>
        <v>0</v>
      </c>
      <c r="M61" s="8">
        <f t="shared" si="52"/>
        <v>0</v>
      </c>
      <c r="N61" s="8">
        <f t="shared" si="52"/>
        <v>0</v>
      </c>
      <c r="O61" s="8">
        <f t="shared" si="52"/>
        <v>0</v>
      </c>
      <c r="P61" s="8">
        <f t="shared" si="52"/>
        <v>0</v>
      </c>
      <c r="Q61" s="8">
        <f t="shared" si="52"/>
        <v>0</v>
      </c>
      <c r="R61" s="8">
        <f t="shared" si="52"/>
        <v>0</v>
      </c>
      <c r="S61" s="8">
        <f t="shared" si="52"/>
        <v>0</v>
      </c>
      <c r="T61" s="8">
        <f t="shared" si="52"/>
        <v>0</v>
      </c>
      <c r="U61" s="8">
        <f t="shared" si="52"/>
        <v>0</v>
      </c>
      <c r="V61" s="8">
        <f t="shared" si="52"/>
        <v>0</v>
      </c>
      <c r="W61" s="8">
        <f t="shared" si="52"/>
        <v>0</v>
      </c>
      <c r="X61" s="8">
        <f t="shared" si="52"/>
        <v>0</v>
      </c>
      <c r="Y61" s="8">
        <f t="shared" si="52"/>
        <v>0</v>
      </c>
      <c r="Z61" s="8">
        <f t="shared" si="52"/>
        <v>0</v>
      </c>
      <c r="AA61" s="8">
        <f t="shared" si="52"/>
        <v>0</v>
      </c>
      <c r="AB61" s="8">
        <f t="shared" si="52"/>
        <v>0</v>
      </c>
      <c r="AC61" s="8">
        <f t="shared" si="52"/>
        <v>0</v>
      </c>
      <c r="AD61" s="8">
        <f t="shared" si="52"/>
        <v>0</v>
      </c>
      <c r="AE61" s="8">
        <f t="shared" si="52"/>
        <v>0</v>
      </c>
      <c r="AF61" s="8">
        <f t="shared" si="52"/>
        <v>0</v>
      </c>
      <c r="AG61" s="8">
        <f t="shared" si="52"/>
        <v>0</v>
      </c>
      <c r="AH61" s="7"/>
      <c r="AI61" s="8">
        <f t="shared" ref="AI61:AJ61" si="53">SUMIF($J$37:$AG$37,AI$37,$J61:$AG61)</f>
        <v>14</v>
      </c>
      <c r="AJ61" s="8">
        <f t="shared" si="53"/>
        <v>0</v>
      </c>
      <c r="AK61" s="8">
        <f t="shared" ref="AK61:AS61" si="54">AK47</f>
        <v>0</v>
      </c>
      <c r="AL61" s="8">
        <f t="shared" si="54"/>
        <v>0</v>
      </c>
      <c r="AM61" s="8">
        <f t="shared" si="54"/>
        <v>0</v>
      </c>
      <c r="AN61" s="8">
        <f t="shared" si="54"/>
        <v>0</v>
      </c>
      <c r="AO61" s="8">
        <f t="shared" si="54"/>
        <v>0</v>
      </c>
      <c r="AP61" s="8">
        <f t="shared" si="54"/>
        <v>0</v>
      </c>
      <c r="AQ61" s="8">
        <f t="shared" si="54"/>
        <v>0</v>
      </c>
      <c r="AR61" s="8">
        <f t="shared" si="54"/>
        <v>0</v>
      </c>
      <c r="AS61" s="8">
        <f t="shared" si="54"/>
        <v>0</v>
      </c>
      <c r="AT61" s="8">
        <f t="shared" ref="AT61" si="55">AT47</f>
        <v>0</v>
      </c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</row>
    <row r="62" spans="1:66" ht="13.5" customHeight="1" x14ac:dyDescent="0.3">
      <c r="A62" s="7"/>
      <c r="B62" s="89" t="s">
        <v>154</v>
      </c>
      <c r="C62" s="15" t="s">
        <v>165</v>
      </c>
      <c r="D62" s="7" t="s">
        <v>40</v>
      </c>
      <c r="E62" s="7"/>
      <c r="F62" s="7"/>
      <c r="G62" s="7"/>
      <c r="H62" s="7"/>
      <c r="I62" s="7"/>
      <c r="J62" s="8">
        <f t="shared" ref="J62:AG62" si="56">-J92</f>
        <v>0</v>
      </c>
      <c r="K62" s="8">
        <f t="shared" si="56"/>
        <v>0</v>
      </c>
      <c r="L62" s="8">
        <f t="shared" si="56"/>
        <v>0</v>
      </c>
      <c r="M62" s="8">
        <f t="shared" si="56"/>
        <v>0</v>
      </c>
      <c r="N62" s="8">
        <f t="shared" si="56"/>
        <v>0</v>
      </c>
      <c r="O62" s="8">
        <f t="shared" si="56"/>
        <v>0</v>
      </c>
      <c r="P62" s="8">
        <f t="shared" si="56"/>
        <v>0</v>
      </c>
      <c r="Q62" s="8">
        <f t="shared" si="56"/>
        <v>0</v>
      </c>
      <c r="R62" s="8">
        <f t="shared" si="56"/>
        <v>0</v>
      </c>
      <c r="S62" s="8">
        <f t="shared" si="56"/>
        <v>0</v>
      </c>
      <c r="T62" s="8">
        <f t="shared" si="56"/>
        <v>0</v>
      </c>
      <c r="U62" s="8">
        <f t="shared" si="56"/>
        <v>0</v>
      </c>
      <c r="V62" s="8">
        <f t="shared" si="56"/>
        <v>0</v>
      </c>
      <c r="W62" s="8">
        <f t="shared" si="56"/>
        <v>0</v>
      </c>
      <c r="X62" s="8">
        <f t="shared" si="56"/>
        <v>0</v>
      </c>
      <c r="Y62" s="8">
        <f t="shared" si="56"/>
        <v>0</v>
      </c>
      <c r="Z62" s="8">
        <f t="shared" si="56"/>
        <v>0</v>
      </c>
      <c r="AA62" s="8">
        <f t="shared" si="56"/>
        <v>0</v>
      </c>
      <c r="AB62" s="8">
        <f t="shared" si="56"/>
        <v>0</v>
      </c>
      <c r="AC62" s="8">
        <f t="shared" si="56"/>
        <v>0</v>
      </c>
      <c r="AD62" s="8">
        <f t="shared" si="56"/>
        <v>0</v>
      </c>
      <c r="AE62" s="8">
        <f t="shared" si="56"/>
        <v>0</v>
      </c>
      <c r="AF62" s="8">
        <f t="shared" si="56"/>
        <v>0</v>
      </c>
      <c r="AG62" s="8">
        <f t="shared" si="56"/>
        <v>0</v>
      </c>
      <c r="AH62" s="7"/>
      <c r="AI62" s="8">
        <f t="shared" ref="AI62:AJ62" si="57">SUMIF($J$37:$AG$37,AI$37,$J62:$AG62)</f>
        <v>0</v>
      </c>
      <c r="AJ62" s="8">
        <f t="shared" si="57"/>
        <v>0</v>
      </c>
      <c r="AK62" s="8">
        <f t="shared" ref="AK62:AS62" si="58">-AK92</f>
        <v>0.80358588828194222</v>
      </c>
      <c r="AL62" s="8">
        <f t="shared" ca="1" si="58"/>
        <v>5.5751168712724244</v>
      </c>
      <c r="AM62" s="8">
        <f t="shared" ca="1" si="58"/>
        <v>6.8699377646254476</v>
      </c>
      <c r="AN62" s="8">
        <f t="shared" ca="1" si="58"/>
        <v>8.1012275577726012</v>
      </c>
      <c r="AO62" s="8">
        <f t="shared" ca="1" si="58"/>
        <v>5.6000000000000014</v>
      </c>
      <c r="AP62" s="8">
        <f t="shared" ca="1" si="58"/>
        <v>5.6000000000000014</v>
      </c>
      <c r="AQ62" s="8">
        <f t="shared" ca="1" si="58"/>
        <v>5.6000000000000014</v>
      </c>
      <c r="AR62" s="8">
        <f t="shared" ca="1" si="58"/>
        <v>5.6000000000000014</v>
      </c>
      <c r="AS62" s="8">
        <f t="shared" ca="1" si="58"/>
        <v>5.6000000000000014</v>
      </c>
      <c r="AT62" s="8">
        <f t="shared" ref="AT62" ca="1" si="59">-AT92</f>
        <v>5.6000000000000014</v>
      </c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</row>
    <row r="63" spans="1:66" ht="13.5" customHeight="1" x14ac:dyDescent="0.3">
      <c r="A63" s="7"/>
      <c r="B63" s="89" t="s">
        <v>157</v>
      </c>
      <c r="C63" s="15" t="s">
        <v>158</v>
      </c>
      <c r="D63" s="7" t="s">
        <v>40</v>
      </c>
      <c r="E63" s="91">
        <v>0.25</v>
      </c>
      <c r="F63" s="7"/>
      <c r="G63" s="90">
        <f t="shared" ref="G63:G64" si="60">E63/12</f>
        <v>2.0833333333333332E-2</v>
      </c>
      <c r="H63" s="7"/>
      <c r="I63" s="7"/>
      <c r="J63" s="8">
        <f t="shared" ref="J63:Z63" si="61">IF(J$35&gt;17,-$G63*J$60,0)</f>
        <v>0</v>
      </c>
      <c r="K63" s="8">
        <f t="shared" si="61"/>
        <v>0</v>
      </c>
      <c r="L63" s="8">
        <f t="shared" si="61"/>
        <v>0</v>
      </c>
      <c r="M63" s="8">
        <f t="shared" si="61"/>
        <v>0</v>
      </c>
      <c r="N63" s="8">
        <f t="shared" si="61"/>
        <v>0</v>
      </c>
      <c r="O63" s="8">
        <f t="shared" si="61"/>
        <v>0</v>
      </c>
      <c r="P63" s="8">
        <f t="shared" si="61"/>
        <v>0</v>
      </c>
      <c r="Q63" s="8">
        <f t="shared" si="61"/>
        <v>0</v>
      </c>
      <c r="R63" s="8">
        <f t="shared" si="61"/>
        <v>0</v>
      </c>
      <c r="S63" s="8">
        <f t="shared" si="61"/>
        <v>0</v>
      </c>
      <c r="T63" s="8">
        <f t="shared" si="61"/>
        <v>0</v>
      </c>
      <c r="U63" s="8">
        <f t="shared" si="61"/>
        <v>0</v>
      </c>
      <c r="V63" s="8">
        <f t="shared" si="61"/>
        <v>0</v>
      </c>
      <c r="W63" s="8">
        <f t="shared" si="61"/>
        <v>0</v>
      </c>
      <c r="X63" s="8">
        <f t="shared" si="61"/>
        <v>0</v>
      </c>
      <c r="Y63" s="8">
        <f t="shared" si="61"/>
        <v>0</v>
      </c>
      <c r="Z63" s="8">
        <f t="shared" si="61"/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7"/>
      <c r="AI63" s="8">
        <f t="shared" ref="AI63:AJ63" si="62">SUMIF($J$37:$AG$37,AI$37,$J63:$AG63)</f>
        <v>0</v>
      </c>
      <c r="AJ63" s="8">
        <f t="shared" si="62"/>
        <v>0</v>
      </c>
      <c r="AK63" s="8">
        <f t="shared" ref="AK63:AT63" si="63">-$E63*AK$60</f>
        <v>-3.5</v>
      </c>
      <c r="AL63" s="8">
        <f t="shared" si="63"/>
        <v>-2.7208964720704856</v>
      </c>
      <c r="AM63" s="8">
        <f t="shared" ca="1" si="63"/>
        <v>-3.3528246777088557</v>
      </c>
      <c r="AN63" s="8">
        <f t="shared" ca="1" si="63"/>
        <v>-4.1315182091067379</v>
      </c>
      <c r="AO63" s="8">
        <f t="shared" ca="1" si="63"/>
        <v>-5.0000000000000018</v>
      </c>
      <c r="AP63" s="8">
        <f t="shared" ca="1" si="63"/>
        <v>-5.0000000000000018</v>
      </c>
      <c r="AQ63" s="8">
        <f t="shared" ca="1" si="63"/>
        <v>-5.0000000000000018</v>
      </c>
      <c r="AR63" s="8">
        <f t="shared" ca="1" si="63"/>
        <v>-5.0000000000000018</v>
      </c>
      <c r="AS63" s="8">
        <f t="shared" ca="1" si="63"/>
        <v>-5.0000000000000018</v>
      </c>
      <c r="AT63" s="8">
        <f t="shared" ca="1" si="63"/>
        <v>-5.0000000000000018</v>
      </c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</row>
    <row r="64" spans="1:66" ht="13.5" customHeight="1" x14ac:dyDescent="0.3">
      <c r="A64" s="7"/>
      <c r="B64" s="89" t="s">
        <v>157</v>
      </c>
      <c r="C64" s="15" t="s">
        <v>166</v>
      </c>
      <c r="D64" s="7" t="s">
        <v>40</v>
      </c>
      <c r="E64" s="91">
        <v>0.03</v>
      </c>
      <c r="F64" s="7"/>
      <c r="G64" s="90">
        <f t="shared" si="60"/>
        <v>2.5000000000000001E-3</v>
      </c>
      <c r="H64" s="7"/>
      <c r="I64" s="7"/>
      <c r="J64" s="8">
        <f t="shared" ref="J64:AG64" si="64">IF(J$35&gt;17,-$G64*J$60,0)</f>
        <v>0</v>
      </c>
      <c r="K64" s="8">
        <f t="shared" si="64"/>
        <v>0</v>
      </c>
      <c r="L64" s="8">
        <f t="shared" si="64"/>
        <v>0</v>
      </c>
      <c r="M64" s="8">
        <f t="shared" si="64"/>
        <v>0</v>
      </c>
      <c r="N64" s="8">
        <f t="shared" si="64"/>
        <v>0</v>
      </c>
      <c r="O64" s="8">
        <f t="shared" si="64"/>
        <v>0</v>
      </c>
      <c r="P64" s="8">
        <f t="shared" si="64"/>
        <v>0</v>
      </c>
      <c r="Q64" s="8">
        <f t="shared" si="64"/>
        <v>0</v>
      </c>
      <c r="R64" s="8">
        <f t="shared" si="64"/>
        <v>0</v>
      </c>
      <c r="S64" s="8">
        <f t="shared" si="64"/>
        <v>0</v>
      </c>
      <c r="T64" s="8">
        <f t="shared" si="64"/>
        <v>0</v>
      </c>
      <c r="U64" s="8">
        <f t="shared" si="64"/>
        <v>0</v>
      </c>
      <c r="V64" s="8">
        <f t="shared" si="64"/>
        <v>0</v>
      </c>
      <c r="W64" s="8">
        <f t="shared" si="64"/>
        <v>0</v>
      </c>
      <c r="X64" s="8">
        <f t="shared" si="64"/>
        <v>0</v>
      </c>
      <c r="Y64" s="8">
        <f t="shared" si="64"/>
        <v>0</v>
      </c>
      <c r="Z64" s="8">
        <f t="shared" si="64"/>
        <v>0</v>
      </c>
      <c r="AA64" s="8">
        <f t="shared" si="64"/>
        <v>-3.5000000000000003E-2</v>
      </c>
      <c r="AB64" s="8">
        <f t="shared" si="64"/>
        <v>-3.4912499999999999E-2</v>
      </c>
      <c r="AC64" s="8">
        <f t="shared" si="64"/>
        <v>-3.4825218749999998E-2</v>
      </c>
      <c r="AD64" s="8">
        <f t="shared" si="64"/>
        <v>-3.4738155703124995E-2</v>
      </c>
      <c r="AE64" s="8">
        <f t="shared" si="64"/>
        <v>-3.4651310313867187E-2</v>
      </c>
      <c r="AF64" s="8">
        <f t="shared" si="64"/>
        <v>-3.4564682038082516E-2</v>
      </c>
      <c r="AG64" s="8">
        <f t="shared" si="64"/>
        <v>-3.447827033298731E-2</v>
      </c>
      <c r="AH64" s="7"/>
      <c r="AI64" s="8">
        <f t="shared" ref="AI64:AJ64" si="65">SUMIF($J$37:$AG$37,AI$37,$J64:$AG64)</f>
        <v>0</v>
      </c>
      <c r="AJ64" s="8">
        <f t="shared" si="65"/>
        <v>0</v>
      </c>
      <c r="AK64" s="8">
        <f t="shared" ref="AK64:AT64" si="66">-$E64*AK$60</f>
        <v>-0.42</v>
      </c>
      <c r="AL64" s="8">
        <f t="shared" si="66"/>
        <v>-0.32650757664845825</v>
      </c>
      <c r="AM64" s="8">
        <f t="shared" ca="1" si="66"/>
        <v>-0.40233896132506269</v>
      </c>
      <c r="AN64" s="8">
        <f t="shared" ca="1" si="66"/>
        <v>-0.49578218509280852</v>
      </c>
      <c r="AO64" s="8">
        <f t="shared" ca="1" si="66"/>
        <v>-0.6000000000000002</v>
      </c>
      <c r="AP64" s="8">
        <f t="shared" ca="1" si="66"/>
        <v>-0.6000000000000002</v>
      </c>
      <c r="AQ64" s="8">
        <f t="shared" ca="1" si="66"/>
        <v>-0.6000000000000002</v>
      </c>
      <c r="AR64" s="8">
        <f t="shared" ca="1" si="66"/>
        <v>-0.6000000000000002</v>
      </c>
      <c r="AS64" s="8">
        <f t="shared" ca="1" si="66"/>
        <v>-0.6000000000000002</v>
      </c>
      <c r="AT64" s="8">
        <f t="shared" ca="1" si="66"/>
        <v>-0.6000000000000002</v>
      </c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</row>
    <row r="65" spans="1:66" ht="13.5" customHeight="1" x14ac:dyDescent="0.3">
      <c r="A65" s="92"/>
      <c r="B65" s="93" t="s">
        <v>157</v>
      </c>
      <c r="C65" s="92" t="s">
        <v>167</v>
      </c>
      <c r="D65" s="92" t="s">
        <v>40</v>
      </c>
      <c r="E65" s="92"/>
      <c r="F65" s="92"/>
      <c r="G65" s="7"/>
      <c r="H65" s="7"/>
      <c r="I65" s="7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7"/>
      <c r="AI65" s="94"/>
      <c r="AJ65" s="94"/>
      <c r="AK65" s="94"/>
      <c r="AL65" s="94"/>
      <c r="AM65" s="94"/>
      <c r="AN65" s="94"/>
      <c r="AO65" s="94"/>
      <c r="AP65" s="94"/>
      <c r="AQ65" s="94"/>
      <c r="AR65" s="94"/>
      <c r="AS65" s="94"/>
      <c r="AT65" s="94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</row>
    <row r="66" spans="1:66" ht="13.5" customHeight="1" x14ac:dyDescent="0.3">
      <c r="A66" s="7"/>
      <c r="B66" s="14" t="s">
        <v>42</v>
      </c>
      <c r="C66" s="15"/>
      <c r="D66" s="7" t="s">
        <v>40</v>
      </c>
      <c r="E66" s="7"/>
      <c r="F66" s="7"/>
      <c r="G66" s="7"/>
      <c r="H66" s="7"/>
      <c r="I66" s="7"/>
      <c r="J66" s="12">
        <f t="shared" ref="J66:AG66" si="67">SUM(J60:J65)</f>
        <v>14</v>
      </c>
      <c r="K66" s="12">
        <f t="shared" si="67"/>
        <v>14</v>
      </c>
      <c r="L66" s="12">
        <f t="shared" si="67"/>
        <v>14</v>
      </c>
      <c r="M66" s="12">
        <f t="shared" si="67"/>
        <v>14</v>
      </c>
      <c r="N66" s="12">
        <f t="shared" si="67"/>
        <v>14</v>
      </c>
      <c r="O66" s="12">
        <f t="shared" si="67"/>
        <v>14</v>
      </c>
      <c r="P66" s="12">
        <f t="shared" si="67"/>
        <v>14</v>
      </c>
      <c r="Q66" s="12">
        <f t="shared" si="67"/>
        <v>14</v>
      </c>
      <c r="R66" s="12">
        <f t="shared" si="67"/>
        <v>14</v>
      </c>
      <c r="S66" s="12">
        <f t="shared" si="67"/>
        <v>14</v>
      </c>
      <c r="T66" s="12">
        <f t="shared" si="67"/>
        <v>14</v>
      </c>
      <c r="U66" s="12">
        <f t="shared" si="67"/>
        <v>14</v>
      </c>
      <c r="V66" s="12">
        <f t="shared" si="67"/>
        <v>14</v>
      </c>
      <c r="W66" s="12">
        <f t="shared" si="67"/>
        <v>14</v>
      </c>
      <c r="X66" s="12">
        <f t="shared" si="67"/>
        <v>14</v>
      </c>
      <c r="Y66" s="12">
        <f t="shared" si="67"/>
        <v>14</v>
      </c>
      <c r="Z66" s="12">
        <f t="shared" si="67"/>
        <v>14</v>
      </c>
      <c r="AA66" s="12">
        <f t="shared" si="67"/>
        <v>13.965</v>
      </c>
      <c r="AB66" s="12">
        <f t="shared" si="67"/>
        <v>13.930087499999999</v>
      </c>
      <c r="AC66" s="12">
        <f t="shared" si="67"/>
        <v>13.895262281249998</v>
      </c>
      <c r="AD66" s="12">
        <f t="shared" si="67"/>
        <v>13.860524125546874</v>
      </c>
      <c r="AE66" s="12">
        <f t="shared" si="67"/>
        <v>13.825872815233007</v>
      </c>
      <c r="AF66" s="12">
        <f t="shared" si="67"/>
        <v>13.791308133194924</v>
      </c>
      <c r="AG66" s="12">
        <f t="shared" si="67"/>
        <v>13.756829862861936</v>
      </c>
      <c r="AH66" s="7"/>
      <c r="AI66" s="12">
        <f t="shared" ref="AI66:AS66" si="68">SUM(AI60:AI65)</f>
        <v>14</v>
      </c>
      <c r="AJ66" s="12">
        <f t="shared" si="68"/>
        <v>14</v>
      </c>
      <c r="AK66" s="12">
        <f t="shared" si="68"/>
        <v>10.883585888281942</v>
      </c>
      <c r="AL66" s="12">
        <f t="shared" ca="1" si="68"/>
        <v>13.411298710835423</v>
      </c>
      <c r="AM66" s="12">
        <f t="shared" ca="1" si="68"/>
        <v>16.526072836426952</v>
      </c>
      <c r="AN66" s="12">
        <f t="shared" ca="1" si="68"/>
        <v>20.000000000000007</v>
      </c>
      <c r="AO66" s="12">
        <f t="shared" ca="1" si="68"/>
        <v>20.000000000000007</v>
      </c>
      <c r="AP66" s="12">
        <f t="shared" ca="1" si="68"/>
        <v>20.000000000000007</v>
      </c>
      <c r="AQ66" s="12">
        <f t="shared" ca="1" si="68"/>
        <v>20.000000000000007</v>
      </c>
      <c r="AR66" s="12">
        <f t="shared" ca="1" si="68"/>
        <v>20.000000000000007</v>
      </c>
      <c r="AS66" s="12">
        <f t="shared" ca="1" si="68"/>
        <v>20.000000000000007</v>
      </c>
      <c r="AT66" s="12">
        <f t="shared" ref="AT66" ca="1" si="69">SUM(AT60:AT65)</f>
        <v>20.000000000000007</v>
      </c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</row>
    <row r="67" spans="1:66" ht="13.5" customHeight="1" x14ac:dyDescent="0.3">
      <c r="A67" s="7"/>
      <c r="B67" s="14" t="s">
        <v>168</v>
      </c>
      <c r="C67" s="15"/>
      <c r="D67" s="7" t="s">
        <v>40</v>
      </c>
      <c r="E67" s="7"/>
      <c r="F67" s="7"/>
      <c r="G67" s="7"/>
      <c r="H67" s="7"/>
      <c r="I67" s="7"/>
      <c r="J67" s="12">
        <f t="shared" ref="J67:AG67" si="70">AVERAGE(J60+J61,J66)</f>
        <v>14</v>
      </c>
      <c r="K67" s="12">
        <f t="shared" si="70"/>
        <v>14</v>
      </c>
      <c r="L67" s="12">
        <f t="shared" si="70"/>
        <v>14</v>
      </c>
      <c r="M67" s="12">
        <f t="shared" si="70"/>
        <v>14</v>
      </c>
      <c r="N67" s="12">
        <f t="shared" si="70"/>
        <v>14</v>
      </c>
      <c r="O67" s="12">
        <f t="shared" si="70"/>
        <v>14</v>
      </c>
      <c r="P67" s="12">
        <f t="shared" si="70"/>
        <v>14</v>
      </c>
      <c r="Q67" s="12">
        <f t="shared" si="70"/>
        <v>14</v>
      </c>
      <c r="R67" s="12">
        <f t="shared" si="70"/>
        <v>14</v>
      </c>
      <c r="S67" s="12">
        <f t="shared" si="70"/>
        <v>14</v>
      </c>
      <c r="T67" s="12">
        <f t="shared" si="70"/>
        <v>14</v>
      </c>
      <c r="U67" s="12">
        <f t="shared" si="70"/>
        <v>14</v>
      </c>
      <c r="V67" s="12">
        <f t="shared" si="70"/>
        <v>14</v>
      </c>
      <c r="W67" s="12">
        <f t="shared" si="70"/>
        <v>14</v>
      </c>
      <c r="X67" s="12">
        <f t="shared" si="70"/>
        <v>14</v>
      </c>
      <c r="Y67" s="12">
        <f t="shared" si="70"/>
        <v>14</v>
      </c>
      <c r="Z67" s="12">
        <f t="shared" si="70"/>
        <v>14</v>
      </c>
      <c r="AA67" s="12">
        <f t="shared" si="70"/>
        <v>13.9825</v>
      </c>
      <c r="AB67" s="12">
        <f t="shared" si="70"/>
        <v>13.947543749999999</v>
      </c>
      <c r="AC67" s="12">
        <f t="shared" si="70"/>
        <v>13.912674890624999</v>
      </c>
      <c r="AD67" s="12">
        <f t="shared" si="70"/>
        <v>13.877893203398436</v>
      </c>
      <c r="AE67" s="12">
        <f t="shared" si="70"/>
        <v>13.84319847038994</v>
      </c>
      <c r="AF67" s="12">
        <f t="shared" si="70"/>
        <v>13.808590474213965</v>
      </c>
      <c r="AG67" s="12">
        <f t="shared" si="70"/>
        <v>13.774068998028429</v>
      </c>
      <c r="AH67" s="7"/>
      <c r="AI67" s="12">
        <f t="shared" ref="AI67:AS67" si="71">AVERAGE(AI60,AI66)</f>
        <v>7</v>
      </c>
      <c r="AJ67" s="12">
        <f t="shared" si="71"/>
        <v>14</v>
      </c>
      <c r="AK67" s="12">
        <f t="shared" si="71"/>
        <v>12.441792944140971</v>
      </c>
      <c r="AL67" s="12">
        <f t="shared" ca="1" si="71"/>
        <v>12.147442299558683</v>
      </c>
      <c r="AM67" s="12">
        <f t="shared" ca="1" si="71"/>
        <v>14.968685773631186</v>
      </c>
      <c r="AN67" s="12">
        <f t="shared" ca="1" si="71"/>
        <v>18.263036418213481</v>
      </c>
      <c r="AO67" s="12">
        <f t="shared" ca="1" si="71"/>
        <v>20.000000000000007</v>
      </c>
      <c r="AP67" s="12">
        <f t="shared" ca="1" si="71"/>
        <v>20.000000000000007</v>
      </c>
      <c r="AQ67" s="12">
        <f t="shared" ca="1" si="71"/>
        <v>20.000000000000007</v>
      </c>
      <c r="AR67" s="12">
        <f t="shared" ca="1" si="71"/>
        <v>20.000000000000007</v>
      </c>
      <c r="AS67" s="12">
        <f t="shared" ca="1" si="71"/>
        <v>20.000000000000007</v>
      </c>
      <c r="AT67" s="12">
        <f t="shared" ref="AT67" ca="1" si="72">AVERAGE(AT60,AT66)</f>
        <v>20.000000000000007</v>
      </c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</row>
    <row r="68" spans="1:66" ht="13.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55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</row>
    <row r="69" spans="1:66" ht="13.5" customHeight="1" x14ac:dyDescent="0.3">
      <c r="A69" s="7"/>
      <c r="B69" s="14" t="s">
        <v>169</v>
      </c>
      <c r="C69" s="15"/>
      <c r="D69" s="7" t="s">
        <v>40</v>
      </c>
      <c r="E69" s="7"/>
      <c r="F69" s="7"/>
      <c r="G69" s="7"/>
      <c r="H69" s="7"/>
      <c r="I69" s="7"/>
      <c r="J69" s="8">
        <v>0</v>
      </c>
      <c r="K69" s="8">
        <f t="shared" ref="K69:AG69" si="73">J76</f>
        <v>0</v>
      </c>
      <c r="L69" s="8">
        <f t="shared" si="73"/>
        <v>0</v>
      </c>
      <c r="M69" s="8">
        <f t="shared" si="73"/>
        <v>0</v>
      </c>
      <c r="N69" s="8">
        <f t="shared" si="73"/>
        <v>0</v>
      </c>
      <c r="O69" s="8">
        <f t="shared" si="73"/>
        <v>0</v>
      </c>
      <c r="P69" s="8">
        <f t="shared" si="73"/>
        <v>0</v>
      </c>
      <c r="Q69" s="8">
        <f t="shared" si="73"/>
        <v>0</v>
      </c>
      <c r="R69" s="8">
        <f t="shared" si="73"/>
        <v>0</v>
      </c>
      <c r="S69" s="8">
        <f t="shared" si="73"/>
        <v>0</v>
      </c>
      <c r="T69" s="8">
        <f t="shared" si="73"/>
        <v>0</v>
      </c>
      <c r="U69" s="8">
        <f t="shared" si="73"/>
        <v>0</v>
      </c>
      <c r="V69" s="8">
        <f t="shared" si="73"/>
        <v>0</v>
      </c>
      <c r="W69" s="8">
        <f t="shared" si="73"/>
        <v>0</v>
      </c>
      <c r="X69" s="8">
        <f t="shared" si="73"/>
        <v>0</v>
      </c>
      <c r="Y69" s="8">
        <f t="shared" si="73"/>
        <v>0</v>
      </c>
      <c r="Z69" s="8">
        <f t="shared" si="73"/>
        <v>0</v>
      </c>
      <c r="AA69" s="8">
        <f t="shared" si="73"/>
        <v>0</v>
      </c>
      <c r="AB69" s="8">
        <f t="shared" si="73"/>
        <v>0</v>
      </c>
      <c r="AC69" s="8">
        <f t="shared" si="73"/>
        <v>0</v>
      </c>
      <c r="AD69" s="8">
        <f t="shared" si="73"/>
        <v>0</v>
      </c>
      <c r="AE69" s="8">
        <f t="shared" si="73"/>
        <v>0</v>
      </c>
      <c r="AF69" s="8">
        <f t="shared" si="73"/>
        <v>0</v>
      </c>
      <c r="AG69" s="8">
        <f t="shared" si="73"/>
        <v>0</v>
      </c>
      <c r="AH69" s="7"/>
      <c r="AI69" s="8">
        <v>0</v>
      </c>
      <c r="AJ69" s="8">
        <f t="shared" ref="AJ69:AT69" si="74">AI76</f>
        <v>0</v>
      </c>
      <c r="AK69" s="8">
        <f t="shared" si="74"/>
        <v>0</v>
      </c>
      <c r="AL69" s="8">
        <f t="shared" si="74"/>
        <v>0</v>
      </c>
      <c r="AM69" s="8">
        <f t="shared" ca="1" si="74"/>
        <v>0</v>
      </c>
      <c r="AN69" s="8">
        <f t="shared" ca="1" si="74"/>
        <v>0</v>
      </c>
      <c r="AO69" s="8">
        <f t="shared" ca="1" si="74"/>
        <v>0</v>
      </c>
      <c r="AP69" s="8">
        <f t="shared" ca="1" si="74"/>
        <v>0</v>
      </c>
      <c r="AQ69" s="8">
        <f t="shared" ca="1" si="74"/>
        <v>0</v>
      </c>
      <c r="AR69" s="8">
        <f t="shared" ca="1" si="74"/>
        <v>0</v>
      </c>
      <c r="AS69" s="8">
        <f t="shared" ca="1" si="74"/>
        <v>0</v>
      </c>
      <c r="AT69" s="8">
        <f t="shared" ca="1" si="74"/>
        <v>0</v>
      </c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</row>
    <row r="70" spans="1:66" ht="13.5" customHeight="1" x14ac:dyDescent="0.3">
      <c r="A70" s="7"/>
      <c r="B70" s="89" t="s">
        <v>154</v>
      </c>
      <c r="C70" s="15" t="s">
        <v>170</v>
      </c>
      <c r="D70" s="7" t="s">
        <v>40</v>
      </c>
      <c r="E70" s="24">
        <f>Output!D189</f>
        <v>0.85</v>
      </c>
      <c r="F70" s="7"/>
      <c r="G70" s="95">
        <f>IF(Input!F64="Зимний",18,12)</f>
        <v>18</v>
      </c>
      <c r="H70" s="7"/>
      <c r="I70" s="7"/>
      <c r="J70" s="8">
        <f t="shared" ref="J70:AG70" si="75">IF(J35=$G$70,$E70*SUM(J50:J51),0)</f>
        <v>0</v>
      </c>
      <c r="K70" s="8">
        <f t="shared" si="75"/>
        <v>0</v>
      </c>
      <c r="L70" s="8">
        <f t="shared" si="75"/>
        <v>0</v>
      </c>
      <c r="M70" s="8">
        <f t="shared" si="75"/>
        <v>0</v>
      </c>
      <c r="N70" s="8">
        <f t="shared" si="75"/>
        <v>0</v>
      </c>
      <c r="O70" s="8">
        <f t="shared" si="75"/>
        <v>0</v>
      </c>
      <c r="P70" s="8">
        <f t="shared" si="75"/>
        <v>0</v>
      </c>
      <c r="Q70" s="8">
        <f t="shared" si="75"/>
        <v>0</v>
      </c>
      <c r="R70" s="8">
        <f t="shared" si="75"/>
        <v>0</v>
      </c>
      <c r="S70" s="8">
        <f t="shared" si="75"/>
        <v>0</v>
      </c>
      <c r="T70" s="8">
        <f t="shared" si="75"/>
        <v>0</v>
      </c>
      <c r="U70" s="8">
        <f t="shared" si="75"/>
        <v>0</v>
      </c>
      <c r="V70" s="8">
        <f t="shared" si="75"/>
        <v>0</v>
      </c>
      <c r="W70" s="8">
        <f t="shared" si="75"/>
        <v>0</v>
      </c>
      <c r="X70" s="8">
        <f t="shared" si="75"/>
        <v>0</v>
      </c>
      <c r="Y70" s="8">
        <f t="shared" si="75"/>
        <v>0</v>
      </c>
      <c r="Z70" s="8">
        <f t="shared" si="75"/>
        <v>0</v>
      </c>
      <c r="AA70" s="8">
        <f t="shared" si="75"/>
        <v>138.76572007559471</v>
      </c>
      <c r="AB70" s="8">
        <f t="shared" si="75"/>
        <v>0</v>
      </c>
      <c r="AC70" s="8">
        <f t="shared" si="75"/>
        <v>0</v>
      </c>
      <c r="AD70" s="8">
        <f t="shared" si="75"/>
        <v>0</v>
      </c>
      <c r="AE70" s="8">
        <f t="shared" si="75"/>
        <v>0</v>
      </c>
      <c r="AF70" s="8">
        <f t="shared" si="75"/>
        <v>0</v>
      </c>
      <c r="AG70" s="8">
        <f t="shared" si="75"/>
        <v>0</v>
      </c>
      <c r="AH70" s="7"/>
      <c r="AI70" s="8">
        <f t="shared" ref="AI70:AJ70" si="76">SUMIF($J$37:$AG$37,AI$37,$J70:$AG70)</f>
        <v>0</v>
      </c>
      <c r="AJ70" s="8">
        <f t="shared" si="76"/>
        <v>0</v>
      </c>
      <c r="AK70" s="8">
        <f t="shared" ref="AK70:AS70" si="77">$E70*SUM(AK50)</f>
        <v>138.76572007559471</v>
      </c>
      <c r="AL70" s="8">
        <f t="shared" ca="1" si="77"/>
        <v>170.99405856315158</v>
      </c>
      <c r="AM70" s="8">
        <f t="shared" ca="1" si="77"/>
        <v>210.70742866444354</v>
      </c>
      <c r="AN70" s="8">
        <f t="shared" ca="1" si="77"/>
        <v>255</v>
      </c>
      <c r="AO70" s="8">
        <f t="shared" ca="1" si="77"/>
        <v>255</v>
      </c>
      <c r="AP70" s="8">
        <f t="shared" ca="1" si="77"/>
        <v>255</v>
      </c>
      <c r="AQ70" s="8">
        <f t="shared" ca="1" si="77"/>
        <v>255</v>
      </c>
      <c r="AR70" s="8">
        <f t="shared" ca="1" si="77"/>
        <v>255</v>
      </c>
      <c r="AS70" s="8">
        <f t="shared" ca="1" si="77"/>
        <v>255</v>
      </c>
      <c r="AT70" s="8">
        <f t="shared" ref="AT70" ca="1" si="78">$E70*SUM(AT50)</f>
        <v>255</v>
      </c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</row>
    <row r="71" spans="1:66" ht="13.5" customHeight="1" x14ac:dyDescent="0.3">
      <c r="A71" s="7"/>
      <c r="B71" s="89" t="s">
        <v>157</v>
      </c>
      <c r="C71" s="15" t="s">
        <v>171</v>
      </c>
      <c r="D71" s="7" t="s">
        <v>40</v>
      </c>
      <c r="E71" s="7"/>
      <c r="F71" s="7"/>
      <c r="G71" s="7"/>
      <c r="H71" s="7"/>
      <c r="I71" s="7"/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7"/>
      <c r="AI71" s="8">
        <f t="shared" ref="AI71:AJ71" si="79">SUMIF($J$37:$AG$37,AI$37,$J71:$AG71)</f>
        <v>0</v>
      </c>
      <c r="AJ71" s="8">
        <f t="shared" si="79"/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</row>
    <row r="72" spans="1:66" ht="13.5" customHeight="1" x14ac:dyDescent="0.3">
      <c r="A72" s="7"/>
      <c r="B72" s="89" t="s">
        <v>157</v>
      </c>
      <c r="C72" s="15" t="s">
        <v>167</v>
      </c>
      <c r="D72" s="7" t="s">
        <v>40</v>
      </c>
      <c r="E72" s="7"/>
      <c r="F72" s="7"/>
      <c r="G72" s="7"/>
      <c r="H72" s="7"/>
      <c r="I72" s="7"/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7"/>
      <c r="AI72" s="8">
        <f>SUMIF($J$37:$AG$37,AI$37,$J72:$AG72)</f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</row>
    <row r="73" spans="1:66" ht="13.5" customHeight="1" x14ac:dyDescent="0.3">
      <c r="A73" s="7"/>
      <c r="B73" s="96" t="s">
        <v>172</v>
      </c>
      <c r="C73" s="15"/>
      <c r="D73" s="7" t="s">
        <v>40</v>
      </c>
      <c r="E73" s="7"/>
      <c r="F73" s="7"/>
      <c r="G73" s="7"/>
      <c r="H73" s="7"/>
      <c r="I73" s="7"/>
      <c r="J73" s="8">
        <f t="shared" ref="J73:AG73" si="80">SUM(J69:J72)</f>
        <v>0</v>
      </c>
      <c r="K73" s="8">
        <f t="shared" si="80"/>
        <v>0</v>
      </c>
      <c r="L73" s="8">
        <f t="shared" si="80"/>
        <v>0</v>
      </c>
      <c r="M73" s="8">
        <f t="shared" si="80"/>
        <v>0</v>
      </c>
      <c r="N73" s="8">
        <f t="shared" si="80"/>
        <v>0</v>
      </c>
      <c r="O73" s="8">
        <f t="shared" si="80"/>
        <v>0</v>
      </c>
      <c r="P73" s="8">
        <f t="shared" si="80"/>
        <v>0</v>
      </c>
      <c r="Q73" s="8">
        <f t="shared" si="80"/>
        <v>0</v>
      </c>
      <c r="R73" s="8">
        <f t="shared" si="80"/>
        <v>0</v>
      </c>
      <c r="S73" s="8">
        <f t="shared" si="80"/>
        <v>0</v>
      </c>
      <c r="T73" s="8">
        <f t="shared" si="80"/>
        <v>0</v>
      </c>
      <c r="U73" s="8">
        <f t="shared" si="80"/>
        <v>0</v>
      </c>
      <c r="V73" s="8">
        <f t="shared" si="80"/>
        <v>0</v>
      </c>
      <c r="W73" s="8">
        <f t="shared" si="80"/>
        <v>0</v>
      </c>
      <c r="X73" s="8">
        <f t="shared" si="80"/>
        <v>0</v>
      </c>
      <c r="Y73" s="8">
        <f t="shared" si="80"/>
        <v>0</v>
      </c>
      <c r="Z73" s="8">
        <f t="shared" si="80"/>
        <v>0</v>
      </c>
      <c r="AA73" s="8">
        <f t="shared" si="80"/>
        <v>138.76572007559471</v>
      </c>
      <c r="AB73" s="8">
        <f t="shared" si="80"/>
        <v>0</v>
      </c>
      <c r="AC73" s="8">
        <f t="shared" si="80"/>
        <v>0</v>
      </c>
      <c r="AD73" s="8">
        <f t="shared" si="80"/>
        <v>0</v>
      </c>
      <c r="AE73" s="8">
        <f t="shared" si="80"/>
        <v>0</v>
      </c>
      <c r="AF73" s="8">
        <f t="shared" si="80"/>
        <v>0</v>
      </c>
      <c r="AG73" s="8">
        <f t="shared" si="80"/>
        <v>0</v>
      </c>
      <c r="AH73" s="7"/>
      <c r="AI73" s="8">
        <f t="shared" ref="AI73:AS73" si="81">SUM(AI69:AI72)</f>
        <v>0</v>
      </c>
      <c r="AJ73" s="8">
        <f t="shared" si="81"/>
        <v>0</v>
      </c>
      <c r="AK73" s="8">
        <f t="shared" si="81"/>
        <v>138.76572007559471</v>
      </c>
      <c r="AL73" s="8">
        <f t="shared" ca="1" si="81"/>
        <v>170.99405856315158</v>
      </c>
      <c r="AM73" s="8">
        <f t="shared" ca="1" si="81"/>
        <v>210.70742866444354</v>
      </c>
      <c r="AN73" s="8">
        <f t="shared" ca="1" si="81"/>
        <v>255</v>
      </c>
      <c r="AO73" s="8">
        <f t="shared" ca="1" si="81"/>
        <v>255</v>
      </c>
      <c r="AP73" s="8">
        <f t="shared" ca="1" si="81"/>
        <v>255</v>
      </c>
      <c r="AQ73" s="8">
        <f t="shared" ca="1" si="81"/>
        <v>255</v>
      </c>
      <c r="AR73" s="8">
        <f t="shared" ca="1" si="81"/>
        <v>255</v>
      </c>
      <c r="AS73" s="8">
        <f t="shared" ca="1" si="81"/>
        <v>255</v>
      </c>
      <c r="AT73" s="8">
        <f t="shared" ref="AT73" ca="1" si="82">SUM(AT69:AT72)</f>
        <v>255</v>
      </c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</row>
    <row r="74" spans="1:66" ht="13.5" customHeight="1" x14ac:dyDescent="0.3">
      <c r="A74" s="7"/>
      <c r="B74" s="89" t="s">
        <v>157</v>
      </c>
      <c r="C74" s="15" t="s">
        <v>173</v>
      </c>
      <c r="D74" s="7" t="s">
        <v>40</v>
      </c>
      <c r="E74" s="97">
        <v>0.5</v>
      </c>
      <c r="F74" s="7"/>
      <c r="G74" s="7"/>
      <c r="H74" s="7"/>
      <c r="I74" s="7"/>
      <c r="J74" s="8">
        <f t="shared" ref="J74:AG74" si="83">-J73*$E$74</f>
        <v>0</v>
      </c>
      <c r="K74" s="8">
        <f t="shared" si="83"/>
        <v>0</v>
      </c>
      <c r="L74" s="8">
        <f t="shared" si="83"/>
        <v>0</v>
      </c>
      <c r="M74" s="8">
        <f t="shared" si="83"/>
        <v>0</v>
      </c>
      <c r="N74" s="8">
        <f t="shared" si="83"/>
        <v>0</v>
      </c>
      <c r="O74" s="8">
        <f t="shared" si="83"/>
        <v>0</v>
      </c>
      <c r="P74" s="8">
        <f t="shared" si="83"/>
        <v>0</v>
      </c>
      <c r="Q74" s="8">
        <f t="shared" si="83"/>
        <v>0</v>
      </c>
      <c r="R74" s="8">
        <f t="shared" si="83"/>
        <v>0</v>
      </c>
      <c r="S74" s="8">
        <f t="shared" si="83"/>
        <v>0</v>
      </c>
      <c r="T74" s="8">
        <f t="shared" si="83"/>
        <v>0</v>
      </c>
      <c r="U74" s="8">
        <f t="shared" si="83"/>
        <v>0</v>
      </c>
      <c r="V74" s="8">
        <f t="shared" si="83"/>
        <v>0</v>
      </c>
      <c r="W74" s="8">
        <f t="shared" si="83"/>
        <v>0</v>
      </c>
      <c r="X74" s="8">
        <f t="shared" si="83"/>
        <v>0</v>
      </c>
      <c r="Y74" s="8">
        <f t="shared" si="83"/>
        <v>0</v>
      </c>
      <c r="Z74" s="8">
        <f t="shared" si="83"/>
        <v>0</v>
      </c>
      <c r="AA74" s="8">
        <f t="shared" si="83"/>
        <v>-69.382860037797357</v>
      </c>
      <c r="AB74" s="8">
        <f t="shared" si="83"/>
        <v>0</v>
      </c>
      <c r="AC74" s="8">
        <f t="shared" si="83"/>
        <v>0</v>
      </c>
      <c r="AD74" s="8">
        <f t="shared" si="83"/>
        <v>0</v>
      </c>
      <c r="AE74" s="8">
        <f t="shared" si="83"/>
        <v>0</v>
      </c>
      <c r="AF74" s="8">
        <f t="shared" si="83"/>
        <v>0</v>
      </c>
      <c r="AG74" s="8">
        <f t="shared" si="83"/>
        <v>0</v>
      </c>
      <c r="AH74" s="7"/>
      <c r="AI74" s="8">
        <f t="shared" ref="AI74:AJ74" si="84">SUMIF($J$37:$AG$37,AI$37,$J74:$AG74)</f>
        <v>0</v>
      </c>
      <c r="AJ74" s="8">
        <f t="shared" si="84"/>
        <v>0</v>
      </c>
      <c r="AK74" s="8">
        <f t="shared" ref="AK74:AS74" si="85">-AK73*$E$74</f>
        <v>-69.382860037797357</v>
      </c>
      <c r="AL74" s="8">
        <f t="shared" ca="1" si="85"/>
        <v>-85.497029281575792</v>
      </c>
      <c r="AM74" s="8">
        <f t="shared" ca="1" si="85"/>
        <v>-105.35371433222177</v>
      </c>
      <c r="AN74" s="8">
        <f t="shared" ca="1" si="85"/>
        <v>-127.5</v>
      </c>
      <c r="AO74" s="8">
        <f t="shared" ca="1" si="85"/>
        <v>-127.5</v>
      </c>
      <c r="AP74" s="8">
        <f t="shared" ca="1" si="85"/>
        <v>-127.5</v>
      </c>
      <c r="AQ74" s="8">
        <f t="shared" ca="1" si="85"/>
        <v>-127.5</v>
      </c>
      <c r="AR74" s="8">
        <f t="shared" ca="1" si="85"/>
        <v>-127.5</v>
      </c>
      <c r="AS74" s="8">
        <f t="shared" ca="1" si="85"/>
        <v>-127.5</v>
      </c>
      <c r="AT74" s="8">
        <f t="shared" ref="AT74" ca="1" si="86">-AT73*$E$74</f>
        <v>-127.5</v>
      </c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</row>
    <row r="75" spans="1:66" ht="13.5" customHeight="1" x14ac:dyDescent="0.3">
      <c r="A75" s="7"/>
      <c r="B75" s="89" t="s">
        <v>157</v>
      </c>
      <c r="C75" s="15" t="s">
        <v>174</v>
      </c>
      <c r="D75" s="7" t="s">
        <v>40</v>
      </c>
      <c r="E75" s="97">
        <v>0.5</v>
      </c>
      <c r="F75" s="7"/>
      <c r="G75" s="7"/>
      <c r="H75" s="7"/>
      <c r="I75" s="7"/>
      <c r="J75" s="8">
        <f t="shared" ref="J75:AG75" si="87">-J73*$E$75</f>
        <v>0</v>
      </c>
      <c r="K75" s="8">
        <f t="shared" si="87"/>
        <v>0</v>
      </c>
      <c r="L75" s="8">
        <f t="shared" si="87"/>
        <v>0</v>
      </c>
      <c r="M75" s="8">
        <f t="shared" si="87"/>
        <v>0</v>
      </c>
      <c r="N75" s="8">
        <f t="shared" si="87"/>
        <v>0</v>
      </c>
      <c r="O75" s="8">
        <f t="shared" si="87"/>
        <v>0</v>
      </c>
      <c r="P75" s="8">
        <f t="shared" si="87"/>
        <v>0</v>
      </c>
      <c r="Q75" s="8">
        <f t="shared" si="87"/>
        <v>0</v>
      </c>
      <c r="R75" s="8">
        <f t="shared" si="87"/>
        <v>0</v>
      </c>
      <c r="S75" s="8">
        <f t="shared" si="87"/>
        <v>0</v>
      </c>
      <c r="T75" s="8">
        <f t="shared" si="87"/>
        <v>0</v>
      </c>
      <c r="U75" s="8">
        <f t="shared" si="87"/>
        <v>0</v>
      </c>
      <c r="V75" s="8">
        <f t="shared" si="87"/>
        <v>0</v>
      </c>
      <c r="W75" s="8">
        <f t="shared" si="87"/>
        <v>0</v>
      </c>
      <c r="X75" s="8">
        <f t="shared" si="87"/>
        <v>0</v>
      </c>
      <c r="Y75" s="8">
        <f t="shared" si="87"/>
        <v>0</v>
      </c>
      <c r="Z75" s="8">
        <f t="shared" si="87"/>
        <v>0</v>
      </c>
      <c r="AA75" s="8">
        <f t="shared" si="87"/>
        <v>-69.382860037797357</v>
      </c>
      <c r="AB75" s="8">
        <f t="shared" si="87"/>
        <v>0</v>
      </c>
      <c r="AC75" s="8">
        <f t="shared" si="87"/>
        <v>0</v>
      </c>
      <c r="AD75" s="8">
        <f t="shared" si="87"/>
        <v>0</v>
      </c>
      <c r="AE75" s="8">
        <f t="shared" si="87"/>
        <v>0</v>
      </c>
      <c r="AF75" s="8">
        <f t="shared" si="87"/>
        <v>0</v>
      </c>
      <c r="AG75" s="8">
        <f t="shared" si="87"/>
        <v>0</v>
      </c>
      <c r="AH75" s="7"/>
      <c r="AI75" s="8">
        <f t="shared" ref="AI75:AJ75" si="88">SUMIF($J$37:$AG$37,AI$37,$J75:$AG75)</f>
        <v>0</v>
      </c>
      <c r="AJ75" s="8">
        <f t="shared" si="88"/>
        <v>0</v>
      </c>
      <c r="AK75" s="8">
        <f t="shared" ref="AK75:AS75" si="89">-AK73*$E$75</f>
        <v>-69.382860037797357</v>
      </c>
      <c r="AL75" s="8">
        <f t="shared" ca="1" si="89"/>
        <v>-85.497029281575792</v>
      </c>
      <c r="AM75" s="8">
        <f t="shared" ca="1" si="89"/>
        <v>-105.35371433222177</v>
      </c>
      <c r="AN75" s="8">
        <f t="shared" ca="1" si="89"/>
        <v>-127.5</v>
      </c>
      <c r="AO75" s="8">
        <f t="shared" ca="1" si="89"/>
        <v>-127.5</v>
      </c>
      <c r="AP75" s="8">
        <f t="shared" ca="1" si="89"/>
        <v>-127.5</v>
      </c>
      <c r="AQ75" s="8">
        <f t="shared" ca="1" si="89"/>
        <v>-127.5</v>
      </c>
      <c r="AR75" s="8">
        <f t="shared" ca="1" si="89"/>
        <v>-127.5</v>
      </c>
      <c r="AS75" s="8">
        <f t="shared" ca="1" si="89"/>
        <v>-127.5</v>
      </c>
      <c r="AT75" s="8">
        <f t="shared" ref="AT75" ca="1" si="90">-AT73*$E$75</f>
        <v>-127.5</v>
      </c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</row>
    <row r="76" spans="1:66" ht="13.5" customHeight="1" x14ac:dyDescent="0.3">
      <c r="A76" s="7"/>
      <c r="B76" s="14" t="s">
        <v>175</v>
      </c>
      <c r="C76" s="15"/>
      <c r="D76" s="7" t="s">
        <v>40</v>
      </c>
      <c r="E76" s="7"/>
      <c r="F76" s="7"/>
      <c r="G76" s="7"/>
      <c r="H76" s="7"/>
      <c r="I76" s="7"/>
      <c r="J76" s="8">
        <f t="shared" ref="J76:AG76" si="91">SUM(J73:J75)</f>
        <v>0</v>
      </c>
      <c r="K76" s="8">
        <f t="shared" si="91"/>
        <v>0</v>
      </c>
      <c r="L76" s="8">
        <f t="shared" si="91"/>
        <v>0</v>
      </c>
      <c r="M76" s="8">
        <f t="shared" si="91"/>
        <v>0</v>
      </c>
      <c r="N76" s="8">
        <f t="shared" si="91"/>
        <v>0</v>
      </c>
      <c r="O76" s="8">
        <f t="shared" si="91"/>
        <v>0</v>
      </c>
      <c r="P76" s="8">
        <f t="shared" si="91"/>
        <v>0</v>
      </c>
      <c r="Q76" s="8">
        <f t="shared" si="91"/>
        <v>0</v>
      </c>
      <c r="R76" s="8">
        <f t="shared" si="91"/>
        <v>0</v>
      </c>
      <c r="S76" s="8">
        <f t="shared" si="91"/>
        <v>0</v>
      </c>
      <c r="T76" s="8">
        <f t="shared" si="91"/>
        <v>0</v>
      </c>
      <c r="U76" s="8">
        <f t="shared" si="91"/>
        <v>0</v>
      </c>
      <c r="V76" s="8">
        <f t="shared" si="91"/>
        <v>0</v>
      </c>
      <c r="W76" s="8">
        <f t="shared" si="91"/>
        <v>0</v>
      </c>
      <c r="X76" s="8">
        <f t="shared" si="91"/>
        <v>0</v>
      </c>
      <c r="Y76" s="8">
        <f t="shared" si="91"/>
        <v>0</v>
      </c>
      <c r="Z76" s="8">
        <f t="shared" si="91"/>
        <v>0</v>
      </c>
      <c r="AA76" s="8">
        <f t="shared" si="91"/>
        <v>0</v>
      </c>
      <c r="AB76" s="8">
        <f t="shared" si="91"/>
        <v>0</v>
      </c>
      <c r="AC76" s="8">
        <f t="shared" si="91"/>
        <v>0</v>
      </c>
      <c r="AD76" s="8">
        <f t="shared" si="91"/>
        <v>0</v>
      </c>
      <c r="AE76" s="8">
        <f t="shared" si="91"/>
        <v>0</v>
      </c>
      <c r="AF76" s="8">
        <f t="shared" si="91"/>
        <v>0</v>
      </c>
      <c r="AG76" s="8">
        <f t="shared" si="91"/>
        <v>0</v>
      </c>
      <c r="AH76" s="7"/>
      <c r="AI76" s="8">
        <f t="shared" ref="AI76:AS76" si="92">SUM(AI73:AI75)</f>
        <v>0</v>
      </c>
      <c r="AJ76" s="8">
        <f t="shared" si="92"/>
        <v>0</v>
      </c>
      <c r="AK76" s="8">
        <f t="shared" si="92"/>
        <v>0</v>
      </c>
      <c r="AL76" s="8">
        <f t="shared" ca="1" si="92"/>
        <v>0</v>
      </c>
      <c r="AM76" s="8">
        <f t="shared" ca="1" si="92"/>
        <v>0</v>
      </c>
      <c r="AN76" s="8">
        <f t="shared" ca="1" si="92"/>
        <v>0</v>
      </c>
      <c r="AO76" s="8">
        <f t="shared" ca="1" si="92"/>
        <v>0</v>
      </c>
      <c r="AP76" s="8">
        <f t="shared" ca="1" si="92"/>
        <v>0</v>
      </c>
      <c r="AQ76" s="8">
        <f t="shared" ca="1" si="92"/>
        <v>0</v>
      </c>
      <c r="AR76" s="8">
        <f t="shared" ca="1" si="92"/>
        <v>0</v>
      </c>
      <c r="AS76" s="8">
        <f t="shared" ca="1" si="92"/>
        <v>0</v>
      </c>
      <c r="AT76" s="8">
        <f t="shared" ref="AT76" ca="1" si="93">SUM(AT73:AT75)</f>
        <v>0</v>
      </c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</row>
    <row r="77" spans="1:66" ht="13.5" customHeight="1" x14ac:dyDescent="0.3">
      <c r="A77" s="7"/>
      <c r="B77" s="14" t="s">
        <v>176</v>
      </c>
      <c r="C77" s="15"/>
      <c r="D77" s="7" t="s">
        <v>40</v>
      </c>
      <c r="E77" s="7"/>
      <c r="F77" s="7"/>
      <c r="G77" s="7"/>
      <c r="H77" s="7"/>
      <c r="I77" s="7"/>
      <c r="J77" s="8">
        <f t="shared" ref="J77:AG77" si="94">AVERAGE(J76,J69)</f>
        <v>0</v>
      </c>
      <c r="K77" s="8">
        <f t="shared" si="94"/>
        <v>0</v>
      </c>
      <c r="L77" s="8">
        <f t="shared" si="94"/>
        <v>0</v>
      </c>
      <c r="M77" s="8">
        <f t="shared" si="94"/>
        <v>0</v>
      </c>
      <c r="N77" s="8">
        <f t="shared" si="94"/>
        <v>0</v>
      </c>
      <c r="O77" s="8">
        <f t="shared" si="94"/>
        <v>0</v>
      </c>
      <c r="P77" s="8">
        <f t="shared" si="94"/>
        <v>0</v>
      </c>
      <c r="Q77" s="8">
        <f t="shared" si="94"/>
        <v>0</v>
      </c>
      <c r="R77" s="8">
        <f t="shared" si="94"/>
        <v>0</v>
      </c>
      <c r="S77" s="8">
        <f t="shared" si="94"/>
        <v>0</v>
      </c>
      <c r="T77" s="8">
        <f t="shared" si="94"/>
        <v>0</v>
      </c>
      <c r="U77" s="8">
        <f t="shared" si="94"/>
        <v>0</v>
      </c>
      <c r="V77" s="8">
        <f t="shared" si="94"/>
        <v>0</v>
      </c>
      <c r="W77" s="8">
        <f t="shared" si="94"/>
        <v>0</v>
      </c>
      <c r="X77" s="8">
        <f t="shared" si="94"/>
        <v>0</v>
      </c>
      <c r="Y77" s="8">
        <f t="shared" si="94"/>
        <v>0</v>
      </c>
      <c r="Z77" s="8">
        <f t="shared" si="94"/>
        <v>0</v>
      </c>
      <c r="AA77" s="8">
        <f t="shared" si="94"/>
        <v>0</v>
      </c>
      <c r="AB77" s="8">
        <f t="shared" si="94"/>
        <v>0</v>
      </c>
      <c r="AC77" s="8">
        <f t="shared" si="94"/>
        <v>0</v>
      </c>
      <c r="AD77" s="8">
        <f t="shared" si="94"/>
        <v>0</v>
      </c>
      <c r="AE77" s="8">
        <f t="shared" si="94"/>
        <v>0</v>
      </c>
      <c r="AF77" s="8">
        <f t="shared" si="94"/>
        <v>0</v>
      </c>
      <c r="AG77" s="8">
        <f t="shared" si="94"/>
        <v>0</v>
      </c>
      <c r="AH77" s="7"/>
      <c r="AI77" s="8">
        <f t="shared" ref="AI77:AS77" si="95">AVERAGE(AI76,AI69)</f>
        <v>0</v>
      </c>
      <c r="AJ77" s="8">
        <f t="shared" si="95"/>
        <v>0</v>
      </c>
      <c r="AK77" s="8">
        <f t="shared" si="95"/>
        <v>0</v>
      </c>
      <c r="AL77" s="8">
        <f t="shared" ca="1" si="95"/>
        <v>0</v>
      </c>
      <c r="AM77" s="8">
        <f t="shared" ca="1" si="95"/>
        <v>0</v>
      </c>
      <c r="AN77" s="8">
        <f t="shared" ca="1" si="95"/>
        <v>0</v>
      </c>
      <c r="AO77" s="8">
        <f t="shared" ca="1" si="95"/>
        <v>0</v>
      </c>
      <c r="AP77" s="8">
        <f t="shared" ca="1" si="95"/>
        <v>0</v>
      </c>
      <c r="AQ77" s="8">
        <f t="shared" ca="1" si="95"/>
        <v>0</v>
      </c>
      <c r="AR77" s="8">
        <f t="shared" ca="1" si="95"/>
        <v>0</v>
      </c>
      <c r="AS77" s="8">
        <f t="shared" ca="1" si="95"/>
        <v>0</v>
      </c>
      <c r="AT77" s="8">
        <f t="shared" ref="AT77" ca="1" si="96">AVERAGE(AT76,AT69)</f>
        <v>0</v>
      </c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</row>
    <row r="78" spans="1:66" ht="13.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</row>
    <row r="79" spans="1:66" ht="13.5" customHeight="1" x14ac:dyDescent="0.3">
      <c r="A79" s="7"/>
      <c r="B79" s="14" t="s">
        <v>177</v>
      </c>
      <c r="C79" s="15"/>
      <c r="D79" s="7" t="s">
        <v>40</v>
      </c>
      <c r="E79" s="7"/>
      <c r="F79" s="7"/>
      <c r="G79" s="7"/>
      <c r="H79" s="7"/>
      <c r="I79" s="7"/>
      <c r="J79" s="12">
        <v>0</v>
      </c>
      <c r="K79" s="12">
        <f t="shared" ref="K79:AG79" ca="1" si="97">J87</f>
        <v>0</v>
      </c>
      <c r="L79" s="12">
        <f t="shared" ca="1" si="97"/>
        <v>0</v>
      </c>
      <c r="M79" s="12">
        <f t="shared" ca="1" si="97"/>
        <v>0</v>
      </c>
      <c r="N79" s="12">
        <f t="shared" ca="1" si="97"/>
        <v>0</v>
      </c>
      <c r="O79" s="12">
        <f t="shared" ca="1" si="97"/>
        <v>0</v>
      </c>
      <c r="P79" s="12">
        <f t="shared" ca="1" si="97"/>
        <v>0</v>
      </c>
      <c r="Q79" s="12">
        <f t="shared" ca="1" si="97"/>
        <v>0</v>
      </c>
      <c r="R79" s="12">
        <f t="shared" ca="1" si="97"/>
        <v>0</v>
      </c>
      <c r="S79" s="12">
        <f t="shared" ca="1" si="97"/>
        <v>0</v>
      </c>
      <c r="T79" s="12">
        <f t="shared" ca="1" si="97"/>
        <v>0</v>
      </c>
      <c r="U79" s="12">
        <f t="shared" ca="1" si="97"/>
        <v>0</v>
      </c>
      <c r="V79" s="12">
        <f t="shared" ca="1" si="97"/>
        <v>0</v>
      </c>
      <c r="W79" s="12">
        <f t="shared" ca="1" si="97"/>
        <v>0</v>
      </c>
      <c r="X79" s="12">
        <f t="shared" ca="1" si="97"/>
        <v>0</v>
      </c>
      <c r="Y79" s="12">
        <f t="shared" ca="1" si="97"/>
        <v>0</v>
      </c>
      <c r="Z79" s="12">
        <f t="shared" ca="1" si="97"/>
        <v>0</v>
      </c>
      <c r="AA79" s="12">
        <f t="shared" ca="1" si="97"/>
        <v>0</v>
      </c>
      <c r="AB79" s="12">
        <f t="shared" ca="1" si="97"/>
        <v>69.382860037797357</v>
      </c>
      <c r="AC79" s="12">
        <f t="shared" ca="1" si="97"/>
        <v>69.209402887702865</v>
      </c>
      <c r="AD79" s="12">
        <f t="shared" ca="1" si="97"/>
        <v>69.036379380483609</v>
      </c>
      <c r="AE79" s="12">
        <f t="shared" ca="1" si="97"/>
        <v>68.863788432032393</v>
      </c>
      <c r="AF79" s="12">
        <f t="shared" ca="1" si="97"/>
        <v>68.691628960952315</v>
      </c>
      <c r="AG79" s="12">
        <f t="shared" ca="1" si="97"/>
        <v>68.519899888549929</v>
      </c>
      <c r="AH79" s="7"/>
      <c r="AI79" s="12">
        <v>0</v>
      </c>
      <c r="AJ79" s="12">
        <f t="shared" ref="AJ79:AT79" ca="1" si="98">AI87</f>
        <v>0</v>
      </c>
      <c r="AK79" s="12">
        <f t="shared" ca="1" si="98"/>
        <v>0</v>
      </c>
      <c r="AL79" s="12">
        <f t="shared" ca="1" si="98"/>
        <v>0</v>
      </c>
      <c r="AM79" s="12">
        <f t="shared" ca="1" si="98"/>
        <v>0</v>
      </c>
      <c r="AN79" s="12">
        <f t="shared" ca="1" si="98"/>
        <v>0</v>
      </c>
      <c r="AO79" s="12">
        <f t="shared" ca="1" si="98"/>
        <v>0</v>
      </c>
      <c r="AP79" s="12">
        <f t="shared" ca="1" si="98"/>
        <v>0</v>
      </c>
      <c r="AQ79" s="12">
        <f t="shared" ca="1" si="98"/>
        <v>0</v>
      </c>
      <c r="AR79" s="12">
        <f t="shared" ca="1" si="98"/>
        <v>0</v>
      </c>
      <c r="AS79" s="12">
        <f t="shared" ca="1" si="98"/>
        <v>0</v>
      </c>
      <c r="AT79" s="12">
        <f t="shared" ca="1" si="98"/>
        <v>0</v>
      </c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</row>
    <row r="80" spans="1:66" ht="13.5" customHeight="1" x14ac:dyDescent="0.3">
      <c r="A80" s="7"/>
      <c r="B80" s="89" t="s">
        <v>154</v>
      </c>
      <c r="C80" s="15" t="s">
        <v>178</v>
      </c>
      <c r="D80" s="7" t="s">
        <v>40</v>
      </c>
      <c r="E80" s="7">
        <v>1</v>
      </c>
      <c r="F80" s="7"/>
      <c r="G80" s="7"/>
      <c r="H80" s="7"/>
      <c r="I80" s="7"/>
      <c r="J80" s="8">
        <f t="shared" ref="J80:AG80" si="99">-J74</f>
        <v>0</v>
      </c>
      <c r="K80" s="8">
        <f t="shared" si="99"/>
        <v>0</v>
      </c>
      <c r="L80" s="8">
        <f t="shared" si="99"/>
        <v>0</v>
      </c>
      <c r="M80" s="8">
        <f t="shared" si="99"/>
        <v>0</v>
      </c>
      <c r="N80" s="8">
        <f t="shared" si="99"/>
        <v>0</v>
      </c>
      <c r="O80" s="8">
        <f t="shared" si="99"/>
        <v>0</v>
      </c>
      <c r="P80" s="8">
        <f t="shared" si="99"/>
        <v>0</v>
      </c>
      <c r="Q80" s="8">
        <f t="shared" si="99"/>
        <v>0</v>
      </c>
      <c r="R80" s="8">
        <f t="shared" si="99"/>
        <v>0</v>
      </c>
      <c r="S80" s="8">
        <f t="shared" si="99"/>
        <v>0</v>
      </c>
      <c r="T80" s="8">
        <f t="shared" si="99"/>
        <v>0</v>
      </c>
      <c r="U80" s="8">
        <f t="shared" si="99"/>
        <v>0</v>
      </c>
      <c r="V80" s="8">
        <f t="shared" si="99"/>
        <v>0</v>
      </c>
      <c r="W80" s="8">
        <f t="shared" si="99"/>
        <v>0</v>
      </c>
      <c r="X80" s="8">
        <f t="shared" si="99"/>
        <v>0</v>
      </c>
      <c r="Y80" s="8">
        <f t="shared" si="99"/>
        <v>0</v>
      </c>
      <c r="Z80" s="8">
        <f t="shared" si="99"/>
        <v>0</v>
      </c>
      <c r="AA80" s="8">
        <f t="shared" si="99"/>
        <v>69.382860037797357</v>
      </c>
      <c r="AB80" s="8">
        <f t="shared" si="99"/>
        <v>0</v>
      </c>
      <c r="AC80" s="8">
        <f t="shared" si="99"/>
        <v>0</v>
      </c>
      <c r="AD80" s="8">
        <f t="shared" si="99"/>
        <v>0</v>
      </c>
      <c r="AE80" s="8">
        <f t="shared" si="99"/>
        <v>0</v>
      </c>
      <c r="AF80" s="8">
        <f t="shared" si="99"/>
        <v>0</v>
      </c>
      <c r="AG80" s="8">
        <f t="shared" si="99"/>
        <v>0</v>
      </c>
      <c r="AH80" s="7"/>
      <c r="AI80" s="8">
        <f t="shared" ref="AI80:AJ80" si="100">SUMIF($J$37:$AG$37,AI$37,$J80:$AG80)</f>
        <v>0</v>
      </c>
      <c r="AJ80" s="8">
        <f t="shared" si="100"/>
        <v>0</v>
      </c>
      <c r="AK80" s="8">
        <f t="shared" ref="AK80:AS80" si="101">-AK74</f>
        <v>69.382860037797357</v>
      </c>
      <c r="AL80" s="8">
        <f t="shared" ca="1" si="101"/>
        <v>85.497029281575792</v>
      </c>
      <c r="AM80" s="8">
        <f t="shared" ca="1" si="101"/>
        <v>105.35371433222177</v>
      </c>
      <c r="AN80" s="8">
        <f t="shared" ca="1" si="101"/>
        <v>127.5</v>
      </c>
      <c r="AO80" s="8">
        <f t="shared" ca="1" si="101"/>
        <v>127.5</v>
      </c>
      <c r="AP80" s="8">
        <f t="shared" ca="1" si="101"/>
        <v>127.5</v>
      </c>
      <c r="AQ80" s="8">
        <f t="shared" ca="1" si="101"/>
        <v>127.5</v>
      </c>
      <c r="AR80" s="8">
        <f t="shared" ca="1" si="101"/>
        <v>127.5</v>
      </c>
      <c r="AS80" s="8">
        <f t="shared" ca="1" si="101"/>
        <v>127.5</v>
      </c>
      <c r="AT80" s="8">
        <f t="shared" ref="AT80" ca="1" si="102">-AT74</f>
        <v>127.5</v>
      </c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</row>
    <row r="81" spans="1:66" ht="13.5" customHeight="1" x14ac:dyDescent="0.3">
      <c r="A81" s="7"/>
      <c r="B81" s="89" t="s">
        <v>154</v>
      </c>
      <c r="C81" s="15" t="s">
        <v>179</v>
      </c>
      <c r="D81" s="7" t="s">
        <v>40</v>
      </c>
      <c r="E81" s="7"/>
      <c r="F81" s="7"/>
      <c r="G81" s="7"/>
      <c r="H81" s="7"/>
      <c r="I81" s="7"/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7"/>
      <c r="AI81" s="8">
        <f t="shared" ref="AI81:AJ81" si="103">SUMIF($J$37:$AG$37,AI$37,$J81:$AG81)</f>
        <v>0</v>
      </c>
      <c r="AJ81" s="8">
        <f t="shared" si="103"/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</row>
    <row r="82" spans="1:66" ht="13.5" customHeight="1" x14ac:dyDescent="0.3">
      <c r="A82" s="7"/>
      <c r="B82" s="89" t="s">
        <v>157</v>
      </c>
      <c r="C82" s="15" t="s">
        <v>48</v>
      </c>
      <c r="D82" s="7" t="s">
        <v>40</v>
      </c>
      <c r="E82" s="90">
        <v>0.03</v>
      </c>
      <c r="F82" s="7"/>
      <c r="G82" s="90">
        <f>E82/12</f>
        <v>2.5000000000000001E-3</v>
      </c>
      <c r="H82" s="7"/>
      <c r="I82" s="7"/>
      <c r="J82" s="8">
        <f t="shared" ref="J82:Y82" si="104">-$E$82*SUM(J80:J81)</f>
        <v>0</v>
      </c>
      <c r="K82" s="8">
        <f t="shared" si="104"/>
        <v>0</v>
      </c>
      <c r="L82" s="8">
        <f t="shared" si="104"/>
        <v>0</v>
      </c>
      <c r="M82" s="8">
        <f t="shared" si="104"/>
        <v>0</v>
      </c>
      <c r="N82" s="8">
        <f t="shared" si="104"/>
        <v>0</v>
      </c>
      <c r="O82" s="8">
        <f t="shared" si="104"/>
        <v>0</v>
      </c>
      <c r="P82" s="8">
        <f t="shared" si="104"/>
        <v>0</v>
      </c>
      <c r="Q82" s="8">
        <f t="shared" si="104"/>
        <v>0</v>
      </c>
      <c r="R82" s="8">
        <f t="shared" si="104"/>
        <v>0</v>
      </c>
      <c r="S82" s="8">
        <f t="shared" si="104"/>
        <v>0</v>
      </c>
      <c r="T82" s="8">
        <f t="shared" si="104"/>
        <v>0</v>
      </c>
      <c r="U82" s="8">
        <f t="shared" si="104"/>
        <v>0</v>
      </c>
      <c r="V82" s="8">
        <f t="shared" si="104"/>
        <v>0</v>
      </c>
      <c r="W82" s="8">
        <f t="shared" si="104"/>
        <v>0</v>
      </c>
      <c r="X82" s="8">
        <f t="shared" si="104"/>
        <v>0</v>
      </c>
      <c r="Y82" s="8">
        <f t="shared" si="104"/>
        <v>0</v>
      </c>
      <c r="Z82" s="8">
        <f>-$G$82*SUM(Z80:Z81)</f>
        <v>0</v>
      </c>
      <c r="AA82" s="8">
        <f t="shared" ref="AA82:AG82" ca="1" si="105">IF(AA$35&gt;17,-$G82*AA$79,0)</f>
        <v>0</v>
      </c>
      <c r="AB82" s="8">
        <f t="shared" ca="1" si="105"/>
        <v>-0.17345715009449339</v>
      </c>
      <c r="AC82" s="8">
        <f t="shared" ca="1" si="105"/>
        <v>-0.17302350721925716</v>
      </c>
      <c r="AD82" s="8">
        <f t="shared" ca="1" si="105"/>
        <v>-0.17259094845120904</v>
      </c>
      <c r="AE82" s="8">
        <f t="shared" ca="1" si="105"/>
        <v>-0.17215947108008098</v>
      </c>
      <c r="AF82" s="8">
        <f t="shared" ca="1" si="105"/>
        <v>-0.17172907240238078</v>
      </c>
      <c r="AG82" s="8">
        <f t="shared" ca="1" si="105"/>
        <v>-0.17129974972137482</v>
      </c>
      <c r="AH82" s="7"/>
      <c r="AI82" s="8">
        <f t="shared" ref="AI82:AJ82" si="106">SUMIF($J$37:$AG$37,AI$37,$J82:$AG82)</f>
        <v>0</v>
      </c>
      <c r="AJ82" s="8">
        <f t="shared" si="106"/>
        <v>0</v>
      </c>
      <c r="AK82" s="8">
        <f t="shared" ref="AK82:AS82" si="107">-$E$82*SUM(AK80:AK81)</f>
        <v>-2.0814858011339208</v>
      </c>
      <c r="AL82" s="8">
        <f t="shared" ca="1" si="107"/>
        <v>-2.5649108784472738</v>
      </c>
      <c r="AM82" s="8">
        <f t="shared" ca="1" si="107"/>
        <v>-3.1606114299666528</v>
      </c>
      <c r="AN82" s="8">
        <f t="shared" ca="1" si="107"/>
        <v>-3.8249999999999997</v>
      </c>
      <c r="AO82" s="8">
        <f t="shared" ca="1" si="107"/>
        <v>-3.8249999999999997</v>
      </c>
      <c r="AP82" s="8">
        <f t="shared" ca="1" si="107"/>
        <v>-3.8249999999999997</v>
      </c>
      <c r="AQ82" s="8">
        <f t="shared" ca="1" si="107"/>
        <v>-3.8249999999999997</v>
      </c>
      <c r="AR82" s="8">
        <f t="shared" ca="1" si="107"/>
        <v>-3.8249999999999997</v>
      </c>
      <c r="AS82" s="8">
        <f t="shared" ca="1" si="107"/>
        <v>-3.8249999999999997</v>
      </c>
      <c r="AT82" s="8">
        <f t="shared" ref="AT82" ca="1" si="108">-$E$82*SUM(AT80:AT81)</f>
        <v>-3.8249999999999997</v>
      </c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</row>
    <row r="83" spans="1:66" ht="13.5" customHeight="1" x14ac:dyDescent="0.3">
      <c r="A83" s="7"/>
      <c r="B83" s="89" t="s">
        <v>157</v>
      </c>
      <c r="C83" s="15" t="s">
        <v>167</v>
      </c>
      <c r="D83" s="7"/>
      <c r="E83" s="49"/>
      <c r="F83" s="7"/>
      <c r="G83" s="7"/>
      <c r="H83" s="7"/>
      <c r="I83" s="7"/>
      <c r="J83" s="8">
        <f>-(J55-MIN(J55,J41))</f>
        <v>0</v>
      </c>
      <c r="K83" s="8">
        <f t="shared" ref="K83:AG83" si="109">-(J55-MIN(J55,J41))</f>
        <v>0</v>
      </c>
      <c r="L83" s="8">
        <f t="shared" si="109"/>
        <v>0</v>
      </c>
      <c r="M83" s="8">
        <f t="shared" si="109"/>
        <v>0</v>
      </c>
      <c r="N83" s="8">
        <f t="shared" si="109"/>
        <v>0</v>
      </c>
      <c r="O83" s="8">
        <f t="shared" si="109"/>
        <v>0</v>
      </c>
      <c r="P83" s="8">
        <f t="shared" si="109"/>
        <v>0</v>
      </c>
      <c r="Q83" s="8">
        <f t="shared" si="109"/>
        <v>0</v>
      </c>
      <c r="R83" s="8">
        <f t="shared" si="109"/>
        <v>0</v>
      </c>
      <c r="S83" s="8">
        <f t="shared" si="109"/>
        <v>0</v>
      </c>
      <c r="T83" s="8">
        <f t="shared" si="109"/>
        <v>0</v>
      </c>
      <c r="U83" s="8">
        <f t="shared" si="109"/>
        <v>0</v>
      </c>
      <c r="V83" s="8">
        <f t="shared" si="109"/>
        <v>0</v>
      </c>
      <c r="W83" s="8">
        <f t="shared" si="109"/>
        <v>0</v>
      </c>
      <c r="X83" s="8">
        <f t="shared" si="109"/>
        <v>0</v>
      </c>
      <c r="Y83" s="8">
        <f t="shared" si="109"/>
        <v>0</v>
      </c>
      <c r="Z83" s="8">
        <f t="shared" si="109"/>
        <v>0</v>
      </c>
      <c r="AA83" s="8">
        <f t="shared" si="109"/>
        <v>0</v>
      </c>
      <c r="AB83" s="8">
        <f t="shared" si="109"/>
        <v>0</v>
      </c>
      <c r="AC83" s="8">
        <f t="shared" si="109"/>
        <v>0</v>
      </c>
      <c r="AD83" s="8">
        <f t="shared" si="109"/>
        <v>0</v>
      </c>
      <c r="AE83" s="8">
        <f t="shared" si="109"/>
        <v>0</v>
      </c>
      <c r="AF83" s="8">
        <f t="shared" si="109"/>
        <v>0</v>
      </c>
      <c r="AG83" s="8">
        <f t="shared" si="109"/>
        <v>0</v>
      </c>
      <c r="AH83" s="7"/>
      <c r="AI83" s="8">
        <f t="shared" ref="AI83:AJ83" si="110">SUMIF($J$37:$AG$37,AI$37,$J83:$AG83)</f>
        <v>0</v>
      </c>
      <c r="AJ83" s="8">
        <f t="shared" si="110"/>
        <v>0</v>
      </c>
      <c r="AK83" s="8">
        <f>-(AI55-MIN(AI55,AI41))</f>
        <v>0</v>
      </c>
      <c r="AL83" s="8">
        <f>-(AI55-MIN(AI55,AI41))</f>
        <v>0</v>
      </c>
      <c r="AM83" s="8">
        <f>-(AI55-MIN(AI55,AI41))</f>
        <v>0</v>
      </c>
      <c r="AN83" s="8"/>
      <c r="AO83" s="8"/>
      <c r="AP83" s="8"/>
      <c r="AQ83" s="8"/>
      <c r="AR83" s="8"/>
      <c r="AS83" s="8"/>
      <c r="AT83" s="8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</row>
    <row r="84" spans="1:66" ht="13.5" customHeight="1" x14ac:dyDescent="0.3">
      <c r="A84" s="7"/>
      <c r="B84" s="14" t="s">
        <v>180</v>
      </c>
      <c r="C84" s="15"/>
      <c r="D84" s="7" t="s">
        <v>40</v>
      </c>
      <c r="E84" s="7"/>
      <c r="F84" s="7"/>
      <c r="G84" s="7"/>
      <c r="H84" s="7"/>
      <c r="I84" s="7"/>
      <c r="J84" s="12">
        <f t="shared" ref="J84:AG84" si="111">SUM(J79:J82)</f>
        <v>0</v>
      </c>
      <c r="K84" s="12">
        <f t="shared" ca="1" si="111"/>
        <v>0</v>
      </c>
      <c r="L84" s="12">
        <f t="shared" ca="1" si="111"/>
        <v>0</v>
      </c>
      <c r="M84" s="12">
        <f t="shared" ca="1" si="111"/>
        <v>0</v>
      </c>
      <c r="N84" s="12">
        <f t="shared" ca="1" si="111"/>
        <v>0</v>
      </c>
      <c r="O84" s="12">
        <f t="shared" ca="1" si="111"/>
        <v>0</v>
      </c>
      <c r="P84" s="12">
        <f t="shared" ca="1" si="111"/>
        <v>0</v>
      </c>
      <c r="Q84" s="12">
        <f t="shared" ca="1" si="111"/>
        <v>0</v>
      </c>
      <c r="R84" s="12">
        <f t="shared" ca="1" si="111"/>
        <v>0</v>
      </c>
      <c r="S84" s="12">
        <f t="shared" ca="1" si="111"/>
        <v>0</v>
      </c>
      <c r="T84" s="12">
        <f t="shared" ca="1" si="111"/>
        <v>0</v>
      </c>
      <c r="U84" s="12">
        <f t="shared" ca="1" si="111"/>
        <v>0</v>
      </c>
      <c r="V84" s="12">
        <f t="shared" ca="1" si="111"/>
        <v>0</v>
      </c>
      <c r="W84" s="12">
        <f t="shared" ca="1" si="111"/>
        <v>0</v>
      </c>
      <c r="X84" s="12">
        <f t="shared" ca="1" si="111"/>
        <v>0</v>
      </c>
      <c r="Y84" s="12">
        <f t="shared" ca="1" si="111"/>
        <v>0</v>
      </c>
      <c r="Z84" s="12">
        <f t="shared" ca="1" si="111"/>
        <v>0</v>
      </c>
      <c r="AA84" s="12">
        <f t="shared" ca="1" si="111"/>
        <v>69.382860037797357</v>
      </c>
      <c r="AB84" s="12">
        <f t="shared" ca="1" si="111"/>
        <v>69.209402887702865</v>
      </c>
      <c r="AC84" s="12">
        <f t="shared" ca="1" si="111"/>
        <v>69.036379380483609</v>
      </c>
      <c r="AD84" s="12">
        <f t="shared" ca="1" si="111"/>
        <v>68.863788432032393</v>
      </c>
      <c r="AE84" s="12">
        <f t="shared" ca="1" si="111"/>
        <v>68.691628960952315</v>
      </c>
      <c r="AF84" s="12">
        <f t="shared" ca="1" si="111"/>
        <v>68.519899888549929</v>
      </c>
      <c r="AG84" s="12">
        <f t="shared" ca="1" si="111"/>
        <v>68.348600138828559</v>
      </c>
      <c r="AH84" s="7"/>
      <c r="AI84" s="12">
        <f t="shared" ref="AI84:AS84" si="112">SUM(AI79:AI82)</f>
        <v>0</v>
      </c>
      <c r="AJ84" s="12">
        <f t="shared" ca="1" si="112"/>
        <v>0</v>
      </c>
      <c r="AK84" s="12">
        <f t="shared" ca="1" si="112"/>
        <v>67.301374236663435</v>
      </c>
      <c r="AL84" s="12">
        <f t="shared" ca="1" si="112"/>
        <v>82.932118403128513</v>
      </c>
      <c r="AM84" s="12">
        <f t="shared" ca="1" si="112"/>
        <v>102.19310290225512</v>
      </c>
      <c r="AN84" s="12">
        <f t="shared" ca="1" si="112"/>
        <v>123.675</v>
      </c>
      <c r="AO84" s="12">
        <f t="shared" ca="1" si="112"/>
        <v>123.675</v>
      </c>
      <c r="AP84" s="12">
        <f t="shared" ca="1" si="112"/>
        <v>123.675</v>
      </c>
      <c r="AQ84" s="12">
        <f t="shared" ca="1" si="112"/>
        <v>123.675</v>
      </c>
      <c r="AR84" s="12">
        <f t="shared" ca="1" si="112"/>
        <v>123.675</v>
      </c>
      <c r="AS84" s="12">
        <f t="shared" ca="1" si="112"/>
        <v>123.675</v>
      </c>
      <c r="AT84" s="12">
        <f t="shared" ref="AT84" ca="1" si="113">SUM(AT79:AT82)</f>
        <v>123.675</v>
      </c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</row>
    <row r="85" spans="1:66" ht="13.5" customHeight="1" x14ac:dyDescent="0.3">
      <c r="A85" s="7"/>
      <c r="B85" s="89" t="s">
        <v>157</v>
      </c>
      <c r="C85" s="15" t="s">
        <v>181</v>
      </c>
      <c r="D85" s="7" t="s">
        <v>40</v>
      </c>
      <c r="E85" s="15">
        <v>1</v>
      </c>
      <c r="F85" s="98">
        <v>0</v>
      </c>
      <c r="G85" s="7"/>
      <c r="H85" s="7"/>
      <c r="I85" s="7"/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7"/>
      <c r="AI85" s="8">
        <v>0</v>
      </c>
      <c r="AJ85" s="8">
        <v>0</v>
      </c>
      <c r="AK85" s="8">
        <f t="shared" ref="AK85:AS85" ca="1" si="114">-MIN(OFFSET(AK84,,-$F85,,),AK84)*$E85</f>
        <v>-67.301374236663435</v>
      </c>
      <c r="AL85" s="8">
        <f t="shared" ca="1" si="114"/>
        <v>-82.932118403128513</v>
      </c>
      <c r="AM85" s="8">
        <f t="shared" ca="1" si="114"/>
        <v>-102.19310290225512</v>
      </c>
      <c r="AN85" s="8">
        <f t="shared" ca="1" si="114"/>
        <v>-123.675</v>
      </c>
      <c r="AO85" s="8">
        <f t="shared" ca="1" si="114"/>
        <v>-123.675</v>
      </c>
      <c r="AP85" s="8">
        <f t="shared" ca="1" si="114"/>
        <v>-123.675</v>
      </c>
      <c r="AQ85" s="8">
        <f t="shared" ca="1" si="114"/>
        <v>-123.675</v>
      </c>
      <c r="AR85" s="8">
        <f t="shared" ca="1" si="114"/>
        <v>-123.675</v>
      </c>
      <c r="AS85" s="8">
        <f t="shared" ca="1" si="114"/>
        <v>-123.675</v>
      </c>
      <c r="AT85" s="8">
        <f t="shared" ref="AT85" ca="1" si="115">-MIN(OFFSET(AT84,,-$F85,,),AT84)*$E85</f>
        <v>-123.675</v>
      </c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</row>
    <row r="86" spans="1:66" ht="13.5" customHeight="1" x14ac:dyDescent="0.3">
      <c r="A86" s="7"/>
      <c r="B86" s="89" t="s">
        <v>157</v>
      </c>
      <c r="C86" s="15" t="s">
        <v>167</v>
      </c>
      <c r="D86" s="7" t="s">
        <v>40</v>
      </c>
      <c r="E86" s="7"/>
      <c r="F86" s="7"/>
      <c r="G86" s="7"/>
      <c r="H86" s="7"/>
      <c r="I86" s="7"/>
      <c r="J86" s="8">
        <f ca="1">MAX(0,(J50+(-OFFSET(J84,,-$F85,,)*$E85)+J53+J54))</f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7"/>
      <c r="AI86" s="8">
        <f ca="1">MAX(0,(AI50+(-OFFSET(AI84,,-$F85,,)*$E85)+AI53+AI54))</f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</row>
    <row r="87" spans="1:66" ht="13.5" customHeight="1" x14ac:dyDescent="0.3">
      <c r="A87" s="7"/>
      <c r="B87" s="14" t="s">
        <v>43</v>
      </c>
      <c r="C87" s="15"/>
      <c r="D87" s="7" t="s">
        <v>40</v>
      </c>
      <c r="E87" s="7"/>
      <c r="F87" s="7"/>
      <c r="G87" s="7"/>
      <c r="H87" s="7"/>
      <c r="I87" s="7"/>
      <c r="J87" s="12">
        <f t="shared" ref="J87:AG87" ca="1" si="116">SUM(J84:J86)</f>
        <v>0</v>
      </c>
      <c r="K87" s="12">
        <f t="shared" ca="1" si="116"/>
        <v>0</v>
      </c>
      <c r="L87" s="12">
        <f t="shared" ca="1" si="116"/>
        <v>0</v>
      </c>
      <c r="M87" s="12">
        <f t="shared" ca="1" si="116"/>
        <v>0</v>
      </c>
      <c r="N87" s="12">
        <f t="shared" ca="1" si="116"/>
        <v>0</v>
      </c>
      <c r="O87" s="12">
        <f t="shared" ca="1" si="116"/>
        <v>0</v>
      </c>
      <c r="P87" s="12">
        <f t="shared" ca="1" si="116"/>
        <v>0</v>
      </c>
      <c r="Q87" s="12">
        <f t="shared" ca="1" si="116"/>
        <v>0</v>
      </c>
      <c r="R87" s="12">
        <f t="shared" ca="1" si="116"/>
        <v>0</v>
      </c>
      <c r="S87" s="12">
        <f t="shared" ca="1" si="116"/>
        <v>0</v>
      </c>
      <c r="T87" s="12">
        <f t="shared" ca="1" si="116"/>
        <v>0</v>
      </c>
      <c r="U87" s="12">
        <f t="shared" ca="1" si="116"/>
        <v>0</v>
      </c>
      <c r="V87" s="12">
        <f t="shared" ca="1" si="116"/>
        <v>0</v>
      </c>
      <c r="W87" s="12">
        <f t="shared" ca="1" si="116"/>
        <v>0</v>
      </c>
      <c r="X87" s="12">
        <f t="shared" ca="1" si="116"/>
        <v>0</v>
      </c>
      <c r="Y87" s="12">
        <f t="shared" ca="1" si="116"/>
        <v>0</v>
      </c>
      <c r="Z87" s="12">
        <f t="shared" ca="1" si="116"/>
        <v>0</v>
      </c>
      <c r="AA87" s="12">
        <f t="shared" ca="1" si="116"/>
        <v>69.382860037797357</v>
      </c>
      <c r="AB87" s="12">
        <f t="shared" ca="1" si="116"/>
        <v>69.209402887702865</v>
      </c>
      <c r="AC87" s="12">
        <f t="shared" ca="1" si="116"/>
        <v>69.036379380483609</v>
      </c>
      <c r="AD87" s="12">
        <f t="shared" ca="1" si="116"/>
        <v>68.863788432032393</v>
      </c>
      <c r="AE87" s="12">
        <f t="shared" ca="1" si="116"/>
        <v>68.691628960952315</v>
      </c>
      <c r="AF87" s="12">
        <f t="shared" ca="1" si="116"/>
        <v>68.519899888549929</v>
      </c>
      <c r="AG87" s="12">
        <f t="shared" ca="1" si="116"/>
        <v>68.348600138828559</v>
      </c>
      <c r="AH87" s="7"/>
      <c r="AI87" s="12">
        <f t="shared" ref="AI87:AS87" ca="1" si="117">SUM(AI84:AI86)</f>
        <v>0</v>
      </c>
      <c r="AJ87" s="12">
        <f t="shared" ca="1" si="117"/>
        <v>0</v>
      </c>
      <c r="AK87" s="12">
        <f t="shared" ca="1" si="117"/>
        <v>0</v>
      </c>
      <c r="AL87" s="12">
        <f t="shared" ca="1" si="117"/>
        <v>0</v>
      </c>
      <c r="AM87" s="12">
        <f t="shared" ca="1" si="117"/>
        <v>0</v>
      </c>
      <c r="AN87" s="12">
        <f t="shared" ca="1" si="117"/>
        <v>0</v>
      </c>
      <c r="AO87" s="12">
        <f t="shared" ca="1" si="117"/>
        <v>0</v>
      </c>
      <c r="AP87" s="12">
        <f t="shared" ca="1" si="117"/>
        <v>0</v>
      </c>
      <c r="AQ87" s="12">
        <f t="shared" ca="1" si="117"/>
        <v>0</v>
      </c>
      <c r="AR87" s="12">
        <f t="shared" ca="1" si="117"/>
        <v>0</v>
      </c>
      <c r="AS87" s="12">
        <f t="shared" ca="1" si="117"/>
        <v>0</v>
      </c>
      <c r="AT87" s="12">
        <f t="shared" ref="AT87" ca="1" si="118">SUM(AT84:AT86)</f>
        <v>0</v>
      </c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</row>
    <row r="88" spans="1:66" ht="13.5" customHeight="1" x14ac:dyDescent="0.3">
      <c r="A88" s="7"/>
      <c r="B88" s="14" t="s">
        <v>182</v>
      </c>
      <c r="C88" s="15"/>
      <c r="D88" s="7" t="s">
        <v>40</v>
      </c>
      <c r="E88" s="7"/>
      <c r="F88" s="7"/>
      <c r="G88" s="7"/>
      <c r="H88" s="7"/>
      <c r="I88" s="7"/>
      <c r="J88" s="12">
        <f t="shared" ref="J88:AG88" ca="1" si="119">AVERAGE(J79+J80,J87)</f>
        <v>0</v>
      </c>
      <c r="K88" s="12">
        <f t="shared" ca="1" si="119"/>
        <v>0</v>
      </c>
      <c r="L88" s="12">
        <f t="shared" ca="1" si="119"/>
        <v>0</v>
      </c>
      <c r="M88" s="12">
        <f t="shared" ca="1" si="119"/>
        <v>0</v>
      </c>
      <c r="N88" s="12">
        <f t="shared" ca="1" si="119"/>
        <v>0</v>
      </c>
      <c r="O88" s="12">
        <f t="shared" ca="1" si="119"/>
        <v>0</v>
      </c>
      <c r="P88" s="12">
        <f t="shared" ca="1" si="119"/>
        <v>0</v>
      </c>
      <c r="Q88" s="12">
        <f t="shared" ca="1" si="119"/>
        <v>0</v>
      </c>
      <c r="R88" s="12">
        <f t="shared" ca="1" si="119"/>
        <v>0</v>
      </c>
      <c r="S88" s="12">
        <f t="shared" ca="1" si="119"/>
        <v>0</v>
      </c>
      <c r="T88" s="12">
        <f t="shared" ca="1" si="119"/>
        <v>0</v>
      </c>
      <c r="U88" s="12">
        <f t="shared" ca="1" si="119"/>
        <v>0</v>
      </c>
      <c r="V88" s="12">
        <f t="shared" ca="1" si="119"/>
        <v>0</v>
      </c>
      <c r="W88" s="12">
        <f t="shared" ca="1" si="119"/>
        <v>0</v>
      </c>
      <c r="X88" s="12">
        <f t="shared" ca="1" si="119"/>
        <v>0</v>
      </c>
      <c r="Y88" s="12">
        <f t="shared" ca="1" si="119"/>
        <v>0</v>
      </c>
      <c r="Z88" s="12">
        <f t="shared" ca="1" si="119"/>
        <v>0</v>
      </c>
      <c r="AA88" s="12">
        <f t="shared" ca="1" si="119"/>
        <v>69.382860037797357</v>
      </c>
      <c r="AB88" s="12">
        <f t="shared" ca="1" si="119"/>
        <v>69.296131462750111</v>
      </c>
      <c r="AC88" s="12">
        <f t="shared" ca="1" si="119"/>
        <v>69.122891134093237</v>
      </c>
      <c r="AD88" s="12">
        <f t="shared" ca="1" si="119"/>
        <v>68.950083906258001</v>
      </c>
      <c r="AE88" s="12">
        <f t="shared" ca="1" si="119"/>
        <v>68.777708696492354</v>
      </c>
      <c r="AF88" s="12">
        <f t="shared" ca="1" si="119"/>
        <v>68.605764424751129</v>
      </c>
      <c r="AG88" s="12">
        <f t="shared" ca="1" si="119"/>
        <v>68.434250013689251</v>
      </c>
      <c r="AH88" s="7"/>
      <c r="AI88" s="12">
        <f t="shared" ref="AI88:AS88" ca="1" si="120">AVERAGE(AI79+AI80,AI87)</f>
        <v>0</v>
      </c>
      <c r="AJ88" s="12">
        <f t="shared" ca="1" si="120"/>
        <v>0</v>
      </c>
      <c r="AK88" s="12">
        <f t="shared" ca="1" si="120"/>
        <v>34.691430018898679</v>
      </c>
      <c r="AL88" s="12">
        <f t="shared" ca="1" si="120"/>
        <v>42.748514640787896</v>
      </c>
      <c r="AM88" s="12">
        <f t="shared" ca="1" si="120"/>
        <v>52.676857166110885</v>
      </c>
      <c r="AN88" s="12">
        <f t="shared" ca="1" si="120"/>
        <v>63.75</v>
      </c>
      <c r="AO88" s="12">
        <f t="shared" ca="1" si="120"/>
        <v>63.75</v>
      </c>
      <c r="AP88" s="12">
        <f t="shared" ca="1" si="120"/>
        <v>63.75</v>
      </c>
      <c r="AQ88" s="12">
        <f t="shared" ca="1" si="120"/>
        <v>63.75</v>
      </c>
      <c r="AR88" s="12">
        <f t="shared" ca="1" si="120"/>
        <v>63.75</v>
      </c>
      <c r="AS88" s="12">
        <f t="shared" ca="1" si="120"/>
        <v>63.75</v>
      </c>
      <c r="AT88" s="12">
        <f t="shared" ref="AT88" ca="1" si="121">AVERAGE(AT79+AT80,AT87)</f>
        <v>63.75</v>
      </c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</row>
    <row r="89" spans="1:66" ht="13.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</row>
    <row r="90" spans="1:66" ht="13.5" customHeight="1" x14ac:dyDescent="0.3">
      <c r="A90" s="7"/>
      <c r="B90" s="14" t="s">
        <v>183</v>
      </c>
      <c r="C90" s="15"/>
      <c r="D90" s="7" t="s">
        <v>40</v>
      </c>
      <c r="E90" s="7"/>
      <c r="F90" s="7"/>
      <c r="G90" s="7"/>
      <c r="H90" s="7"/>
      <c r="I90" s="7"/>
      <c r="J90" s="12">
        <v>0</v>
      </c>
      <c r="K90" s="12">
        <f t="shared" ref="K90:AG90" si="122">J96</f>
        <v>0</v>
      </c>
      <c r="L90" s="12">
        <f t="shared" si="122"/>
        <v>0</v>
      </c>
      <c r="M90" s="12">
        <f t="shared" si="122"/>
        <v>0</v>
      </c>
      <c r="N90" s="12">
        <f t="shared" si="122"/>
        <v>0</v>
      </c>
      <c r="O90" s="12">
        <f t="shared" si="122"/>
        <v>0</v>
      </c>
      <c r="P90" s="12">
        <f t="shared" si="122"/>
        <v>0</v>
      </c>
      <c r="Q90" s="12">
        <f t="shared" si="122"/>
        <v>0</v>
      </c>
      <c r="R90" s="12">
        <f t="shared" si="122"/>
        <v>0</v>
      </c>
      <c r="S90" s="12">
        <f t="shared" si="122"/>
        <v>0</v>
      </c>
      <c r="T90" s="12">
        <f t="shared" si="122"/>
        <v>0</v>
      </c>
      <c r="U90" s="12">
        <f t="shared" si="122"/>
        <v>0</v>
      </c>
      <c r="V90" s="12">
        <f t="shared" si="122"/>
        <v>0</v>
      </c>
      <c r="W90" s="12">
        <f t="shared" si="122"/>
        <v>0</v>
      </c>
      <c r="X90" s="12">
        <f t="shared" si="122"/>
        <v>0</v>
      </c>
      <c r="Y90" s="12">
        <f t="shared" si="122"/>
        <v>0</v>
      </c>
      <c r="Z90" s="12">
        <f t="shared" si="122"/>
        <v>0</v>
      </c>
      <c r="AA90" s="12">
        <f t="shared" si="122"/>
        <v>0</v>
      </c>
      <c r="AB90" s="12">
        <f t="shared" si="122"/>
        <v>69.382860037797357</v>
      </c>
      <c r="AC90" s="12">
        <f t="shared" si="122"/>
        <v>69.209402887702865</v>
      </c>
      <c r="AD90" s="12">
        <f t="shared" si="122"/>
        <v>69.036379380483609</v>
      </c>
      <c r="AE90" s="12">
        <f t="shared" si="122"/>
        <v>68.863788432032393</v>
      </c>
      <c r="AF90" s="12">
        <f t="shared" si="122"/>
        <v>68.691628960952315</v>
      </c>
      <c r="AG90" s="12">
        <f t="shared" si="122"/>
        <v>68.519899888549929</v>
      </c>
      <c r="AH90" s="7"/>
      <c r="AI90" s="12">
        <v>0</v>
      </c>
      <c r="AJ90" s="12">
        <f t="shared" ref="AJ90:AT90" si="123">AI96</f>
        <v>0</v>
      </c>
      <c r="AK90" s="12">
        <f t="shared" si="123"/>
        <v>0</v>
      </c>
      <c r="AL90" s="12">
        <f t="shared" si="123"/>
        <v>0</v>
      </c>
      <c r="AM90" s="12">
        <f t="shared" ca="1" si="123"/>
        <v>0</v>
      </c>
      <c r="AN90" s="12">
        <f t="shared" ca="1" si="123"/>
        <v>0</v>
      </c>
      <c r="AO90" s="12">
        <f t="shared" ca="1" si="123"/>
        <v>0</v>
      </c>
      <c r="AP90" s="12">
        <f t="shared" ca="1" si="123"/>
        <v>0</v>
      </c>
      <c r="AQ90" s="12">
        <f t="shared" ca="1" si="123"/>
        <v>0</v>
      </c>
      <c r="AR90" s="12">
        <f t="shared" ca="1" si="123"/>
        <v>0</v>
      </c>
      <c r="AS90" s="12">
        <f t="shared" ca="1" si="123"/>
        <v>0</v>
      </c>
      <c r="AT90" s="12">
        <f t="shared" ca="1" si="123"/>
        <v>0</v>
      </c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</row>
    <row r="91" spans="1:66" ht="13.5" customHeight="1" x14ac:dyDescent="0.3">
      <c r="A91" s="7"/>
      <c r="B91" s="89" t="s">
        <v>154</v>
      </c>
      <c r="C91" s="15" t="s">
        <v>178</v>
      </c>
      <c r="D91" s="7" t="s">
        <v>40</v>
      </c>
      <c r="E91" s="7"/>
      <c r="F91" s="7"/>
      <c r="G91" s="7"/>
      <c r="H91" s="7"/>
      <c r="I91" s="7"/>
      <c r="J91" s="8">
        <f t="shared" ref="J91:AG91" si="124">-J75</f>
        <v>0</v>
      </c>
      <c r="K91" s="8">
        <f t="shared" si="124"/>
        <v>0</v>
      </c>
      <c r="L91" s="8">
        <f t="shared" si="124"/>
        <v>0</v>
      </c>
      <c r="M91" s="8">
        <f t="shared" si="124"/>
        <v>0</v>
      </c>
      <c r="N91" s="8">
        <f t="shared" si="124"/>
        <v>0</v>
      </c>
      <c r="O91" s="8">
        <f t="shared" si="124"/>
        <v>0</v>
      </c>
      <c r="P91" s="8">
        <f t="shared" si="124"/>
        <v>0</v>
      </c>
      <c r="Q91" s="8">
        <f t="shared" si="124"/>
        <v>0</v>
      </c>
      <c r="R91" s="8">
        <f t="shared" si="124"/>
        <v>0</v>
      </c>
      <c r="S91" s="8">
        <f t="shared" si="124"/>
        <v>0</v>
      </c>
      <c r="T91" s="8">
        <f t="shared" si="124"/>
        <v>0</v>
      </c>
      <c r="U91" s="8">
        <f t="shared" si="124"/>
        <v>0</v>
      </c>
      <c r="V91" s="8">
        <f t="shared" si="124"/>
        <v>0</v>
      </c>
      <c r="W91" s="8">
        <f t="shared" si="124"/>
        <v>0</v>
      </c>
      <c r="X91" s="8">
        <f t="shared" si="124"/>
        <v>0</v>
      </c>
      <c r="Y91" s="8">
        <f t="shared" si="124"/>
        <v>0</v>
      </c>
      <c r="Z91" s="8">
        <f t="shared" si="124"/>
        <v>0</v>
      </c>
      <c r="AA91" s="8">
        <f t="shared" si="124"/>
        <v>69.382860037797357</v>
      </c>
      <c r="AB91" s="8">
        <f t="shared" si="124"/>
        <v>0</v>
      </c>
      <c r="AC91" s="8">
        <f t="shared" si="124"/>
        <v>0</v>
      </c>
      <c r="AD91" s="8">
        <f t="shared" si="124"/>
        <v>0</v>
      </c>
      <c r="AE91" s="8">
        <f t="shared" si="124"/>
        <v>0</v>
      </c>
      <c r="AF91" s="8">
        <f t="shared" si="124"/>
        <v>0</v>
      </c>
      <c r="AG91" s="8">
        <f t="shared" si="124"/>
        <v>0</v>
      </c>
      <c r="AH91" s="7"/>
      <c r="AI91" s="8">
        <f t="shared" ref="AI91:AJ91" si="125">SUMIF($J$37:$AG$37,AI$37,$J91:$AG91)</f>
        <v>0</v>
      </c>
      <c r="AJ91" s="8">
        <f t="shared" si="125"/>
        <v>0</v>
      </c>
      <c r="AK91" s="8">
        <f t="shared" ref="AK91:AS91" si="126">-AK75</f>
        <v>69.382860037797357</v>
      </c>
      <c r="AL91" s="8">
        <f t="shared" ca="1" si="126"/>
        <v>85.497029281575792</v>
      </c>
      <c r="AM91" s="8">
        <f t="shared" ca="1" si="126"/>
        <v>105.35371433222177</v>
      </c>
      <c r="AN91" s="8">
        <f t="shared" ca="1" si="126"/>
        <v>127.5</v>
      </c>
      <c r="AO91" s="8">
        <f t="shared" ca="1" si="126"/>
        <v>127.5</v>
      </c>
      <c r="AP91" s="8">
        <f t="shared" ca="1" si="126"/>
        <v>127.5</v>
      </c>
      <c r="AQ91" s="8">
        <f t="shared" ca="1" si="126"/>
        <v>127.5</v>
      </c>
      <c r="AR91" s="8">
        <f t="shared" ca="1" si="126"/>
        <v>127.5</v>
      </c>
      <c r="AS91" s="8">
        <f t="shared" ca="1" si="126"/>
        <v>127.5</v>
      </c>
      <c r="AT91" s="8">
        <f t="shared" ref="AT91" ca="1" si="127">-AT75</f>
        <v>127.5</v>
      </c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</row>
    <row r="92" spans="1:66" ht="13.5" customHeight="1" x14ac:dyDescent="0.3">
      <c r="A92" s="7"/>
      <c r="B92" s="89" t="s">
        <v>157</v>
      </c>
      <c r="C92" s="15" t="s">
        <v>184</v>
      </c>
      <c r="D92" s="7" t="s">
        <v>40</v>
      </c>
      <c r="E92" s="99">
        <f>0.0666666666666667</f>
        <v>6.6666666666666693E-2</v>
      </c>
      <c r="F92" s="7"/>
      <c r="G92" s="7"/>
      <c r="H92" s="7"/>
      <c r="I92" s="7"/>
      <c r="J92" s="8">
        <f t="shared" ref="J92:AG92" si="128">-MAX(0,($E92*J50)-SUM(J60,J63:J65))</f>
        <v>0</v>
      </c>
      <c r="K92" s="8">
        <f t="shared" si="128"/>
        <v>0</v>
      </c>
      <c r="L92" s="8">
        <f t="shared" si="128"/>
        <v>0</v>
      </c>
      <c r="M92" s="8">
        <f t="shared" si="128"/>
        <v>0</v>
      </c>
      <c r="N92" s="8">
        <f t="shared" si="128"/>
        <v>0</v>
      </c>
      <c r="O92" s="8">
        <f t="shared" si="128"/>
        <v>0</v>
      </c>
      <c r="P92" s="8">
        <f t="shared" si="128"/>
        <v>0</v>
      </c>
      <c r="Q92" s="8">
        <f t="shared" si="128"/>
        <v>0</v>
      </c>
      <c r="R92" s="8">
        <f t="shared" si="128"/>
        <v>0</v>
      </c>
      <c r="S92" s="8">
        <f t="shared" si="128"/>
        <v>0</v>
      </c>
      <c r="T92" s="8">
        <f t="shared" si="128"/>
        <v>0</v>
      </c>
      <c r="U92" s="8">
        <f t="shared" si="128"/>
        <v>0</v>
      </c>
      <c r="V92" s="8">
        <f t="shared" si="128"/>
        <v>0</v>
      </c>
      <c r="W92" s="8">
        <f t="shared" si="128"/>
        <v>0</v>
      </c>
      <c r="X92" s="8">
        <f t="shared" si="128"/>
        <v>0</v>
      </c>
      <c r="Y92" s="8">
        <f t="shared" si="128"/>
        <v>0</v>
      </c>
      <c r="Z92" s="8">
        <f t="shared" si="128"/>
        <v>0</v>
      </c>
      <c r="AA92" s="8">
        <f t="shared" si="128"/>
        <v>0</v>
      </c>
      <c r="AB92" s="8">
        <f t="shared" si="128"/>
        <v>0</v>
      </c>
      <c r="AC92" s="8">
        <f t="shared" si="128"/>
        <v>0</v>
      </c>
      <c r="AD92" s="8">
        <f t="shared" si="128"/>
        <v>0</v>
      </c>
      <c r="AE92" s="8">
        <f t="shared" si="128"/>
        <v>0</v>
      </c>
      <c r="AF92" s="8">
        <f t="shared" si="128"/>
        <v>0</v>
      </c>
      <c r="AG92" s="8">
        <f t="shared" si="128"/>
        <v>0</v>
      </c>
      <c r="AH92" s="7"/>
      <c r="AI92" s="8">
        <f t="shared" ref="AI92:AJ92" si="129">SUMIF($J$37:$AG$37,AI$37,$J92:$AG92)</f>
        <v>0</v>
      </c>
      <c r="AJ92" s="8">
        <f t="shared" si="129"/>
        <v>0</v>
      </c>
      <c r="AK92" s="8">
        <f t="shared" ref="AK92:AS92" si="130">-MAX(0,($E92*AK50)-SUM(AK60,AK63:AK65))</f>
        <v>-0.80358588828194222</v>
      </c>
      <c r="AL92" s="8">
        <f t="shared" ca="1" si="130"/>
        <v>-5.5751168712724244</v>
      </c>
      <c r="AM92" s="8">
        <f t="shared" ca="1" si="130"/>
        <v>-6.8699377646254476</v>
      </c>
      <c r="AN92" s="8">
        <f t="shared" ca="1" si="130"/>
        <v>-8.1012275577726012</v>
      </c>
      <c r="AO92" s="8">
        <f t="shared" ca="1" si="130"/>
        <v>-5.6000000000000014</v>
      </c>
      <c r="AP92" s="8">
        <f t="shared" ca="1" si="130"/>
        <v>-5.6000000000000014</v>
      </c>
      <c r="AQ92" s="8">
        <f t="shared" ca="1" si="130"/>
        <v>-5.6000000000000014</v>
      </c>
      <c r="AR92" s="8">
        <f t="shared" ca="1" si="130"/>
        <v>-5.6000000000000014</v>
      </c>
      <c r="AS92" s="8">
        <f t="shared" ca="1" si="130"/>
        <v>-5.6000000000000014</v>
      </c>
      <c r="AT92" s="8">
        <f t="shared" ref="AT92" ca="1" si="131">-MAX(0,($E92*AT50)-SUM(AT60,AT63:AT65))</f>
        <v>-5.6000000000000014</v>
      </c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</row>
    <row r="93" spans="1:66" ht="13.5" customHeight="1" x14ac:dyDescent="0.3">
      <c r="A93" s="7"/>
      <c r="B93" s="89" t="s">
        <v>157</v>
      </c>
      <c r="C93" s="15" t="s">
        <v>49</v>
      </c>
      <c r="D93" s="7" t="s">
        <v>40</v>
      </c>
      <c r="E93" s="90">
        <v>0.03</v>
      </c>
      <c r="F93" s="7"/>
      <c r="G93" s="90">
        <f>E93/12</f>
        <v>2.5000000000000001E-3</v>
      </c>
      <c r="H93" s="7"/>
      <c r="I93" s="7"/>
      <c r="J93" s="8">
        <f t="shared" ref="J93:Y93" si="132">-$E93*SUM(J90:J91)</f>
        <v>0</v>
      </c>
      <c r="K93" s="8">
        <f t="shared" si="132"/>
        <v>0</v>
      </c>
      <c r="L93" s="8">
        <f t="shared" si="132"/>
        <v>0</v>
      </c>
      <c r="M93" s="8">
        <f t="shared" si="132"/>
        <v>0</v>
      </c>
      <c r="N93" s="8">
        <f t="shared" si="132"/>
        <v>0</v>
      </c>
      <c r="O93" s="8">
        <f t="shared" si="132"/>
        <v>0</v>
      </c>
      <c r="P93" s="8">
        <f t="shared" si="132"/>
        <v>0</v>
      </c>
      <c r="Q93" s="8">
        <f t="shared" si="132"/>
        <v>0</v>
      </c>
      <c r="R93" s="8">
        <f t="shared" si="132"/>
        <v>0</v>
      </c>
      <c r="S93" s="8">
        <f t="shared" si="132"/>
        <v>0</v>
      </c>
      <c r="T93" s="8">
        <f t="shared" si="132"/>
        <v>0</v>
      </c>
      <c r="U93" s="8">
        <f t="shared" si="132"/>
        <v>0</v>
      </c>
      <c r="V93" s="8">
        <f t="shared" si="132"/>
        <v>0</v>
      </c>
      <c r="W93" s="8">
        <f t="shared" si="132"/>
        <v>0</v>
      </c>
      <c r="X93" s="8">
        <f t="shared" si="132"/>
        <v>0</v>
      </c>
      <c r="Y93" s="8">
        <f t="shared" si="132"/>
        <v>0</v>
      </c>
      <c r="Z93" s="8">
        <f>-$G93*SUM(Z90:Z91)</f>
        <v>0</v>
      </c>
      <c r="AA93" s="8">
        <f t="shared" ref="AA93:AG93" si="133">IF(AA$35&gt;17,-$G93*AA$90,0)</f>
        <v>0</v>
      </c>
      <c r="AB93" s="8">
        <f t="shared" si="133"/>
        <v>-0.17345715009449339</v>
      </c>
      <c r="AC93" s="8">
        <f t="shared" si="133"/>
        <v>-0.17302350721925716</v>
      </c>
      <c r="AD93" s="8">
        <f t="shared" si="133"/>
        <v>-0.17259094845120904</v>
      </c>
      <c r="AE93" s="8">
        <f t="shared" si="133"/>
        <v>-0.17215947108008098</v>
      </c>
      <c r="AF93" s="8">
        <f t="shared" si="133"/>
        <v>-0.17172907240238078</v>
      </c>
      <c r="AG93" s="8">
        <f t="shared" si="133"/>
        <v>-0.17129974972137482</v>
      </c>
      <c r="AH93" s="7"/>
      <c r="AI93" s="8">
        <f t="shared" ref="AI93:AJ93" si="134">SUMIF($J$37:$AG$37,AI$37,$J93:$AG93)</f>
        <v>0</v>
      </c>
      <c r="AJ93" s="8">
        <f t="shared" si="134"/>
        <v>0</v>
      </c>
      <c r="AK93" s="8">
        <f t="shared" ref="AK93:AS93" si="135">-$E93*SUM(AK90:AK91)</f>
        <v>-2.0814858011339208</v>
      </c>
      <c r="AL93" s="8">
        <f t="shared" ca="1" si="135"/>
        <v>-2.5649108784472738</v>
      </c>
      <c r="AM93" s="8">
        <f t="shared" ca="1" si="135"/>
        <v>-3.1606114299666528</v>
      </c>
      <c r="AN93" s="8">
        <f t="shared" ca="1" si="135"/>
        <v>-3.8249999999999997</v>
      </c>
      <c r="AO93" s="8">
        <f t="shared" ca="1" si="135"/>
        <v>-3.8249999999999997</v>
      </c>
      <c r="AP93" s="8">
        <f t="shared" ca="1" si="135"/>
        <v>-3.8249999999999997</v>
      </c>
      <c r="AQ93" s="8">
        <f t="shared" ca="1" si="135"/>
        <v>-3.8249999999999997</v>
      </c>
      <c r="AR93" s="8">
        <f t="shared" ca="1" si="135"/>
        <v>-3.8249999999999997</v>
      </c>
      <c r="AS93" s="8">
        <f t="shared" ca="1" si="135"/>
        <v>-3.8249999999999997</v>
      </c>
      <c r="AT93" s="8">
        <f t="shared" ref="AT93" ca="1" si="136">-$E93*SUM(AT90:AT91)</f>
        <v>-3.8249999999999997</v>
      </c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</row>
    <row r="94" spans="1:66" ht="13.5" customHeight="1" x14ac:dyDescent="0.3">
      <c r="A94" s="7"/>
      <c r="B94" s="5" t="s">
        <v>185</v>
      </c>
      <c r="C94" s="15"/>
      <c r="D94" s="7"/>
      <c r="E94" s="15"/>
      <c r="F94" s="7"/>
      <c r="G94" s="15"/>
      <c r="H94" s="7"/>
      <c r="I94" s="7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7"/>
      <c r="AI94" s="12"/>
      <c r="AJ94" s="12">
        <f t="shared" ref="AJ94:AS94" si="137">SUM(AJ90:AJ93)</f>
        <v>0</v>
      </c>
      <c r="AK94" s="12">
        <f t="shared" si="137"/>
        <v>66.497788348381491</v>
      </c>
      <c r="AL94" s="12">
        <f t="shared" ca="1" si="137"/>
        <v>77.357001531856085</v>
      </c>
      <c r="AM94" s="12">
        <f t="shared" ca="1" si="137"/>
        <v>95.323165137629672</v>
      </c>
      <c r="AN94" s="12">
        <f t="shared" ca="1" si="137"/>
        <v>115.57377244222739</v>
      </c>
      <c r="AO94" s="12">
        <f t="shared" ca="1" si="137"/>
        <v>118.075</v>
      </c>
      <c r="AP94" s="12">
        <f t="shared" ca="1" si="137"/>
        <v>118.075</v>
      </c>
      <c r="AQ94" s="12">
        <f t="shared" ca="1" si="137"/>
        <v>118.075</v>
      </c>
      <c r="AR94" s="12">
        <f t="shared" ca="1" si="137"/>
        <v>118.075</v>
      </c>
      <c r="AS94" s="12">
        <f t="shared" ca="1" si="137"/>
        <v>118.075</v>
      </c>
      <c r="AT94" s="12">
        <f t="shared" ref="AT94" ca="1" si="138">SUM(AT90:AT93)</f>
        <v>118.075</v>
      </c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</row>
    <row r="95" spans="1:66" ht="13.5" customHeight="1" x14ac:dyDescent="0.3">
      <c r="A95" s="7"/>
      <c r="B95" s="89" t="s">
        <v>157</v>
      </c>
      <c r="C95" s="15" t="s">
        <v>186</v>
      </c>
      <c r="D95" s="7" t="s">
        <v>40</v>
      </c>
      <c r="E95" s="7"/>
      <c r="F95" s="7"/>
      <c r="G95" s="7"/>
      <c r="H95" s="7"/>
      <c r="I95" s="7"/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7"/>
      <c r="AI95" s="8">
        <f t="shared" ref="AI95:AJ95" si="139">SUMIF($J$37:$AG$37,AI$37,$J95:$AG95)</f>
        <v>0</v>
      </c>
      <c r="AJ95" s="8">
        <f t="shared" si="139"/>
        <v>0</v>
      </c>
      <c r="AK95" s="8">
        <f t="shared" ref="AK95:AS95" si="140">-AK94</f>
        <v>-66.497788348381491</v>
      </c>
      <c r="AL95" s="8">
        <f t="shared" ca="1" si="140"/>
        <v>-77.357001531856085</v>
      </c>
      <c r="AM95" s="8">
        <f t="shared" ca="1" si="140"/>
        <v>-95.323165137629672</v>
      </c>
      <c r="AN95" s="8">
        <f t="shared" ca="1" si="140"/>
        <v>-115.57377244222739</v>
      </c>
      <c r="AO95" s="8">
        <f t="shared" ca="1" si="140"/>
        <v>-118.075</v>
      </c>
      <c r="AP95" s="8">
        <f t="shared" ca="1" si="140"/>
        <v>-118.075</v>
      </c>
      <c r="AQ95" s="8">
        <f t="shared" ca="1" si="140"/>
        <v>-118.075</v>
      </c>
      <c r="AR95" s="8">
        <f t="shared" ca="1" si="140"/>
        <v>-118.075</v>
      </c>
      <c r="AS95" s="8">
        <f t="shared" ca="1" si="140"/>
        <v>-118.075</v>
      </c>
      <c r="AT95" s="8">
        <f t="shared" ref="AT95" ca="1" si="141">-AT94</f>
        <v>-118.075</v>
      </c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</row>
    <row r="96" spans="1:66" ht="13.5" customHeight="1" x14ac:dyDescent="0.3">
      <c r="A96" s="7"/>
      <c r="B96" s="14" t="s">
        <v>44</v>
      </c>
      <c r="C96" s="15"/>
      <c r="D96" s="7" t="s">
        <v>40</v>
      </c>
      <c r="E96" s="7"/>
      <c r="F96" s="7"/>
      <c r="G96" s="7"/>
      <c r="H96" s="7"/>
      <c r="I96" s="7"/>
      <c r="J96" s="12">
        <f t="shared" ref="J96:AG96" si="142">SUM(J90:J95)</f>
        <v>0</v>
      </c>
      <c r="K96" s="12">
        <f t="shared" si="142"/>
        <v>0</v>
      </c>
      <c r="L96" s="12">
        <f t="shared" si="142"/>
        <v>0</v>
      </c>
      <c r="M96" s="12">
        <f t="shared" si="142"/>
        <v>0</v>
      </c>
      <c r="N96" s="12">
        <f t="shared" si="142"/>
        <v>0</v>
      </c>
      <c r="O96" s="12">
        <f t="shared" si="142"/>
        <v>0</v>
      </c>
      <c r="P96" s="12">
        <f t="shared" si="142"/>
        <v>0</v>
      </c>
      <c r="Q96" s="12">
        <f t="shared" si="142"/>
        <v>0</v>
      </c>
      <c r="R96" s="12">
        <f t="shared" si="142"/>
        <v>0</v>
      </c>
      <c r="S96" s="12">
        <f t="shared" si="142"/>
        <v>0</v>
      </c>
      <c r="T96" s="12">
        <f t="shared" si="142"/>
        <v>0</v>
      </c>
      <c r="U96" s="12">
        <f t="shared" si="142"/>
        <v>0</v>
      </c>
      <c r="V96" s="12">
        <f t="shared" si="142"/>
        <v>0</v>
      </c>
      <c r="W96" s="12">
        <f t="shared" si="142"/>
        <v>0</v>
      </c>
      <c r="X96" s="12">
        <f t="shared" si="142"/>
        <v>0</v>
      </c>
      <c r="Y96" s="12">
        <f t="shared" si="142"/>
        <v>0</v>
      </c>
      <c r="Z96" s="12">
        <f t="shared" si="142"/>
        <v>0</v>
      </c>
      <c r="AA96" s="12">
        <f t="shared" si="142"/>
        <v>69.382860037797357</v>
      </c>
      <c r="AB96" s="12">
        <f t="shared" si="142"/>
        <v>69.209402887702865</v>
      </c>
      <c r="AC96" s="12">
        <f t="shared" si="142"/>
        <v>69.036379380483609</v>
      </c>
      <c r="AD96" s="12">
        <f t="shared" si="142"/>
        <v>68.863788432032393</v>
      </c>
      <c r="AE96" s="12">
        <f t="shared" si="142"/>
        <v>68.691628960952315</v>
      </c>
      <c r="AF96" s="12">
        <f t="shared" si="142"/>
        <v>68.519899888549929</v>
      </c>
      <c r="AG96" s="12">
        <f t="shared" si="142"/>
        <v>68.348600138828559</v>
      </c>
      <c r="AH96" s="7"/>
      <c r="AI96" s="12">
        <f>SUM(AI90:AI95)</f>
        <v>0</v>
      </c>
      <c r="AJ96" s="12">
        <f t="shared" ref="AJ96:AS96" si="143">SUM(AJ94:AJ95)</f>
        <v>0</v>
      </c>
      <c r="AK96" s="12">
        <f t="shared" si="143"/>
        <v>0</v>
      </c>
      <c r="AL96" s="12">
        <f t="shared" ca="1" si="143"/>
        <v>0</v>
      </c>
      <c r="AM96" s="12">
        <f t="shared" ca="1" si="143"/>
        <v>0</v>
      </c>
      <c r="AN96" s="12">
        <f t="shared" ca="1" si="143"/>
        <v>0</v>
      </c>
      <c r="AO96" s="12">
        <f t="shared" ca="1" si="143"/>
        <v>0</v>
      </c>
      <c r="AP96" s="12">
        <f t="shared" ca="1" si="143"/>
        <v>0</v>
      </c>
      <c r="AQ96" s="12">
        <f t="shared" ca="1" si="143"/>
        <v>0</v>
      </c>
      <c r="AR96" s="12">
        <f t="shared" ca="1" si="143"/>
        <v>0</v>
      </c>
      <c r="AS96" s="12">
        <f t="shared" ca="1" si="143"/>
        <v>0</v>
      </c>
      <c r="AT96" s="12">
        <f t="shared" ref="AT96" ca="1" si="144">SUM(AT94:AT95)</f>
        <v>0</v>
      </c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</row>
    <row r="97" spans="1:66" ht="13.5" customHeight="1" x14ac:dyDescent="0.3">
      <c r="A97" s="7"/>
      <c r="B97" s="14" t="s">
        <v>187</v>
      </c>
      <c r="C97" s="15"/>
      <c r="D97" s="7" t="s">
        <v>40</v>
      </c>
      <c r="E97" s="7"/>
      <c r="F97" s="7"/>
      <c r="G97" s="7"/>
      <c r="H97" s="7"/>
      <c r="I97" s="7"/>
      <c r="J97" s="12">
        <f t="shared" ref="J97:AG97" si="145">AVERAGE(J90,J96)</f>
        <v>0</v>
      </c>
      <c r="K97" s="12">
        <f t="shared" si="145"/>
        <v>0</v>
      </c>
      <c r="L97" s="12">
        <f t="shared" si="145"/>
        <v>0</v>
      </c>
      <c r="M97" s="12">
        <f t="shared" si="145"/>
        <v>0</v>
      </c>
      <c r="N97" s="12">
        <f t="shared" si="145"/>
        <v>0</v>
      </c>
      <c r="O97" s="12">
        <f t="shared" si="145"/>
        <v>0</v>
      </c>
      <c r="P97" s="12">
        <f t="shared" si="145"/>
        <v>0</v>
      </c>
      <c r="Q97" s="12">
        <f t="shared" si="145"/>
        <v>0</v>
      </c>
      <c r="R97" s="12">
        <f t="shared" si="145"/>
        <v>0</v>
      </c>
      <c r="S97" s="12">
        <f t="shared" si="145"/>
        <v>0</v>
      </c>
      <c r="T97" s="12">
        <f t="shared" si="145"/>
        <v>0</v>
      </c>
      <c r="U97" s="12">
        <f t="shared" si="145"/>
        <v>0</v>
      </c>
      <c r="V97" s="12">
        <f t="shared" si="145"/>
        <v>0</v>
      </c>
      <c r="W97" s="12">
        <f t="shared" si="145"/>
        <v>0</v>
      </c>
      <c r="X97" s="12">
        <f t="shared" si="145"/>
        <v>0</v>
      </c>
      <c r="Y97" s="12">
        <f t="shared" si="145"/>
        <v>0</v>
      </c>
      <c r="Z97" s="12">
        <f t="shared" si="145"/>
        <v>0</v>
      </c>
      <c r="AA97" s="12">
        <f t="shared" si="145"/>
        <v>34.691430018898679</v>
      </c>
      <c r="AB97" s="12">
        <f t="shared" si="145"/>
        <v>69.296131462750111</v>
      </c>
      <c r="AC97" s="12">
        <f t="shared" si="145"/>
        <v>69.122891134093237</v>
      </c>
      <c r="AD97" s="12">
        <f t="shared" si="145"/>
        <v>68.950083906258001</v>
      </c>
      <c r="AE97" s="12">
        <f t="shared" si="145"/>
        <v>68.777708696492354</v>
      </c>
      <c r="AF97" s="12">
        <f t="shared" si="145"/>
        <v>68.605764424751129</v>
      </c>
      <c r="AG97" s="12">
        <f t="shared" si="145"/>
        <v>68.434250013689251</v>
      </c>
      <c r="AH97" s="7"/>
      <c r="AI97" s="12">
        <f t="shared" ref="AI97:AS97" si="146">AVERAGE(AI90+AI91,AI96)</f>
        <v>0</v>
      </c>
      <c r="AJ97" s="12">
        <f t="shared" si="146"/>
        <v>0</v>
      </c>
      <c r="AK97" s="12">
        <f t="shared" si="146"/>
        <v>34.691430018898679</v>
      </c>
      <c r="AL97" s="12">
        <f t="shared" ca="1" si="146"/>
        <v>42.748514640787896</v>
      </c>
      <c r="AM97" s="12">
        <f t="shared" ca="1" si="146"/>
        <v>52.676857166110885</v>
      </c>
      <c r="AN97" s="12">
        <f t="shared" ca="1" si="146"/>
        <v>63.75</v>
      </c>
      <c r="AO97" s="12">
        <f t="shared" ca="1" si="146"/>
        <v>63.75</v>
      </c>
      <c r="AP97" s="12">
        <f t="shared" ca="1" si="146"/>
        <v>63.75</v>
      </c>
      <c r="AQ97" s="12">
        <f t="shared" ca="1" si="146"/>
        <v>63.75</v>
      </c>
      <c r="AR97" s="12">
        <f t="shared" ca="1" si="146"/>
        <v>63.75</v>
      </c>
      <c r="AS97" s="12">
        <f t="shared" ca="1" si="146"/>
        <v>63.75</v>
      </c>
      <c r="AT97" s="12">
        <f t="shared" ref="AT97" ca="1" si="147">AVERAGE(AT90+AT91,AT96)</f>
        <v>63.75</v>
      </c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</row>
    <row r="98" spans="1:66" ht="13.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</row>
    <row r="99" spans="1:66" ht="13.5" customHeight="1" x14ac:dyDescent="0.3">
      <c r="A99" s="7"/>
      <c r="B99" s="7"/>
      <c r="C99" s="5" t="s">
        <v>658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329">
        <f t="shared" ref="AI99:AT99" si="148">SUM(AI55,AI66,AI94)</f>
        <v>212.0074875078125</v>
      </c>
      <c r="AJ99" s="329">
        <f t="shared" si="148"/>
        <v>177.25378832422908</v>
      </c>
      <c r="AK99" s="329">
        <f t="shared" ca="1" si="148"/>
        <v>278.55085489919469</v>
      </c>
      <c r="AL99" s="329">
        <f t="shared" ca="1" si="148"/>
        <v>338.6593927890957</v>
      </c>
      <c r="AM99" s="329">
        <f t="shared" ca="1" si="148"/>
        <v>417.31303676436312</v>
      </c>
      <c r="AN99" s="329">
        <f t="shared" ca="1" si="148"/>
        <v>505.24877244222739</v>
      </c>
      <c r="AO99" s="329">
        <f t="shared" ca="1" si="148"/>
        <v>507.75</v>
      </c>
      <c r="AP99" s="329">
        <f t="shared" ca="1" si="148"/>
        <v>507.75</v>
      </c>
      <c r="AQ99" s="329">
        <f t="shared" ca="1" si="148"/>
        <v>507.75</v>
      </c>
      <c r="AR99" s="329">
        <f t="shared" ca="1" si="148"/>
        <v>507.75</v>
      </c>
      <c r="AS99" s="329">
        <f t="shared" ca="1" si="148"/>
        <v>507.75</v>
      </c>
      <c r="AT99" s="329">
        <f t="shared" ca="1" si="148"/>
        <v>507.75</v>
      </c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</row>
    <row r="100" spans="1:66" ht="13.5" customHeight="1" x14ac:dyDescent="0.3">
      <c r="A100" s="7"/>
      <c r="B100" s="7"/>
      <c r="C100" s="5" t="s">
        <v>659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329">
        <f>AI99-AI53-AI63-AI82-AI93-AI54</f>
        <v>214</v>
      </c>
      <c r="AJ100" s="329">
        <f t="shared" ref="AJ100:AT100" si="149">AJ99-AJ53-AJ63-AJ82-AJ93-AJ54</f>
        <v>212.0074875078125</v>
      </c>
      <c r="AK100" s="329">
        <f t="shared" ca="1" si="149"/>
        <v>315.59950839982372</v>
      </c>
      <c r="AL100" s="329">
        <f t="shared" ca="1" si="149"/>
        <v>382.7206175373164</v>
      </c>
      <c r="AM100" s="329">
        <f t="shared" ca="1" si="149"/>
        <v>471.60748096035803</v>
      </c>
      <c r="AN100" s="329">
        <f t="shared" ca="1" si="149"/>
        <v>571.03029065133421</v>
      </c>
      <c r="AO100" s="329">
        <f t="shared" ca="1" si="149"/>
        <v>574.40000000000009</v>
      </c>
      <c r="AP100" s="329">
        <f t="shared" ca="1" si="149"/>
        <v>574.40000000000009</v>
      </c>
      <c r="AQ100" s="329">
        <f t="shared" ca="1" si="149"/>
        <v>574.40000000000009</v>
      </c>
      <c r="AR100" s="329">
        <f t="shared" ca="1" si="149"/>
        <v>574.40000000000009</v>
      </c>
      <c r="AS100" s="329">
        <f t="shared" ca="1" si="149"/>
        <v>574.40000000000009</v>
      </c>
      <c r="AT100" s="329">
        <f t="shared" ca="1" si="149"/>
        <v>574.40000000000009</v>
      </c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</row>
    <row r="101" spans="1:66" ht="13.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</row>
    <row r="102" spans="1:66" ht="13.5" customHeight="1" x14ac:dyDescent="0.3">
      <c r="A102" s="7"/>
      <c r="B102" s="7"/>
      <c r="C102" s="5" t="s">
        <v>188</v>
      </c>
      <c r="D102" s="7" t="s">
        <v>40</v>
      </c>
      <c r="E102" s="7"/>
      <c r="F102" s="7"/>
      <c r="G102" s="7"/>
      <c r="H102" s="7"/>
      <c r="I102" s="7"/>
      <c r="J102" s="12">
        <f t="shared" ref="J102:AG102" ca="1" si="150">J58+J67+J77+J88+J97</f>
        <v>214</v>
      </c>
      <c r="K102" s="12">
        <f t="shared" ca="1" si="150"/>
        <v>213.75</v>
      </c>
      <c r="L102" s="12">
        <f t="shared" ca="1" si="150"/>
        <v>213.25062500000001</v>
      </c>
      <c r="M102" s="12">
        <f t="shared" ca="1" si="150"/>
        <v>212.75249843749998</v>
      </c>
      <c r="N102" s="12">
        <f t="shared" ca="1" si="150"/>
        <v>212.25561719140626</v>
      </c>
      <c r="O102" s="12">
        <f t="shared" ca="1" si="150"/>
        <v>211.75997814842773</v>
      </c>
      <c r="P102" s="12">
        <f t="shared" ca="1" si="150"/>
        <v>211.26557820305666</v>
      </c>
      <c r="Q102" s="12">
        <f t="shared" ca="1" si="150"/>
        <v>210.77241425754903</v>
      </c>
      <c r="R102" s="12">
        <f t="shared" ca="1" si="150"/>
        <v>210.28048322190514</v>
      </c>
      <c r="S102" s="12">
        <f t="shared" ca="1" si="150"/>
        <v>209.78978201385038</v>
      </c>
      <c r="T102" s="12">
        <f t="shared" ca="1" si="150"/>
        <v>209.30030755881575</v>
      </c>
      <c r="U102" s="12">
        <f t="shared" ca="1" si="150"/>
        <v>208.8120567899187</v>
      </c>
      <c r="V102" s="12">
        <f t="shared" ca="1" si="150"/>
        <v>208.3250266479439</v>
      </c>
      <c r="W102" s="12">
        <f t="shared" ca="1" si="150"/>
        <v>207.83921408132406</v>
      </c>
      <c r="X102" s="12">
        <f t="shared" ca="1" si="150"/>
        <v>192.83487016030443</v>
      </c>
      <c r="Y102" s="12">
        <f t="shared" ca="1" si="150"/>
        <v>177.86803709908736</v>
      </c>
      <c r="Z102" s="12">
        <f t="shared" ca="1" si="150"/>
        <v>177.45836700633964</v>
      </c>
      <c r="AA102" s="12">
        <f t="shared" ca="1" si="150"/>
        <v>281.10651114551985</v>
      </c>
      <c r="AB102" s="12">
        <f t="shared" ca="1" si="150"/>
        <v>315.18190346160191</v>
      </c>
      <c r="AC102" s="12">
        <f t="shared" ca="1" si="150"/>
        <v>314.39394870294791</v>
      </c>
      <c r="AD102" s="12">
        <f t="shared" ca="1" si="150"/>
        <v>313.60796383119055</v>
      </c>
      <c r="AE102" s="12">
        <f t="shared" ca="1" si="150"/>
        <v>312.82394392161257</v>
      </c>
      <c r="AF102" s="12">
        <f t="shared" ca="1" si="150"/>
        <v>312.04188406180856</v>
      </c>
      <c r="AG102" s="12">
        <f t="shared" ca="1" si="150"/>
        <v>311.26177935165401</v>
      </c>
      <c r="AH102" s="7"/>
      <c r="AI102" s="12">
        <f t="shared" ref="AI102:AT102" ca="1" si="151">AI58+AI67+AI77+AI88+AI97</f>
        <v>206.00374375390624</v>
      </c>
      <c r="AJ102" s="12">
        <f t="shared" ca="1" si="151"/>
        <v>194.63063791602079</v>
      </c>
      <c r="AK102" s="12">
        <f t="shared" ca="1" si="151"/>
        <v>264.03628747531849</v>
      </c>
      <c r="AL102" s="12">
        <f t="shared" ca="1" si="151"/>
        <v>322.17475818560223</v>
      </c>
      <c r="AM102" s="12">
        <f t="shared" ca="1" si="151"/>
        <v>394.26794637905505</v>
      </c>
      <c r="AN102" s="12">
        <f t="shared" ca="1" si="151"/>
        <v>445.76303641821346</v>
      </c>
      <c r="AO102" s="12">
        <f t="shared" ca="1" si="151"/>
        <v>447.5</v>
      </c>
      <c r="AP102" s="12">
        <f t="shared" ca="1" si="151"/>
        <v>447.5</v>
      </c>
      <c r="AQ102" s="12">
        <f t="shared" ca="1" si="151"/>
        <v>447.5</v>
      </c>
      <c r="AR102" s="12">
        <f t="shared" ca="1" si="151"/>
        <v>447.5</v>
      </c>
      <c r="AS102" s="12">
        <f t="shared" ca="1" si="151"/>
        <v>447.5</v>
      </c>
      <c r="AT102" s="12">
        <f t="shared" ca="1" si="151"/>
        <v>447.5</v>
      </c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</row>
    <row r="103" spans="1:66" ht="13.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55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</row>
    <row r="104" spans="1:66" ht="13.5" customHeight="1" x14ac:dyDescent="0.3">
      <c r="A104" s="7"/>
      <c r="B104" s="5" t="s">
        <v>189</v>
      </c>
      <c r="C104" s="7"/>
      <c r="D104" s="7" t="s">
        <v>40</v>
      </c>
      <c r="E104" s="7"/>
      <c r="F104" s="7"/>
      <c r="G104" s="7"/>
      <c r="H104" s="7"/>
      <c r="I104" s="7"/>
      <c r="J104" s="8">
        <f t="shared" ref="J104:AG104" si="152">J50+J60+J69+J79+J90</f>
        <v>0</v>
      </c>
      <c r="K104" s="8">
        <f t="shared" ca="1" si="152"/>
        <v>214</v>
      </c>
      <c r="L104" s="8">
        <f t="shared" ca="1" si="152"/>
        <v>213.5</v>
      </c>
      <c r="M104" s="8">
        <f t="shared" ca="1" si="152"/>
        <v>213.00125</v>
      </c>
      <c r="N104" s="8">
        <f t="shared" ca="1" si="152"/>
        <v>212.50374687499999</v>
      </c>
      <c r="O104" s="8">
        <f t="shared" ca="1" si="152"/>
        <v>212.0074875078125</v>
      </c>
      <c r="P104" s="8">
        <f t="shared" ca="1" si="152"/>
        <v>211.51246878904297</v>
      </c>
      <c r="Q104" s="8">
        <f t="shared" ca="1" si="152"/>
        <v>211.01868761707036</v>
      </c>
      <c r="R104" s="8">
        <f t="shared" ca="1" si="152"/>
        <v>210.52614089802768</v>
      </c>
      <c r="S104" s="8">
        <f t="shared" ca="1" si="152"/>
        <v>210.03482554578261</v>
      </c>
      <c r="T104" s="8">
        <f t="shared" ca="1" si="152"/>
        <v>209.54473848191816</v>
      </c>
      <c r="U104" s="8">
        <f t="shared" ca="1" si="152"/>
        <v>209.05587663571336</v>
      </c>
      <c r="V104" s="8">
        <f t="shared" ca="1" si="152"/>
        <v>208.56823694412407</v>
      </c>
      <c r="W104" s="8">
        <f t="shared" ca="1" si="152"/>
        <v>208.08181635176376</v>
      </c>
      <c r="X104" s="8">
        <f t="shared" ca="1" si="152"/>
        <v>207.59661181088435</v>
      </c>
      <c r="Y104" s="8">
        <f t="shared" ca="1" si="152"/>
        <v>178.07312850972451</v>
      </c>
      <c r="Z104" s="8">
        <f t="shared" ca="1" si="152"/>
        <v>177.66294568845021</v>
      </c>
      <c r="AA104" s="8">
        <f t="shared" ca="1" si="152"/>
        <v>177.25378832422908</v>
      </c>
      <c r="AB104" s="8">
        <f t="shared" ca="1" si="152"/>
        <v>315.57637392901319</v>
      </c>
      <c r="AC104" s="8">
        <f t="shared" ca="1" si="152"/>
        <v>314.78743299419068</v>
      </c>
      <c r="AD104" s="8">
        <f t="shared" ca="1" si="152"/>
        <v>314.00046441170514</v>
      </c>
      <c r="AE104" s="8">
        <f t="shared" ca="1" si="152"/>
        <v>313.2154632506759</v>
      </c>
      <c r="AF104" s="8">
        <f t="shared" ca="1" si="152"/>
        <v>312.43242459254918</v>
      </c>
      <c r="AG104" s="8">
        <f t="shared" ca="1" si="152"/>
        <v>311.65134353106782</v>
      </c>
      <c r="AH104" s="7"/>
      <c r="AI104" s="8">
        <f t="shared" ref="AI104:AJ104" si="153">AI50+AI60+AI69+AI79+AI90+AI51+AI61</f>
        <v>214</v>
      </c>
      <c r="AJ104" s="8">
        <f t="shared" ca="1" si="153"/>
        <v>212.0074875078125</v>
      </c>
      <c r="AK104" s="8">
        <f t="shared" ref="AK104:AS104" ca="1" si="154">AK50+AK60+AK69+AK79+AK90</f>
        <v>177.25378832422908</v>
      </c>
      <c r="AL104" s="8">
        <f t="shared" ca="1" si="154"/>
        <v>212.05306655081321</v>
      </c>
      <c r="AM104" s="8">
        <f t="shared" ca="1" si="154"/>
        <v>261.30239125723961</v>
      </c>
      <c r="AN104" s="8">
        <f t="shared" ca="1" si="154"/>
        <v>316.52607283642698</v>
      </c>
      <c r="AO104" s="8">
        <f t="shared" ca="1" si="154"/>
        <v>320</v>
      </c>
      <c r="AP104" s="8">
        <f t="shared" ca="1" si="154"/>
        <v>320</v>
      </c>
      <c r="AQ104" s="8">
        <f t="shared" ca="1" si="154"/>
        <v>320</v>
      </c>
      <c r="AR104" s="8">
        <f t="shared" ca="1" si="154"/>
        <v>320</v>
      </c>
      <c r="AS104" s="8">
        <f t="shared" ca="1" si="154"/>
        <v>320</v>
      </c>
      <c r="AT104" s="8">
        <f ca="1">AT50+AT60+AT69+AT79+AT90</f>
        <v>320</v>
      </c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</row>
    <row r="105" spans="1:66" ht="13.5" customHeight="1" x14ac:dyDescent="0.3">
      <c r="A105" s="7"/>
      <c r="B105" s="5" t="s">
        <v>190</v>
      </c>
      <c r="C105" s="7"/>
      <c r="D105" s="7" t="s">
        <v>40</v>
      </c>
      <c r="E105" s="7"/>
      <c r="F105" s="7"/>
      <c r="G105" s="7"/>
      <c r="H105" s="7"/>
      <c r="I105" s="7"/>
      <c r="J105" s="8">
        <f t="shared" ref="J105:AG105" ca="1" si="155">J57+J66+J76+J87+J96</f>
        <v>214</v>
      </c>
      <c r="K105" s="8">
        <f t="shared" ca="1" si="155"/>
        <v>213.5</v>
      </c>
      <c r="L105" s="8">
        <f t="shared" ca="1" si="155"/>
        <v>213.00125</v>
      </c>
      <c r="M105" s="8">
        <f t="shared" ca="1" si="155"/>
        <v>212.50374687499999</v>
      </c>
      <c r="N105" s="8">
        <f t="shared" ca="1" si="155"/>
        <v>212.0074875078125</v>
      </c>
      <c r="O105" s="8">
        <f t="shared" ca="1" si="155"/>
        <v>211.51246878904297</v>
      </c>
      <c r="P105" s="8">
        <f t="shared" ca="1" si="155"/>
        <v>211.01868761707036</v>
      </c>
      <c r="Q105" s="8">
        <f t="shared" ca="1" si="155"/>
        <v>210.52614089802768</v>
      </c>
      <c r="R105" s="8">
        <f t="shared" ca="1" si="155"/>
        <v>210.03482554578261</v>
      </c>
      <c r="S105" s="8">
        <f t="shared" ca="1" si="155"/>
        <v>209.54473848191816</v>
      </c>
      <c r="T105" s="8">
        <f t="shared" ca="1" si="155"/>
        <v>209.05587663571336</v>
      </c>
      <c r="U105" s="8">
        <f t="shared" ca="1" si="155"/>
        <v>208.56823694412407</v>
      </c>
      <c r="V105" s="8">
        <f t="shared" ca="1" si="155"/>
        <v>208.08181635176376</v>
      </c>
      <c r="W105" s="8">
        <f t="shared" ca="1" si="155"/>
        <v>207.59661181088435</v>
      </c>
      <c r="X105" s="8">
        <f t="shared" ca="1" si="155"/>
        <v>178.07312850972451</v>
      </c>
      <c r="Y105" s="8">
        <f t="shared" ca="1" si="155"/>
        <v>177.66294568845021</v>
      </c>
      <c r="Z105" s="8">
        <f t="shared" ca="1" si="155"/>
        <v>177.25378832422908</v>
      </c>
      <c r="AA105" s="8">
        <f t="shared" ca="1" si="155"/>
        <v>315.57637392901319</v>
      </c>
      <c r="AB105" s="8">
        <f t="shared" ca="1" si="155"/>
        <v>314.78743299419068</v>
      </c>
      <c r="AC105" s="8">
        <f t="shared" ca="1" si="155"/>
        <v>314.00046441170514</v>
      </c>
      <c r="AD105" s="8">
        <f t="shared" ca="1" si="155"/>
        <v>313.2154632506759</v>
      </c>
      <c r="AE105" s="8">
        <f t="shared" ca="1" si="155"/>
        <v>312.43242459254918</v>
      </c>
      <c r="AF105" s="8">
        <f t="shared" ca="1" si="155"/>
        <v>311.65134353106782</v>
      </c>
      <c r="AG105" s="8">
        <f t="shared" ca="1" si="155"/>
        <v>310.87221517224015</v>
      </c>
      <c r="AH105" s="7"/>
      <c r="AI105" s="8">
        <f t="shared" ref="AI105:AS105" ca="1" si="156">AI57+AI66+AI76+AI87+AI96</f>
        <v>212.0074875078125</v>
      </c>
      <c r="AJ105" s="8">
        <f t="shared" ca="1" si="156"/>
        <v>177.25378832422908</v>
      </c>
      <c r="AK105" s="8">
        <f t="shared" ca="1" si="156"/>
        <v>212.05306655081321</v>
      </c>
      <c r="AL105" s="8">
        <f t="shared" ca="1" si="156"/>
        <v>261.30239125723961</v>
      </c>
      <c r="AM105" s="8">
        <f t="shared" ca="1" si="156"/>
        <v>316.52607283642698</v>
      </c>
      <c r="AN105" s="8">
        <f t="shared" ca="1" si="156"/>
        <v>320</v>
      </c>
      <c r="AO105" s="8">
        <f t="shared" ca="1" si="156"/>
        <v>320</v>
      </c>
      <c r="AP105" s="8">
        <f t="shared" ca="1" si="156"/>
        <v>320</v>
      </c>
      <c r="AQ105" s="8">
        <f t="shared" ca="1" si="156"/>
        <v>320</v>
      </c>
      <c r="AR105" s="8">
        <f t="shared" ca="1" si="156"/>
        <v>320</v>
      </c>
      <c r="AS105" s="8">
        <f t="shared" ca="1" si="156"/>
        <v>320</v>
      </c>
      <c r="AT105" s="8">
        <f ca="1">AT57+AT66+AT76+AT87+AT96</f>
        <v>320</v>
      </c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</row>
    <row r="106" spans="1:66" ht="13.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100">
        <f t="shared" ref="AJ106:AT106" ca="1" si="157">AJ105/AI105-1</f>
        <v>-0.16392675368271015</v>
      </c>
      <c r="AK106" s="100">
        <f t="shared" ca="1" si="157"/>
        <v>0.19632459512193901</v>
      </c>
      <c r="AL106" s="100">
        <f t="shared" ca="1" si="157"/>
        <v>0.23225000000000007</v>
      </c>
      <c r="AM106" s="100">
        <f t="shared" ca="1" si="157"/>
        <v>0.21134013092449022</v>
      </c>
      <c r="AN106" s="100">
        <f t="shared" ca="1" si="157"/>
        <v>1.0975169067251711E-2</v>
      </c>
      <c r="AO106" s="100">
        <f t="shared" ca="1" si="157"/>
        <v>0</v>
      </c>
      <c r="AP106" s="100">
        <f t="shared" ca="1" si="157"/>
        <v>0</v>
      </c>
      <c r="AQ106" s="100">
        <f t="shared" ca="1" si="157"/>
        <v>0</v>
      </c>
      <c r="AR106" s="100">
        <f t="shared" ca="1" si="157"/>
        <v>0</v>
      </c>
      <c r="AS106" s="100">
        <f t="shared" ca="1" si="157"/>
        <v>0</v>
      </c>
      <c r="AT106" s="100">
        <f t="shared" ca="1" si="157"/>
        <v>0</v>
      </c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</row>
    <row r="107" spans="1:66" ht="13.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100"/>
      <c r="AK107" s="100"/>
      <c r="AL107" s="100"/>
      <c r="AM107" s="100"/>
      <c r="AN107" s="100"/>
      <c r="AO107" s="100"/>
      <c r="AP107" s="100"/>
      <c r="AQ107" s="100"/>
      <c r="AR107" s="100"/>
      <c r="AS107" s="100"/>
      <c r="AT107" s="100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</row>
    <row r="108" spans="1:66" ht="13.5" customHeight="1" x14ac:dyDescent="0.3">
      <c r="A108" s="7"/>
      <c r="B108" s="14" t="s">
        <v>191</v>
      </c>
      <c r="C108" s="7"/>
      <c r="D108" s="5" t="s">
        <v>4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12">
        <f t="shared" ref="AI108:AS108" ca="1" si="158">SUM(AI109:AI112)</f>
        <v>236948.0865084375</v>
      </c>
      <c r="AJ108" s="12">
        <f t="shared" ca="1" si="158"/>
        <v>220352.57098613499</v>
      </c>
      <c r="AK108" s="12">
        <f t="shared" ca="1" si="158"/>
        <v>285911.07181282237</v>
      </c>
      <c r="AL108" s="12">
        <f t="shared" ca="1" si="158"/>
        <v>385783.74047427863</v>
      </c>
      <c r="AM108" s="12">
        <f t="shared" ca="1" si="158"/>
        <v>509605.60173818888</v>
      </c>
      <c r="AN108" s="12">
        <f t="shared" ca="1" si="158"/>
        <v>561944.64188362507</v>
      </c>
      <c r="AO108" s="12">
        <f t="shared" ca="1" si="158"/>
        <v>606900.21323431516</v>
      </c>
      <c r="AP108" s="12">
        <f t="shared" ca="1" si="158"/>
        <v>649383.22816071718</v>
      </c>
      <c r="AQ108" s="12">
        <f t="shared" ca="1" si="158"/>
        <v>691593.13799116388</v>
      </c>
      <c r="AR108" s="12">
        <f t="shared" ca="1" si="158"/>
        <v>733088.72627063352</v>
      </c>
      <c r="AS108" s="12">
        <f t="shared" ca="1" si="158"/>
        <v>769743.16258416534</v>
      </c>
      <c r="AT108" s="12">
        <f t="shared" ref="AT108" ca="1" si="159">SUM(AT109:AT112)</f>
        <v>808230.3207133736</v>
      </c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</row>
    <row r="109" spans="1:66" ht="13.5" customHeight="1" x14ac:dyDescent="0.3">
      <c r="A109" s="7"/>
      <c r="B109" s="7"/>
      <c r="C109" s="7" t="s">
        <v>56</v>
      </c>
      <c r="D109" s="7" t="s">
        <v>4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8">
        <f>AI115*AI57/1000</f>
        <v>213848.0865084375</v>
      </c>
      <c r="AJ109" s="8">
        <f>AJ115*AJ57/1000</f>
        <v>194827.07098613499</v>
      </c>
      <c r="AK109" s="8">
        <f t="shared" ref="AK109:AS109" ca="1" si="160">AK115*AK57/1000</f>
        <v>264083.2240449313</v>
      </c>
      <c r="AL109" s="8">
        <f t="shared" ca="1" si="160"/>
        <v>356331.12534815643</v>
      </c>
      <c r="AM109" s="8">
        <f t="shared" ca="1" si="160"/>
        <v>470046.24810000003</v>
      </c>
      <c r="AN109" s="8">
        <f t="shared" ca="1" si="160"/>
        <v>510000.17918850004</v>
      </c>
      <c r="AO109" s="8">
        <f t="shared" ca="1" si="160"/>
        <v>550800.19352358009</v>
      </c>
      <c r="AP109" s="8">
        <f t="shared" ca="1" si="160"/>
        <v>589356.20707023074</v>
      </c>
      <c r="AQ109" s="8">
        <f t="shared" ca="1" si="160"/>
        <v>627664.36052979575</v>
      </c>
      <c r="AR109" s="8">
        <f t="shared" ca="1" si="160"/>
        <v>665324.22216158337</v>
      </c>
      <c r="AS109" s="8">
        <f t="shared" ca="1" si="160"/>
        <v>698590.43326966267</v>
      </c>
      <c r="AT109" s="8">
        <f ca="1">AT115*AT57/1000</f>
        <v>733519.95493314578</v>
      </c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</row>
    <row r="110" spans="1:66" ht="13.5" customHeight="1" x14ac:dyDescent="0.3">
      <c r="A110" s="7"/>
      <c r="B110" s="7"/>
      <c r="C110" s="7" t="s">
        <v>57</v>
      </c>
      <c r="D110" s="7" t="s">
        <v>4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8">
        <f t="shared" ref="AI110:AS110" si="161">AI116*AI66/1000</f>
        <v>23100</v>
      </c>
      <c r="AJ110" s="8">
        <f t="shared" si="161"/>
        <v>25525.5</v>
      </c>
      <c r="AK110" s="8">
        <f t="shared" si="161"/>
        <v>21827.84776789106</v>
      </c>
      <c r="AL110" s="8">
        <f t="shared" ca="1" si="161"/>
        <v>29452.615126122211</v>
      </c>
      <c r="AM110" s="8">
        <f t="shared" ca="1" si="161"/>
        <v>39559.35363818887</v>
      </c>
      <c r="AN110" s="8">
        <f t="shared" ca="1" si="161"/>
        <v>51944.462695125017</v>
      </c>
      <c r="AO110" s="8">
        <f t="shared" ca="1" si="161"/>
        <v>56100.019710735032</v>
      </c>
      <c r="AP110" s="8">
        <f t="shared" ca="1" si="161"/>
        <v>60027.02109048648</v>
      </c>
      <c r="AQ110" s="8">
        <f t="shared" ca="1" si="161"/>
        <v>63928.777461368089</v>
      </c>
      <c r="AR110" s="8">
        <f t="shared" ca="1" si="161"/>
        <v>67764.504109050191</v>
      </c>
      <c r="AS110" s="8">
        <f t="shared" ca="1" si="161"/>
        <v>71152.729314502707</v>
      </c>
      <c r="AT110" s="8">
        <f ca="1">AT116*AT66/1000</f>
        <v>74710.365780227832</v>
      </c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</row>
    <row r="111" spans="1:66" ht="13.5" customHeight="1" x14ac:dyDescent="0.3">
      <c r="A111" s="7"/>
      <c r="B111" s="7"/>
      <c r="C111" s="7" t="s">
        <v>58</v>
      </c>
      <c r="D111" s="7" t="s">
        <v>4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8">
        <f t="shared" ref="AI111:AS111" ca="1" si="162">AI87*AI117/1000</f>
        <v>0</v>
      </c>
      <c r="AJ111" s="8">
        <f t="shared" ca="1" si="162"/>
        <v>0</v>
      </c>
      <c r="AK111" s="8">
        <f t="shared" ca="1" si="162"/>
        <v>0</v>
      </c>
      <c r="AL111" s="8">
        <f t="shared" ca="1" si="162"/>
        <v>0</v>
      </c>
      <c r="AM111" s="8">
        <f t="shared" ca="1" si="162"/>
        <v>0</v>
      </c>
      <c r="AN111" s="8">
        <f t="shared" ca="1" si="162"/>
        <v>0</v>
      </c>
      <c r="AO111" s="8">
        <f t="shared" ca="1" si="162"/>
        <v>0</v>
      </c>
      <c r="AP111" s="8">
        <f t="shared" ca="1" si="162"/>
        <v>0</v>
      </c>
      <c r="AQ111" s="8">
        <f t="shared" ca="1" si="162"/>
        <v>0</v>
      </c>
      <c r="AR111" s="8">
        <f t="shared" ca="1" si="162"/>
        <v>0</v>
      </c>
      <c r="AS111" s="8">
        <f t="shared" ca="1" si="162"/>
        <v>0</v>
      </c>
      <c r="AT111" s="8">
        <f ca="1">AT87*AT117/1000</f>
        <v>0</v>
      </c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</row>
    <row r="112" spans="1:66" ht="13.5" customHeight="1" x14ac:dyDescent="0.3">
      <c r="A112" s="7"/>
      <c r="B112" s="7"/>
      <c r="C112" s="7" t="s">
        <v>59</v>
      </c>
      <c r="D112" s="7" t="s">
        <v>4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8">
        <f t="shared" ref="AI112:AS112" si="163">ROUND(AI96*AI118/1000,-1)</f>
        <v>0</v>
      </c>
      <c r="AJ112" s="8">
        <f t="shared" si="163"/>
        <v>0</v>
      </c>
      <c r="AK112" s="8">
        <f t="shared" si="163"/>
        <v>0</v>
      </c>
      <c r="AL112" s="8">
        <f t="shared" ca="1" si="163"/>
        <v>0</v>
      </c>
      <c r="AM112" s="8">
        <f t="shared" ca="1" si="163"/>
        <v>0</v>
      </c>
      <c r="AN112" s="8">
        <f t="shared" ca="1" si="163"/>
        <v>0</v>
      </c>
      <c r="AO112" s="8">
        <f t="shared" ca="1" si="163"/>
        <v>0</v>
      </c>
      <c r="AP112" s="8">
        <f t="shared" ca="1" si="163"/>
        <v>0</v>
      </c>
      <c r="AQ112" s="8">
        <f t="shared" ca="1" si="163"/>
        <v>0</v>
      </c>
      <c r="AR112" s="8">
        <f t="shared" ca="1" si="163"/>
        <v>0</v>
      </c>
      <c r="AS112" s="8">
        <f t="shared" ca="1" si="163"/>
        <v>0</v>
      </c>
      <c r="AT112" s="8">
        <f ca="1">ROUND(AT96*AT118/1000,-1)</f>
        <v>0</v>
      </c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</row>
    <row r="113" spans="1:66" ht="13.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101"/>
      <c r="AK113" s="101"/>
      <c r="AL113" s="100"/>
      <c r="AM113" s="100"/>
      <c r="AN113" s="100"/>
      <c r="AO113" s="100"/>
      <c r="AP113" s="100"/>
      <c r="AQ113" s="100"/>
      <c r="AR113" s="100"/>
      <c r="AS113" s="100"/>
      <c r="AT113" s="100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</row>
    <row r="114" spans="1:66" ht="13.5" customHeight="1" x14ac:dyDescent="0.3">
      <c r="A114" s="7"/>
      <c r="B114" s="102" t="s">
        <v>192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100"/>
      <c r="AK114" s="100"/>
      <c r="AL114" s="100"/>
      <c r="AM114" s="100"/>
      <c r="AN114" s="100"/>
      <c r="AO114" s="100"/>
      <c r="AP114" s="100"/>
      <c r="AQ114" s="100"/>
      <c r="AR114" s="100"/>
      <c r="AS114" s="100"/>
      <c r="AT114" s="100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</row>
    <row r="115" spans="1:66" ht="13.5" customHeight="1" x14ac:dyDescent="0.3">
      <c r="A115" s="7"/>
      <c r="B115" s="7"/>
      <c r="C115" s="7" t="s">
        <v>56</v>
      </c>
      <c r="D115" s="7" t="s">
        <v>193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8">
        <f t="shared" ref="AI115:AS115" si="164">$E$175*AI182</f>
        <v>1080000</v>
      </c>
      <c r="AJ115" s="8">
        <f t="shared" si="164"/>
        <v>1193400</v>
      </c>
      <c r="AK115" s="8">
        <f t="shared" si="164"/>
        <v>1312740</v>
      </c>
      <c r="AL115" s="8">
        <f t="shared" si="164"/>
        <v>1437450.3</v>
      </c>
      <c r="AM115" s="8">
        <f t="shared" si="164"/>
        <v>1566820.827</v>
      </c>
      <c r="AN115" s="8">
        <f t="shared" si="164"/>
        <v>1700000.5972950002</v>
      </c>
      <c r="AO115" s="8">
        <f t="shared" si="164"/>
        <v>1836000.6450786004</v>
      </c>
      <c r="AP115" s="8">
        <f t="shared" si="164"/>
        <v>1964520.6902341025</v>
      </c>
      <c r="AQ115" s="8">
        <f t="shared" si="164"/>
        <v>2092214.5350993192</v>
      </c>
      <c r="AR115" s="8">
        <f t="shared" si="164"/>
        <v>2217747.4072052781</v>
      </c>
      <c r="AS115" s="8">
        <f t="shared" si="164"/>
        <v>2328634.7775655421</v>
      </c>
      <c r="AT115" s="8">
        <f>$E$175*AT182</f>
        <v>2445066.5164438193</v>
      </c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</row>
    <row r="116" spans="1:66" ht="13.5" customHeight="1" x14ac:dyDescent="0.3">
      <c r="A116" s="7"/>
      <c r="B116" s="7"/>
      <c r="C116" s="7" t="s">
        <v>57</v>
      </c>
      <c r="D116" s="7" t="s">
        <v>193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8">
        <f t="shared" ref="AI116:AS116" si="165">$E$176*AI183</f>
        <v>1650000</v>
      </c>
      <c r="AJ116" s="8">
        <f t="shared" si="165"/>
        <v>1823250</v>
      </c>
      <c r="AK116" s="8">
        <f t="shared" si="165"/>
        <v>2005575.0000000002</v>
      </c>
      <c r="AL116" s="8">
        <f t="shared" si="165"/>
        <v>2196104.625</v>
      </c>
      <c r="AM116" s="8">
        <f t="shared" si="165"/>
        <v>2393754.0412500002</v>
      </c>
      <c r="AN116" s="8">
        <f t="shared" si="165"/>
        <v>2597223.1347562503</v>
      </c>
      <c r="AO116" s="8">
        <f t="shared" si="165"/>
        <v>2805000.9855367504</v>
      </c>
      <c r="AP116" s="8">
        <f t="shared" si="165"/>
        <v>3001351.054524323</v>
      </c>
      <c r="AQ116" s="8">
        <f t="shared" si="165"/>
        <v>3196438.8730684035</v>
      </c>
      <c r="AR116" s="8">
        <f t="shared" si="165"/>
        <v>3388225.2054525078</v>
      </c>
      <c r="AS116" s="8">
        <f t="shared" si="165"/>
        <v>3557636.4657251337</v>
      </c>
      <c r="AT116" s="8">
        <f>$E$176*AT183</f>
        <v>3735518.2890113899</v>
      </c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</row>
    <row r="117" spans="1:66" ht="13.5" customHeight="1" x14ac:dyDescent="0.3">
      <c r="A117" s="7"/>
      <c r="B117" s="7"/>
      <c r="C117" s="7" t="s">
        <v>58</v>
      </c>
      <c r="D117" s="7" t="s">
        <v>193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8">
        <f t="shared" ref="AI117:AS117" si="166">$E$174*AI181</f>
        <v>608080</v>
      </c>
      <c r="AJ117" s="8">
        <f t="shared" si="166"/>
        <v>671928.39999999991</v>
      </c>
      <c r="AK117" s="8">
        <f t="shared" si="166"/>
        <v>739121.24</v>
      </c>
      <c r="AL117" s="8">
        <f t="shared" si="166"/>
        <v>809337.75780000002</v>
      </c>
      <c r="AM117" s="8">
        <f t="shared" si="166"/>
        <v>882178.15600200009</v>
      </c>
      <c r="AN117" s="8">
        <f t="shared" si="166"/>
        <v>957163.29926216998</v>
      </c>
      <c r="AO117" s="8">
        <f t="shared" si="166"/>
        <v>1033736.3632031437</v>
      </c>
      <c r="AP117" s="8">
        <f t="shared" si="166"/>
        <v>1106097.9086273639</v>
      </c>
      <c r="AQ117" s="8">
        <f t="shared" si="166"/>
        <v>1177994.2726881423</v>
      </c>
      <c r="AR117" s="8">
        <f t="shared" si="166"/>
        <v>1248673.9290494309</v>
      </c>
      <c r="AS117" s="8">
        <f t="shared" si="166"/>
        <v>1311107.6255019025</v>
      </c>
      <c r="AT117" s="8">
        <f>$E$174*AT181</f>
        <v>1376663.0067769976</v>
      </c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</row>
    <row r="118" spans="1:66" ht="13.5" customHeight="1" x14ac:dyDescent="0.3">
      <c r="A118" s="7"/>
      <c r="B118" s="7"/>
      <c r="C118" s="7" t="s">
        <v>59</v>
      </c>
      <c r="D118" s="7" t="s">
        <v>193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8">
        <f t="shared" ref="AI118:AS118" si="167">$E$177*AI184</f>
        <v>728200</v>
      </c>
      <c r="AJ118" s="8">
        <f t="shared" si="167"/>
        <v>804661</v>
      </c>
      <c r="AK118" s="8">
        <f t="shared" si="167"/>
        <v>885127.10000000009</v>
      </c>
      <c r="AL118" s="8">
        <f t="shared" si="167"/>
        <v>969214.17450000008</v>
      </c>
      <c r="AM118" s="8">
        <f t="shared" si="167"/>
        <v>1056443.4502050001</v>
      </c>
      <c r="AN118" s="8">
        <f t="shared" si="167"/>
        <v>1146241.1434724252</v>
      </c>
      <c r="AO118" s="8">
        <f t="shared" si="167"/>
        <v>1237940.4349502192</v>
      </c>
      <c r="AP118" s="8">
        <f t="shared" si="167"/>
        <v>1324596.2653967347</v>
      </c>
      <c r="AQ118" s="8">
        <f t="shared" si="167"/>
        <v>1410695.0226475222</v>
      </c>
      <c r="AR118" s="8">
        <f t="shared" si="167"/>
        <v>1495336.7240063734</v>
      </c>
      <c r="AS118" s="8">
        <f t="shared" si="167"/>
        <v>1570103.5602066922</v>
      </c>
      <c r="AT118" s="8">
        <f>$E$177*AT184</f>
        <v>1648608.7382170269</v>
      </c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</row>
    <row r="119" spans="1:66" ht="13.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100"/>
      <c r="AK119" s="100"/>
      <c r="AL119" s="100"/>
      <c r="AM119" s="100"/>
      <c r="AN119" s="100"/>
      <c r="AO119" s="100"/>
      <c r="AP119" s="100"/>
      <c r="AQ119" s="100"/>
      <c r="AR119" s="100"/>
      <c r="AS119" s="100"/>
      <c r="AT119" s="100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</row>
    <row r="120" spans="1:66" ht="13.5" customHeight="1" x14ac:dyDescent="0.3">
      <c r="A120" s="7"/>
      <c r="B120" s="5" t="s">
        <v>194</v>
      </c>
      <c r="C120" s="7"/>
      <c r="D120" s="5" t="s">
        <v>4</v>
      </c>
      <c r="E120" s="7"/>
      <c r="F120" s="7"/>
      <c r="G120" s="7"/>
      <c r="H120" s="7"/>
      <c r="I120" s="7"/>
      <c r="J120" s="67">
        <f>SUM(J121:J124)</f>
        <v>119100</v>
      </c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12">
        <f t="shared" ref="AI120:AS120" ca="1" si="168">SUM(AI121:AI124)</f>
        <v>117848.0865084375</v>
      </c>
      <c r="AJ120" s="12">
        <f ca="1">SUM(AJ121:AJ124)</f>
        <v>-16595.515522302507</v>
      </c>
      <c r="AK120" s="12">
        <f t="shared" ca="1" si="168"/>
        <v>65558.500826687363</v>
      </c>
      <c r="AL120" s="12">
        <f t="shared" ca="1" si="168"/>
        <v>99872.668661456293</v>
      </c>
      <c r="AM120" s="12">
        <f t="shared" ca="1" si="168"/>
        <v>123821.86126391025</v>
      </c>
      <c r="AN120" s="12">
        <f t="shared" ca="1" si="168"/>
        <v>52339.040145436164</v>
      </c>
      <c r="AO120" s="12">
        <f t="shared" ca="1" si="168"/>
        <v>44955.571350690065</v>
      </c>
      <c r="AP120" s="12">
        <f t="shared" ca="1" si="168"/>
        <v>42483.014926402095</v>
      </c>
      <c r="AQ120" s="12">
        <f t="shared" ca="1" si="168"/>
        <v>42209.909830446624</v>
      </c>
      <c r="AR120" s="12">
        <f t="shared" ca="1" si="168"/>
        <v>41495.588279469717</v>
      </c>
      <c r="AS120" s="12">
        <f t="shared" ca="1" si="168"/>
        <v>36654.436313531813</v>
      </c>
      <c r="AT120" s="12">
        <f t="shared" ref="AT120" ca="1" si="169">SUM(AT121:AT124)</f>
        <v>38487.158129208241</v>
      </c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</row>
    <row r="121" spans="1:66" ht="13.5" customHeight="1" x14ac:dyDescent="0.3">
      <c r="A121" s="7"/>
      <c r="B121" s="7"/>
      <c r="C121" s="7" t="s">
        <v>56</v>
      </c>
      <c r="D121" s="7" t="s">
        <v>4</v>
      </c>
      <c r="E121" s="7"/>
      <c r="F121" s="7"/>
      <c r="G121" s="7"/>
      <c r="H121" s="7"/>
      <c r="I121" s="7"/>
      <c r="J121" s="66">
        <f>F22</f>
        <v>110000</v>
      </c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8">
        <f t="shared" ref="AI121:AI124" si="170">AI109-J121</f>
        <v>103848.0865084375</v>
      </c>
      <c r="AJ121" s="8">
        <f>AJ109-AI109</f>
        <v>-19021.015522302507</v>
      </c>
      <c r="AK121" s="8">
        <f t="shared" ref="AK121:AT121" ca="1" si="171">AK109-AJ109</f>
        <v>69256.153058796306</v>
      </c>
      <c r="AL121" s="8">
        <f t="shared" ca="1" si="171"/>
        <v>92247.901303225139</v>
      </c>
      <c r="AM121" s="8">
        <f t="shared" ca="1" si="171"/>
        <v>113715.12275184359</v>
      </c>
      <c r="AN121" s="8">
        <f t="shared" ca="1" si="171"/>
        <v>39953.931088500016</v>
      </c>
      <c r="AO121" s="8">
        <f t="shared" ca="1" si="171"/>
        <v>40800.01433508005</v>
      </c>
      <c r="AP121" s="8">
        <f t="shared" ca="1" si="171"/>
        <v>38556.013546650647</v>
      </c>
      <c r="AQ121" s="8">
        <f t="shared" ca="1" si="171"/>
        <v>38308.153459565016</v>
      </c>
      <c r="AR121" s="8">
        <f t="shared" ca="1" si="171"/>
        <v>37659.861631787615</v>
      </c>
      <c r="AS121" s="8">
        <f t="shared" ca="1" si="171"/>
        <v>33266.211108079297</v>
      </c>
      <c r="AT121" s="8">
        <f t="shared" ca="1" si="171"/>
        <v>34929.521663483116</v>
      </c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</row>
    <row r="122" spans="1:66" ht="13.5" customHeight="1" x14ac:dyDescent="0.3">
      <c r="A122" s="7"/>
      <c r="B122" s="7"/>
      <c r="C122" s="7" t="s">
        <v>57</v>
      </c>
      <c r="D122" s="7" t="s">
        <v>4</v>
      </c>
      <c r="E122" s="7"/>
      <c r="F122" s="7"/>
      <c r="G122" s="7"/>
      <c r="H122" s="7"/>
      <c r="I122" s="7"/>
      <c r="J122" s="66">
        <f>F23</f>
        <v>9100</v>
      </c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8">
        <f t="shared" si="170"/>
        <v>14000</v>
      </c>
      <c r="AJ122" s="8">
        <f t="shared" ref="AJ122:AT122" si="172">AJ110-AI110</f>
        <v>2425.5</v>
      </c>
      <c r="AK122" s="8">
        <f t="shared" si="172"/>
        <v>-3697.6522321089396</v>
      </c>
      <c r="AL122" s="8">
        <f t="shared" ca="1" si="172"/>
        <v>7624.7673582311509</v>
      </c>
      <c r="AM122" s="8">
        <f t="shared" ca="1" si="172"/>
        <v>10106.738512066659</v>
      </c>
      <c r="AN122" s="8">
        <f t="shared" ca="1" si="172"/>
        <v>12385.109056936148</v>
      </c>
      <c r="AO122" s="8">
        <f t="shared" ca="1" si="172"/>
        <v>4155.5570156100148</v>
      </c>
      <c r="AP122" s="8">
        <f t="shared" ca="1" si="172"/>
        <v>3927.0013797514475</v>
      </c>
      <c r="AQ122" s="8">
        <f t="shared" ca="1" si="172"/>
        <v>3901.7563708816087</v>
      </c>
      <c r="AR122" s="8">
        <f t="shared" ca="1" si="172"/>
        <v>3835.7266476821023</v>
      </c>
      <c r="AS122" s="8">
        <f t="shared" ca="1" si="172"/>
        <v>3388.2252054525161</v>
      </c>
      <c r="AT122" s="8">
        <f t="shared" ca="1" si="172"/>
        <v>3557.6364657251252</v>
      </c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</row>
    <row r="123" spans="1:66" ht="13.5" customHeight="1" x14ac:dyDescent="0.3">
      <c r="A123" s="7"/>
      <c r="B123" s="7"/>
      <c r="C123" s="7" t="s">
        <v>58</v>
      </c>
      <c r="D123" s="7" t="s">
        <v>4</v>
      </c>
      <c r="E123" s="7"/>
      <c r="F123" s="7"/>
      <c r="G123" s="7"/>
      <c r="H123" s="7"/>
      <c r="I123" s="7"/>
      <c r="J123" s="66">
        <v>0</v>
      </c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8">
        <f t="shared" ca="1" si="170"/>
        <v>0</v>
      </c>
      <c r="AJ123" s="8">
        <f t="shared" ref="AJ123:AT123" ca="1" si="173">AJ111-AI111</f>
        <v>0</v>
      </c>
      <c r="AK123" s="8">
        <f t="shared" ca="1" si="173"/>
        <v>0</v>
      </c>
      <c r="AL123" s="8">
        <f t="shared" ca="1" si="173"/>
        <v>0</v>
      </c>
      <c r="AM123" s="8">
        <f t="shared" ca="1" si="173"/>
        <v>0</v>
      </c>
      <c r="AN123" s="8">
        <f t="shared" ca="1" si="173"/>
        <v>0</v>
      </c>
      <c r="AO123" s="8">
        <f t="shared" ca="1" si="173"/>
        <v>0</v>
      </c>
      <c r="AP123" s="8">
        <f t="shared" ca="1" si="173"/>
        <v>0</v>
      </c>
      <c r="AQ123" s="8">
        <f t="shared" ca="1" si="173"/>
        <v>0</v>
      </c>
      <c r="AR123" s="8">
        <f t="shared" ca="1" si="173"/>
        <v>0</v>
      </c>
      <c r="AS123" s="8">
        <f t="shared" ca="1" si="173"/>
        <v>0</v>
      </c>
      <c r="AT123" s="8">
        <f t="shared" ca="1" si="173"/>
        <v>0</v>
      </c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</row>
    <row r="124" spans="1:66" ht="13.5" customHeight="1" x14ac:dyDescent="0.3">
      <c r="A124" s="7"/>
      <c r="B124" s="7"/>
      <c r="C124" s="7" t="s">
        <v>59</v>
      </c>
      <c r="D124" s="7" t="s">
        <v>4</v>
      </c>
      <c r="E124" s="7"/>
      <c r="F124" s="7"/>
      <c r="G124" s="7"/>
      <c r="H124" s="7"/>
      <c r="I124" s="7"/>
      <c r="J124" s="66">
        <v>0</v>
      </c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8">
        <f t="shared" si="170"/>
        <v>0</v>
      </c>
      <c r="AJ124" s="8">
        <f t="shared" ref="AJ124:AT124" si="174">AJ112-AI112</f>
        <v>0</v>
      </c>
      <c r="AK124" s="8">
        <f t="shared" si="174"/>
        <v>0</v>
      </c>
      <c r="AL124" s="8">
        <f t="shared" ca="1" si="174"/>
        <v>0</v>
      </c>
      <c r="AM124" s="8">
        <f t="shared" ca="1" si="174"/>
        <v>0</v>
      </c>
      <c r="AN124" s="8">
        <f t="shared" ca="1" si="174"/>
        <v>0</v>
      </c>
      <c r="AO124" s="8">
        <f t="shared" ca="1" si="174"/>
        <v>0</v>
      </c>
      <c r="AP124" s="8">
        <f t="shared" ca="1" si="174"/>
        <v>0</v>
      </c>
      <c r="AQ124" s="8">
        <f t="shared" ca="1" si="174"/>
        <v>0</v>
      </c>
      <c r="AR124" s="8">
        <f t="shared" ca="1" si="174"/>
        <v>0</v>
      </c>
      <c r="AS124" s="8">
        <f t="shared" ca="1" si="174"/>
        <v>0</v>
      </c>
      <c r="AT124" s="8">
        <f t="shared" ca="1" si="174"/>
        <v>0</v>
      </c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</row>
    <row r="125" spans="1:66" ht="13.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66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</row>
    <row r="126" spans="1:66" ht="13.2" customHeight="1" x14ac:dyDescent="0.3">
      <c r="A126" s="7"/>
      <c r="B126" s="5" t="s">
        <v>195</v>
      </c>
      <c r="C126" s="7"/>
      <c r="D126" s="7"/>
      <c r="E126" s="7"/>
      <c r="F126" s="7"/>
      <c r="G126" s="7"/>
      <c r="H126" s="7"/>
      <c r="I126" s="7"/>
      <c r="J126" s="66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12">
        <f t="shared" ref="AI126:AS126" ca="1" si="175">SUM(AI127:AI131)</f>
        <v>236948.0865084375</v>
      </c>
      <c r="AJ126" s="12">
        <f t="shared" ca="1" si="175"/>
        <v>220352.57098613499</v>
      </c>
      <c r="AK126" s="12">
        <f t="shared" ca="1" si="175"/>
        <v>285911.07181282237</v>
      </c>
      <c r="AL126" s="12">
        <f t="shared" ca="1" si="175"/>
        <v>385783.74047427869</v>
      </c>
      <c r="AM126" s="12">
        <f t="shared" ca="1" si="175"/>
        <v>509605.60173818888</v>
      </c>
      <c r="AN126" s="12">
        <f t="shared" ca="1" si="175"/>
        <v>561944.64188362507</v>
      </c>
      <c r="AO126" s="12">
        <f t="shared" ca="1" si="175"/>
        <v>606900.21323431516</v>
      </c>
      <c r="AP126" s="12">
        <f t="shared" ca="1" si="175"/>
        <v>649383.22816071729</v>
      </c>
      <c r="AQ126" s="12">
        <f t="shared" ca="1" si="175"/>
        <v>691593.13799116376</v>
      </c>
      <c r="AR126" s="12">
        <f t="shared" ca="1" si="175"/>
        <v>733088.72627063363</v>
      </c>
      <c r="AS126" s="12">
        <f t="shared" ca="1" si="175"/>
        <v>769743.16258416534</v>
      </c>
      <c r="AT126" s="12">
        <f t="shared" ref="AT126" ca="1" si="176">SUM(AT127:AT131)</f>
        <v>808230.3207133736</v>
      </c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</row>
    <row r="127" spans="1:66" ht="13.5" customHeight="1" x14ac:dyDescent="0.3">
      <c r="A127" s="7"/>
      <c r="B127" s="7"/>
      <c r="C127" s="7" t="s">
        <v>56</v>
      </c>
      <c r="D127" s="7" t="s">
        <v>4</v>
      </c>
      <c r="E127" s="7"/>
      <c r="F127" s="7"/>
      <c r="G127" s="7"/>
      <c r="H127" s="7"/>
      <c r="I127" s="7"/>
      <c r="J127" s="66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8">
        <f>J121</f>
        <v>110000</v>
      </c>
      <c r="AJ127" s="8">
        <f>AI127+AI121</f>
        <v>213848.0865084375</v>
      </c>
      <c r="AK127" s="8">
        <f t="shared" ref="AK127:AT127" si="177">AJ127+AJ121</f>
        <v>194827.07098613499</v>
      </c>
      <c r="AL127" s="8">
        <f t="shared" ca="1" si="177"/>
        <v>264083.2240449313</v>
      </c>
      <c r="AM127" s="8">
        <f t="shared" ca="1" si="177"/>
        <v>356331.12534815643</v>
      </c>
      <c r="AN127" s="8">
        <f t="shared" ca="1" si="177"/>
        <v>470046.24810000003</v>
      </c>
      <c r="AO127" s="8">
        <f t="shared" ca="1" si="177"/>
        <v>510000.17918850004</v>
      </c>
      <c r="AP127" s="8">
        <f t="shared" ca="1" si="177"/>
        <v>550800.19352358009</v>
      </c>
      <c r="AQ127" s="8">
        <f t="shared" ca="1" si="177"/>
        <v>589356.20707023074</v>
      </c>
      <c r="AR127" s="8">
        <f t="shared" ca="1" si="177"/>
        <v>627664.36052979575</v>
      </c>
      <c r="AS127" s="8">
        <f t="shared" ca="1" si="177"/>
        <v>665324.22216158337</v>
      </c>
      <c r="AT127" s="8">
        <f t="shared" ca="1" si="177"/>
        <v>698590.43326966267</v>
      </c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</row>
    <row r="128" spans="1:66" ht="13.5" customHeight="1" x14ac:dyDescent="0.3">
      <c r="A128" s="7"/>
      <c r="B128" s="7"/>
      <c r="C128" s="7" t="s">
        <v>57</v>
      </c>
      <c r="D128" s="7" t="s">
        <v>4</v>
      </c>
      <c r="E128" s="7"/>
      <c r="F128" s="7"/>
      <c r="G128" s="7"/>
      <c r="H128" s="7"/>
      <c r="I128" s="7"/>
      <c r="J128" s="66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8">
        <f t="shared" ref="AI128:AI130" si="178">J122</f>
        <v>9100</v>
      </c>
      <c r="AJ128" s="8">
        <f t="shared" ref="AJ128:AT128" si="179">AI128+AI122</f>
        <v>23100</v>
      </c>
      <c r="AK128" s="8">
        <f t="shared" si="179"/>
        <v>25525.5</v>
      </c>
      <c r="AL128" s="8">
        <f t="shared" si="179"/>
        <v>21827.84776789106</v>
      </c>
      <c r="AM128" s="8">
        <f t="shared" ca="1" si="179"/>
        <v>29452.615126122211</v>
      </c>
      <c r="AN128" s="8">
        <f t="shared" ca="1" si="179"/>
        <v>39559.35363818887</v>
      </c>
      <c r="AO128" s="8">
        <f t="shared" ca="1" si="179"/>
        <v>51944.462695125017</v>
      </c>
      <c r="AP128" s="8">
        <f t="shared" ca="1" si="179"/>
        <v>56100.019710735032</v>
      </c>
      <c r="AQ128" s="8">
        <f t="shared" ca="1" si="179"/>
        <v>60027.02109048648</v>
      </c>
      <c r="AR128" s="8">
        <f t="shared" ca="1" si="179"/>
        <v>63928.777461368089</v>
      </c>
      <c r="AS128" s="8">
        <f t="shared" ca="1" si="179"/>
        <v>67764.504109050191</v>
      </c>
      <c r="AT128" s="8">
        <f t="shared" ca="1" si="179"/>
        <v>71152.729314502707</v>
      </c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</row>
    <row r="129" spans="1:66" ht="13.5" customHeight="1" x14ac:dyDescent="0.3">
      <c r="A129" s="7"/>
      <c r="B129" s="7"/>
      <c r="C129" s="7" t="s">
        <v>58</v>
      </c>
      <c r="D129" s="7" t="s">
        <v>4</v>
      </c>
      <c r="E129" s="7"/>
      <c r="F129" s="7"/>
      <c r="G129" s="7"/>
      <c r="H129" s="7"/>
      <c r="I129" s="7"/>
      <c r="J129" s="66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8">
        <f t="shared" si="178"/>
        <v>0</v>
      </c>
      <c r="AJ129" s="8">
        <f t="shared" ref="AJ129:AT129" ca="1" si="180">AI129+AI123</f>
        <v>0</v>
      </c>
      <c r="AK129" s="8">
        <f t="shared" ca="1" si="180"/>
        <v>0</v>
      </c>
      <c r="AL129" s="8">
        <f t="shared" ca="1" si="180"/>
        <v>0</v>
      </c>
      <c r="AM129" s="8">
        <f t="shared" ca="1" si="180"/>
        <v>0</v>
      </c>
      <c r="AN129" s="8">
        <f t="shared" ca="1" si="180"/>
        <v>0</v>
      </c>
      <c r="AO129" s="8">
        <f t="shared" ca="1" si="180"/>
        <v>0</v>
      </c>
      <c r="AP129" s="8">
        <f t="shared" ca="1" si="180"/>
        <v>0</v>
      </c>
      <c r="AQ129" s="8">
        <f t="shared" ca="1" si="180"/>
        <v>0</v>
      </c>
      <c r="AR129" s="8">
        <f t="shared" ca="1" si="180"/>
        <v>0</v>
      </c>
      <c r="AS129" s="8">
        <f t="shared" ca="1" si="180"/>
        <v>0</v>
      </c>
      <c r="AT129" s="8">
        <f t="shared" ca="1" si="180"/>
        <v>0</v>
      </c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</row>
    <row r="130" spans="1:66" ht="13.5" customHeight="1" x14ac:dyDescent="0.3">
      <c r="A130" s="7"/>
      <c r="B130" s="7"/>
      <c r="C130" s="7" t="s">
        <v>59</v>
      </c>
      <c r="D130" s="7" t="s">
        <v>4</v>
      </c>
      <c r="E130" s="7"/>
      <c r="F130" s="7"/>
      <c r="G130" s="7"/>
      <c r="H130" s="7"/>
      <c r="I130" s="7"/>
      <c r="J130" s="66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8">
        <f t="shared" si="178"/>
        <v>0</v>
      </c>
      <c r="AJ130" s="8">
        <f t="shared" ref="AJ130:AT130" si="181">AI130+AI124</f>
        <v>0</v>
      </c>
      <c r="AK130" s="8">
        <f t="shared" si="181"/>
        <v>0</v>
      </c>
      <c r="AL130" s="8">
        <f t="shared" si="181"/>
        <v>0</v>
      </c>
      <c r="AM130" s="8">
        <f t="shared" ca="1" si="181"/>
        <v>0</v>
      </c>
      <c r="AN130" s="8">
        <f t="shared" ca="1" si="181"/>
        <v>0</v>
      </c>
      <c r="AO130" s="8">
        <f t="shared" ca="1" si="181"/>
        <v>0</v>
      </c>
      <c r="AP130" s="8">
        <f t="shared" ca="1" si="181"/>
        <v>0</v>
      </c>
      <c r="AQ130" s="8">
        <f t="shared" ca="1" si="181"/>
        <v>0</v>
      </c>
      <c r="AR130" s="8">
        <f t="shared" ca="1" si="181"/>
        <v>0</v>
      </c>
      <c r="AS130" s="8">
        <f t="shared" ca="1" si="181"/>
        <v>0</v>
      </c>
      <c r="AT130" s="8">
        <f t="shared" ca="1" si="181"/>
        <v>0</v>
      </c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</row>
    <row r="131" spans="1:66" ht="13.5" customHeight="1" x14ac:dyDescent="0.3">
      <c r="A131" s="7"/>
      <c r="B131" s="7"/>
      <c r="C131" s="7" t="s">
        <v>196</v>
      </c>
      <c r="D131" s="7" t="s">
        <v>4</v>
      </c>
      <c r="E131" s="7"/>
      <c r="F131" s="7"/>
      <c r="G131" s="7"/>
      <c r="H131" s="7"/>
      <c r="I131" s="7"/>
      <c r="J131" s="66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8">
        <f t="shared" ref="AI131:AS131" ca="1" si="182">AI120</f>
        <v>117848.0865084375</v>
      </c>
      <c r="AJ131" s="8">
        <f ca="1">AJ120</f>
        <v>-16595.515522302507</v>
      </c>
      <c r="AK131" s="8">
        <f t="shared" ca="1" si="182"/>
        <v>65558.500826687363</v>
      </c>
      <c r="AL131" s="8">
        <f t="shared" ca="1" si="182"/>
        <v>99872.668661456293</v>
      </c>
      <c r="AM131" s="8">
        <f t="shared" ca="1" si="182"/>
        <v>123821.86126391025</v>
      </c>
      <c r="AN131" s="8">
        <f t="shared" ca="1" si="182"/>
        <v>52339.040145436164</v>
      </c>
      <c r="AO131" s="8">
        <f t="shared" ca="1" si="182"/>
        <v>44955.571350690065</v>
      </c>
      <c r="AP131" s="8">
        <f t="shared" ca="1" si="182"/>
        <v>42483.014926402095</v>
      </c>
      <c r="AQ131" s="8">
        <f t="shared" ca="1" si="182"/>
        <v>42209.909830446624</v>
      </c>
      <c r="AR131" s="8">
        <f t="shared" ca="1" si="182"/>
        <v>41495.588279469717</v>
      </c>
      <c r="AS131" s="8">
        <f t="shared" ca="1" si="182"/>
        <v>36654.436313531813</v>
      </c>
      <c r="AT131" s="8">
        <f t="shared" ref="AT131" ca="1" si="183">AT120</f>
        <v>38487.158129208241</v>
      </c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</row>
    <row r="132" spans="1:66" ht="13.2" customHeight="1" x14ac:dyDescent="0.3">
      <c r="A132" s="10"/>
      <c r="B132" s="10"/>
      <c r="C132" s="5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3"/>
      <c r="AJ132" s="103"/>
      <c r="AK132" s="103"/>
      <c r="AL132" s="103"/>
      <c r="AM132" s="103"/>
      <c r="AN132" s="103"/>
      <c r="AO132" s="103"/>
      <c r="AP132" s="103"/>
      <c r="AQ132" s="103"/>
      <c r="AR132" s="103"/>
      <c r="AS132" s="103"/>
      <c r="AT132" s="103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</row>
    <row r="133" spans="1:66" ht="13.5" hidden="1" customHeight="1" outlineLevel="1" x14ac:dyDescent="0.3">
      <c r="A133" s="345" t="s">
        <v>660</v>
      </c>
      <c r="B133" s="340"/>
      <c r="C133" s="346"/>
      <c r="D133" s="340"/>
      <c r="E133" s="340"/>
      <c r="F133" s="340"/>
      <c r="G133" s="340"/>
      <c r="H133" s="340"/>
      <c r="I133" s="340"/>
      <c r="J133" s="340"/>
      <c r="K133" s="340"/>
      <c r="L133" s="340"/>
      <c r="M133" s="340"/>
      <c r="N133" s="340"/>
      <c r="O133" s="340"/>
      <c r="P133" s="340"/>
      <c r="Q133" s="340"/>
      <c r="R133" s="340"/>
      <c r="S133" s="340"/>
      <c r="T133" s="340"/>
      <c r="U133" s="340"/>
      <c r="V133" s="340"/>
      <c r="W133" s="340"/>
      <c r="X133" s="340"/>
      <c r="Y133" s="340"/>
      <c r="Z133" s="340"/>
      <c r="AA133" s="340"/>
      <c r="AB133" s="340"/>
      <c r="AC133" s="340"/>
      <c r="AD133" s="340"/>
      <c r="AE133" s="340"/>
      <c r="AF133" s="340"/>
      <c r="AG133" s="340"/>
      <c r="AH133" s="340"/>
      <c r="AI133" s="341"/>
      <c r="AJ133" s="341"/>
      <c r="AK133" s="341"/>
      <c r="AL133" s="341"/>
      <c r="AM133" s="341"/>
      <c r="AN133" s="341"/>
      <c r="AO133" s="341"/>
      <c r="AP133" s="341"/>
      <c r="AQ133" s="341"/>
      <c r="AR133" s="341"/>
      <c r="AS133" s="341"/>
      <c r="AT133" s="341"/>
    </row>
    <row r="134" spans="1:66" ht="13.5" hidden="1" customHeight="1" outlineLevel="1" x14ac:dyDescent="0.3">
      <c r="J134" s="79">
        <f>J38</f>
        <v>46265</v>
      </c>
      <c r="K134" s="79">
        <f t="shared" ref="K134:AG134" si="184">K38</f>
        <v>46295</v>
      </c>
      <c r="L134" s="79">
        <f t="shared" si="184"/>
        <v>46325</v>
      </c>
      <c r="M134" s="79">
        <f t="shared" si="184"/>
        <v>46356</v>
      </c>
      <c r="N134" s="79">
        <f t="shared" si="184"/>
        <v>46386</v>
      </c>
      <c r="O134" s="79">
        <f t="shared" si="184"/>
        <v>46417</v>
      </c>
      <c r="P134" s="79">
        <f t="shared" si="184"/>
        <v>46446</v>
      </c>
      <c r="Q134" s="79">
        <f t="shared" si="184"/>
        <v>46474</v>
      </c>
      <c r="R134" s="79">
        <f t="shared" si="184"/>
        <v>46505</v>
      </c>
      <c r="S134" s="79">
        <f t="shared" si="184"/>
        <v>46535</v>
      </c>
      <c r="T134" s="79">
        <f t="shared" si="184"/>
        <v>46566</v>
      </c>
      <c r="U134" s="79">
        <f t="shared" si="184"/>
        <v>46596</v>
      </c>
      <c r="V134" s="79">
        <f t="shared" si="184"/>
        <v>46627</v>
      </c>
      <c r="W134" s="79">
        <f t="shared" si="184"/>
        <v>46658</v>
      </c>
      <c r="X134" s="79">
        <f t="shared" si="184"/>
        <v>46688</v>
      </c>
      <c r="Y134" s="79">
        <f t="shared" si="184"/>
        <v>46719</v>
      </c>
      <c r="Z134" s="79">
        <f t="shared" si="184"/>
        <v>46749</v>
      </c>
      <c r="AA134" s="79">
        <f t="shared" si="184"/>
        <v>46780</v>
      </c>
      <c r="AB134" s="79">
        <f t="shared" si="184"/>
        <v>46811</v>
      </c>
      <c r="AC134" s="79">
        <f t="shared" si="184"/>
        <v>46840</v>
      </c>
      <c r="AD134" s="79">
        <f t="shared" si="184"/>
        <v>46871</v>
      </c>
      <c r="AE134" s="79">
        <f t="shared" si="184"/>
        <v>46901</v>
      </c>
      <c r="AF134" s="79">
        <f t="shared" si="184"/>
        <v>46932</v>
      </c>
      <c r="AG134" s="79">
        <f t="shared" si="184"/>
        <v>46962</v>
      </c>
      <c r="AI134" s="6">
        <f>AI38</f>
        <v>2026</v>
      </c>
      <c r="AJ134" s="6">
        <f t="shared" ref="AJ134:AT134" si="185">AJ38</f>
        <v>2027</v>
      </c>
      <c r="AK134" s="6">
        <f t="shared" si="185"/>
        <v>2028</v>
      </c>
      <c r="AL134" s="6">
        <f t="shared" si="185"/>
        <v>2029</v>
      </c>
      <c r="AM134" s="6">
        <f t="shared" si="185"/>
        <v>2030</v>
      </c>
      <c r="AN134" s="6">
        <f t="shared" si="185"/>
        <v>2031</v>
      </c>
      <c r="AO134" s="6">
        <f t="shared" si="185"/>
        <v>2032</v>
      </c>
      <c r="AP134" s="6">
        <f t="shared" si="185"/>
        <v>2033</v>
      </c>
      <c r="AQ134" s="6">
        <f t="shared" si="185"/>
        <v>2034</v>
      </c>
      <c r="AR134" s="6">
        <f t="shared" si="185"/>
        <v>2035</v>
      </c>
      <c r="AS134" s="6">
        <f t="shared" si="185"/>
        <v>2036</v>
      </c>
      <c r="AT134" s="6">
        <f t="shared" si="185"/>
        <v>2037</v>
      </c>
    </row>
    <row r="135" spans="1:66" ht="13.5" hidden="1" customHeight="1" outlineLevel="1" x14ac:dyDescent="0.3">
      <c r="B135" s="7" t="s">
        <v>713</v>
      </c>
      <c r="D135" s="7" t="s">
        <v>40</v>
      </c>
      <c r="E135" s="347">
        <v>0</v>
      </c>
      <c r="J135" s="8">
        <f t="shared" ref="J135:AG135" si="186">$E$135</f>
        <v>0</v>
      </c>
      <c r="K135" s="8">
        <f t="shared" si="186"/>
        <v>0</v>
      </c>
      <c r="L135" s="8">
        <f t="shared" si="186"/>
        <v>0</v>
      </c>
      <c r="M135" s="8">
        <f t="shared" si="186"/>
        <v>0</v>
      </c>
      <c r="N135" s="8">
        <f t="shared" si="186"/>
        <v>0</v>
      </c>
      <c r="O135" s="8">
        <f t="shared" si="186"/>
        <v>0</v>
      </c>
      <c r="P135" s="8">
        <f t="shared" si="186"/>
        <v>0</v>
      </c>
      <c r="Q135" s="8">
        <f t="shared" si="186"/>
        <v>0</v>
      </c>
      <c r="R135" s="8">
        <f t="shared" si="186"/>
        <v>0</v>
      </c>
      <c r="S135" s="8">
        <f t="shared" si="186"/>
        <v>0</v>
      </c>
      <c r="T135" s="8">
        <f t="shared" si="186"/>
        <v>0</v>
      </c>
      <c r="U135" s="8">
        <f t="shared" si="186"/>
        <v>0</v>
      </c>
      <c r="V135" s="8">
        <f t="shared" si="186"/>
        <v>0</v>
      </c>
      <c r="W135" s="8">
        <f t="shared" si="186"/>
        <v>0</v>
      </c>
      <c r="X135" s="8">
        <f t="shared" si="186"/>
        <v>0</v>
      </c>
      <c r="Y135" s="8">
        <f t="shared" si="186"/>
        <v>0</v>
      </c>
      <c r="Z135" s="8">
        <f t="shared" si="186"/>
        <v>0</v>
      </c>
      <c r="AA135" s="8">
        <f t="shared" si="186"/>
        <v>0</v>
      </c>
      <c r="AB135" s="8">
        <f t="shared" si="186"/>
        <v>0</v>
      </c>
      <c r="AC135" s="8">
        <f t="shared" si="186"/>
        <v>0</v>
      </c>
      <c r="AD135" s="8">
        <f t="shared" si="186"/>
        <v>0</v>
      </c>
      <c r="AE135" s="8">
        <f t="shared" si="186"/>
        <v>0</v>
      </c>
      <c r="AF135" s="8">
        <f t="shared" si="186"/>
        <v>0</v>
      </c>
      <c r="AG135" s="8">
        <f t="shared" si="186"/>
        <v>0</v>
      </c>
      <c r="AI135" s="8">
        <f>$E$135</f>
        <v>0</v>
      </c>
      <c r="AJ135" s="8">
        <f t="shared" ref="AJ135:AT135" si="187">$E$135</f>
        <v>0</v>
      </c>
      <c r="AK135" s="8">
        <f t="shared" si="187"/>
        <v>0</v>
      </c>
      <c r="AL135" s="8">
        <f t="shared" si="187"/>
        <v>0</v>
      </c>
      <c r="AM135" s="8">
        <f t="shared" si="187"/>
        <v>0</v>
      </c>
      <c r="AN135" s="8">
        <f t="shared" si="187"/>
        <v>0</v>
      </c>
      <c r="AO135" s="8">
        <f t="shared" si="187"/>
        <v>0</v>
      </c>
      <c r="AP135" s="8">
        <f t="shared" si="187"/>
        <v>0</v>
      </c>
      <c r="AQ135" s="8">
        <f t="shared" si="187"/>
        <v>0</v>
      </c>
      <c r="AR135" s="8">
        <f t="shared" si="187"/>
        <v>0</v>
      </c>
      <c r="AS135" s="8">
        <f t="shared" si="187"/>
        <v>0</v>
      </c>
      <c r="AT135" s="8">
        <f t="shared" si="187"/>
        <v>0</v>
      </c>
    </row>
    <row r="136" spans="1:66" ht="13.5" hidden="1" customHeight="1" outlineLevel="1" x14ac:dyDescent="0.3">
      <c r="B136" s="7" t="s">
        <v>714</v>
      </c>
      <c r="D136" s="7" t="s">
        <v>40</v>
      </c>
      <c r="E136" s="84">
        <v>0</v>
      </c>
      <c r="J136" s="8">
        <f t="shared" ref="J136:AG136" si="188">$E$136</f>
        <v>0</v>
      </c>
      <c r="K136" s="8">
        <f t="shared" si="188"/>
        <v>0</v>
      </c>
      <c r="L136" s="8">
        <f t="shared" si="188"/>
        <v>0</v>
      </c>
      <c r="M136" s="8">
        <f t="shared" si="188"/>
        <v>0</v>
      </c>
      <c r="N136" s="8">
        <f t="shared" si="188"/>
        <v>0</v>
      </c>
      <c r="O136" s="8">
        <f t="shared" si="188"/>
        <v>0</v>
      </c>
      <c r="P136" s="8">
        <f t="shared" si="188"/>
        <v>0</v>
      </c>
      <c r="Q136" s="8">
        <f t="shared" si="188"/>
        <v>0</v>
      </c>
      <c r="R136" s="8">
        <f t="shared" si="188"/>
        <v>0</v>
      </c>
      <c r="S136" s="8">
        <f t="shared" si="188"/>
        <v>0</v>
      </c>
      <c r="T136" s="8">
        <f t="shared" si="188"/>
        <v>0</v>
      </c>
      <c r="U136" s="8">
        <f t="shared" si="188"/>
        <v>0</v>
      </c>
      <c r="V136" s="8">
        <f t="shared" si="188"/>
        <v>0</v>
      </c>
      <c r="W136" s="8">
        <f t="shared" si="188"/>
        <v>0</v>
      </c>
      <c r="X136" s="8">
        <f t="shared" si="188"/>
        <v>0</v>
      </c>
      <c r="Y136" s="8">
        <f t="shared" si="188"/>
        <v>0</v>
      </c>
      <c r="Z136" s="8">
        <f t="shared" si="188"/>
        <v>0</v>
      </c>
      <c r="AA136" s="8">
        <f t="shared" si="188"/>
        <v>0</v>
      </c>
      <c r="AB136" s="8">
        <f t="shared" si="188"/>
        <v>0</v>
      </c>
      <c r="AC136" s="8">
        <f t="shared" si="188"/>
        <v>0</v>
      </c>
      <c r="AD136" s="8">
        <f t="shared" si="188"/>
        <v>0</v>
      </c>
      <c r="AE136" s="8">
        <f t="shared" si="188"/>
        <v>0</v>
      </c>
      <c r="AF136" s="8">
        <f t="shared" si="188"/>
        <v>0</v>
      </c>
      <c r="AG136" s="8">
        <f t="shared" si="188"/>
        <v>0</v>
      </c>
      <c r="AI136" s="8">
        <f>$E$136</f>
        <v>0</v>
      </c>
      <c r="AJ136" s="8">
        <f t="shared" ref="AJ136:AT136" si="189">$E$136</f>
        <v>0</v>
      </c>
      <c r="AK136" s="8">
        <f t="shared" si="189"/>
        <v>0</v>
      </c>
      <c r="AL136" s="8">
        <f t="shared" si="189"/>
        <v>0</v>
      </c>
      <c r="AM136" s="8">
        <f t="shared" si="189"/>
        <v>0</v>
      </c>
      <c r="AN136" s="8">
        <f t="shared" si="189"/>
        <v>0</v>
      </c>
      <c r="AO136" s="8">
        <f t="shared" si="189"/>
        <v>0</v>
      </c>
      <c r="AP136" s="8">
        <f t="shared" si="189"/>
        <v>0</v>
      </c>
      <c r="AQ136" s="8">
        <f t="shared" si="189"/>
        <v>0</v>
      </c>
      <c r="AR136" s="8">
        <f t="shared" si="189"/>
        <v>0</v>
      </c>
      <c r="AS136" s="8">
        <f t="shared" si="189"/>
        <v>0</v>
      </c>
      <c r="AT136" s="8">
        <f t="shared" si="189"/>
        <v>0</v>
      </c>
    </row>
    <row r="137" spans="1:66" ht="13.5" hidden="1" customHeight="1" outlineLevel="1" x14ac:dyDescent="0.3">
      <c r="C137" s="5"/>
      <c r="D137" s="7"/>
      <c r="AI137" s="104"/>
      <c r="AJ137" s="104"/>
      <c r="AK137" s="104"/>
      <c r="AL137" s="104"/>
      <c r="AM137" s="104"/>
      <c r="AN137" s="104"/>
      <c r="AO137" s="104"/>
      <c r="AP137" s="104"/>
      <c r="AQ137" s="104"/>
      <c r="AR137" s="104"/>
      <c r="AS137" s="104"/>
    </row>
    <row r="138" spans="1:66" ht="13.5" hidden="1" customHeight="1" outlineLevel="1" x14ac:dyDescent="0.3">
      <c r="B138" s="14" t="s">
        <v>661</v>
      </c>
      <c r="C138" s="5"/>
      <c r="D138" s="7"/>
      <c r="E138" s="5"/>
      <c r="AI138" s="104"/>
      <c r="AJ138" s="104"/>
      <c r="AK138" s="104"/>
      <c r="AL138" s="104"/>
      <c r="AM138" s="104"/>
      <c r="AN138" s="104"/>
      <c r="AO138" s="104"/>
      <c r="AP138" s="104"/>
      <c r="AQ138" s="104"/>
      <c r="AR138" s="104"/>
      <c r="AS138" s="104"/>
    </row>
    <row r="139" spans="1:66" ht="13.5" hidden="1" customHeight="1" outlineLevel="1" x14ac:dyDescent="0.3">
      <c r="B139" s="348" t="s">
        <v>154</v>
      </c>
      <c r="C139" s="20" t="s">
        <v>56</v>
      </c>
      <c r="D139" s="20" t="s">
        <v>40</v>
      </c>
      <c r="E139" s="107"/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</row>
    <row r="140" spans="1:66" ht="13.5" hidden="1" customHeight="1" outlineLevel="1" x14ac:dyDescent="0.3">
      <c r="B140" s="348" t="s">
        <v>154</v>
      </c>
      <c r="C140" s="20" t="s">
        <v>662</v>
      </c>
      <c r="D140" s="20" t="s">
        <v>40</v>
      </c>
      <c r="E140" s="107"/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</row>
    <row r="141" spans="1:66" ht="13.5" hidden="1" customHeight="1" outlineLevel="1" x14ac:dyDescent="0.3">
      <c r="B141" s="348" t="s">
        <v>154</v>
      </c>
      <c r="C141" s="20" t="s">
        <v>663</v>
      </c>
      <c r="D141" s="20" t="s">
        <v>40</v>
      </c>
      <c r="E141" s="107"/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</row>
    <row r="142" spans="1:66" ht="13.5" hidden="1" customHeight="1" outlineLevel="1" x14ac:dyDescent="0.3">
      <c r="B142" s="348" t="s">
        <v>154</v>
      </c>
      <c r="C142" s="20" t="s">
        <v>59</v>
      </c>
      <c r="D142" s="20" t="s">
        <v>40</v>
      </c>
      <c r="E142" s="107"/>
      <c r="J142" s="8">
        <f>-J95</f>
        <v>0</v>
      </c>
      <c r="K142" s="8">
        <f t="shared" ref="K142:AG142" si="190">-K95</f>
        <v>0</v>
      </c>
      <c r="L142" s="8">
        <f t="shared" si="190"/>
        <v>0</v>
      </c>
      <c r="M142" s="8">
        <f t="shared" si="190"/>
        <v>0</v>
      </c>
      <c r="N142" s="8">
        <f t="shared" si="190"/>
        <v>0</v>
      </c>
      <c r="O142" s="8">
        <f t="shared" si="190"/>
        <v>0</v>
      </c>
      <c r="P142" s="8">
        <f t="shared" si="190"/>
        <v>0</v>
      </c>
      <c r="Q142" s="8">
        <f t="shared" si="190"/>
        <v>0</v>
      </c>
      <c r="R142" s="8">
        <f t="shared" si="190"/>
        <v>0</v>
      </c>
      <c r="S142" s="8">
        <f t="shared" si="190"/>
        <v>0</v>
      </c>
      <c r="T142" s="8">
        <f t="shared" si="190"/>
        <v>0</v>
      </c>
      <c r="U142" s="8">
        <f t="shared" si="190"/>
        <v>0</v>
      </c>
      <c r="V142" s="8">
        <f t="shared" si="190"/>
        <v>0</v>
      </c>
      <c r="W142" s="8">
        <f t="shared" si="190"/>
        <v>0</v>
      </c>
      <c r="X142" s="8">
        <f t="shared" si="190"/>
        <v>0</v>
      </c>
      <c r="Y142" s="8">
        <f t="shared" si="190"/>
        <v>0</v>
      </c>
      <c r="Z142" s="8">
        <f t="shared" si="190"/>
        <v>0</v>
      </c>
      <c r="AA142" s="8">
        <f t="shared" si="190"/>
        <v>0</v>
      </c>
      <c r="AB142" s="8">
        <f t="shared" si="190"/>
        <v>0</v>
      </c>
      <c r="AC142" s="8">
        <f t="shared" si="190"/>
        <v>0</v>
      </c>
      <c r="AD142" s="8">
        <f t="shared" si="190"/>
        <v>0</v>
      </c>
      <c r="AE142" s="8">
        <f t="shared" si="190"/>
        <v>0</v>
      </c>
      <c r="AF142" s="8">
        <f t="shared" si="190"/>
        <v>0</v>
      </c>
      <c r="AG142" s="8">
        <f t="shared" si="190"/>
        <v>0</v>
      </c>
      <c r="AI142" s="8">
        <f>-AI95</f>
        <v>0</v>
      </c>
      <c r="AJ142" s="8">
        <f t="shared" ref="AJ142:AT142" si="191">-AJ95</f>
        <v>0</v>
      </c>
      <c r="AK142" s="8">
        <f t="shared" si="191"/>
        <v>66.497788348381491</v>
      </c>
      <c r="AL142" s="8">
        <f t="shared" ca="1" si="191"/>
        <v>77.357001531856085</v>
      </c>
      <c r="AM142" s="8">
        <f t="shared" ca="1" si="191"/>
        <v>95.323165137629672</v>
      </c>
      <c r="AN142" s="8">
        <f t="shared" ca="1" si="191"/>
        <v>115.57377244222739</v>
      </c>
      <c r="AO142" s="8">
        <f t="shared" ca="1" si="191"/>
        <v>118.075</v>
      </c>
      <c r="AP142" s="8">
        <f t="shared" ca="1" si="191"/>
        <v>118.075</v>
      </c>
      <c r="AQ142" s="8">
        <f t="shared" ca="1" si="191"/>
        <v>118.075</v>
      </c>
      <c r="AR142" s="8">
        <f t="shared" ca="1" si="191"/>
        <v>118.075</v>
      </c>
      <c r="AS142" s="8">
        <f t="shared" ca="1" si="191"/>
        <v>118.075</v>
      </c>
      <c r="AT142" s="8">
        <f t="shared" ca="1" si="191"/>
        <v>118.075</v>
      </c>
    </row>
    <row r="143" spans="1:66" ht="13.5" hidden="1" customHeight="1" outlineLevel="1" x14ac:dyDescent="0.3">
      <c r="B143" s="14" t="s">
        <v>664</v>
      </c>
      <c r="C143" s="20"/>
      <c r="D143" s="14" t="s">
        <v>40</v>
      </c>
      <c r="J143" s="12">
        <f t="shared" ref="J143:AG143" si="192">SUM(J139:J142)</f>
        <v>0</v>
      </c>
      <c r="K143" s="12">
        <f t="shared" si="192"/>
        <v>0</v>
      </c>
      <c r="L143" s="12">
        <f t="shared" si="192"/>
        <v>0</v>
      </c>
      <c r="M143" s="12">
        <f t="shared" si="192"/>
        <v>0</v>
      </c>
      <c r="N143" s="12">
        <f t="shared" si="192"/>
        <v>0</v>
      </c>
      <c r="O143" s="12">
        <f t="shared" si="192"/>
        <v>0</v>
      </c>
      <c r="P143" s="12">
        <f t="shared" si="192"/>
        <v>0</v>
      </c>
      <c r="Q143" s="12">
        <f t="shared" si="192"/>
        <v>0</v>
      </c>
      <c r="R143" s="12">
        <f t="shared" si="192"/>
        <v>0</v>
      </c>
      <c r="S143" s="12">
        <f t="shared" si="192"/>
        <v>0</v>
      </c>
      <c r="T143" s="12">
        <f t="shared" si="192"/>
        <v>0</v>
      </c>
      <c r="U143" s="12">
        <f t="shared" si="192"/>
        <v>0</v>
      </c>
      <c r="V143" s="12">
        <f t="shared" si="192"/>
        <v>0</v>
      </c>
      <c r="W143" s="12">
        <f t="shared" si="192"/>
        <v>0</v>
      </c>
      <c r="X143" s="12">
        <f t="shared" si="192"/>
        <v>0</v>
      </c>
      <c r="Y143" s="12">
        <f t="shared" si="192"/>
        <v>0</v>
      </c>
      <c r="Z143" s="12">
        <f t="shared" si="192"/>
        <v>0</v>
      </c>
      <c r="AA143" s="12">
        <f t="shared" si="192"/>
        <v>0</v>
      </c>
      <c r="AB143" s="12">
        <f t="shared" si="192"/>
        <v>0</v>
      </c>
      <c r="AC143" s="12">
        <f t="shared" si="192"/>
        <v>0</v>
      </c>
      <c r="AD143" s="12">
        <f t="shared" si="192"/>
        <v>0</v>
      </c>
      <c r="AE143" s="12">
        <f t="shared" si="192"/>
        <v>0</v>
      </c>
      <c r="AF143" s="12">
        <f t="shared" si="192"/>
        <v>0</v>
      </c>
      <c r="AG143" s="12">
        <f t="shared" si="192"/>
        <v>0</v>
      </c>
      <c r="AI143" s="12">
        <f t="shared" ref="AI143:AR143" si="193">SUM(AI139:AI142)</f>
        <v>0</v>
      </c>
      <c r="AJ143" s="12">
        <f t="shared" si="193"/>
        <v>0</v>
      </c>
      <c r="AK143" s="12">
        <f t="shared" si="193"/>
        <v>66.497788348381491</v>
      </c>
      <c r="AL143" s="12">
        <f t="shared" ca="1" si="193"/>
        <v>77.357001531856085</v>
      </c>
      <c r="AM143" s="12">
        <f t="shared" ca="1" si="193"/>
        <v>95.323165137629672</v>
      </c>
      <c r="AN143" s="12">
        <f t="shared" ca="1" si="193"/>
        <v>115.57377244222739</v>
      </c>
      <c r="AO143" s="12">
        <f t="shared" ca="1" si="193"/>
        <v>118.075</v>
      </c>
      <c r="AP143" s="12">
        <f t="shared" ca="1" si="193"/>
        <v>118.075</v>
      </c>
      <c r="AQ143" s="12">
        <f t="shared" ca="1" si="193"/>
        <v>118.075</v>
      </c>
      <c r="AR143" s="12">
        <f t="shared" ca="1" si="193"/>
        <v>118.075</v>
      </c>
      <c r="AS143" s="12">
        <f t="shared" ref="AS143:AT143" ca="1" si="194">SUM(AS139:AS142)</f>
        <v>118.075</v>
      </c>
      <c r="AT143" s="12">
        <f t="shared" ca="1" si="194"/>
        <v>118.075</v>
      </c>
    </row>
    <row r="144" spans="1:66" ht="13.5" hidden="1" customHeight="1" outlineLevel="1" x14ac:dyDescent="0.3">
      <c r="C144" s="5"/>
      <c r="D144" s="7"/>
      <c r="E144" s="7"/>
      <c r="AI144" s="104"/>
      <c r="AJ144" s="104"/>
      <c r="AK144" s="104"/>
      <c r="AL144" s="104"/>
      <c r="AM144" s="104"/>
      <c r="AN144" s="104"/>
      <c r="AO144" s="104"/>
      <c r="AP144" s="104"/>
      <c r="AQ144" s="104"/>
      <c r="AR144" s="104"/>
      <c r="AS144" s="104"/>
    </row>
    <row r="145" spans="1:66" ht="13.5" hidden="1" customHeight="1" outlineLevel="1" x14ac:dyDescent="0.3">
      <c r="B145" s="14" t="s">
        <v>665</v>
      </c>
      <c r="C145" s="5"/>
      <c r="D145" s="7"/>
      <c r="E145" s="5"/>
      <c r="AI145" s="104"/>
      <c r="AJ145" s="104"/>
      <c r="AK145" s="104"/>
      <c r="AL145" s="104"/>
      <c r="AM145" s="104"/>
      <c r="AN145" s="104"/>
      <c r="AO145" s="104"/>
      <c r="AP145" s="104"/>
      <c r="AQ145" s="104"/>
      <c r="AR145" s="104"/>
      <c r="AS145" s="104"/>
    </row>
    <row r="146" spans="1:66" ht="13.5" hidden="1" customHeight="1" outlineLevel="1" x14ac:dyDescent="0.3">
      <c r="B146" s="348" t="s">
        <v>154</v>
      </c>
      <c r="C146" s="20" t="s">
        <v>59</v>
      </c>
      <c r="D146" s="20" t="s">
        <v>40</v>
      </c>
      <c r="E146" s="107"/>
      <c r="G146" s="95">
        <v>6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f>R135</f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I146" s="326">
        <v>0</v>
      </c>
      <c r="AJ146" s="326">
        <f>$E$136</f>
        <v>0</v>
      </c>
      <c r="AK146" s="326">
        <f t="shared" ref="AK146:AT146" si="195">$E$136</f>
        <v>0</v>
      </c>
      <c r="AL146" s="326">
        <f t="shared" si="195"/>
        <v>0</v>
      </c>
      <c r="AM146" s="326">
        <f t="shared" si="195"/>
        <v>0</v>
      </c>
      <c r="AN146" s="326">
        <f t="shared" si="195"/>
        <v>0</v>
      </c>
      <c r="AO146" s="326">
        <f t="shared" si="195"/>
        <v>0</v>
      </c>
      <c r="AP146" s="326">
        <f t="shared" si="195"/>
        <v>0</v>
      </c>
      <c r="AQ146" s="326">
        <f t="shared" si="195"/>
        <v>0</v>
      </c>
      <c r="AR146" s="326">
        <f t="shared" si="195"/>
        <v>0</v>
      </c>
      <c r="AS146" s="326">
        <f t="shared" si="195"/>
        <v>0</v>
      </c>
      <c r="AT146" s="326">
        <f t="shared" si="195"/>
        <v>0</v>
      </c>
    </row>
    <row r="147" spans="1:66" s="355" customFormat="1" ht="13.5" hidden="1" customHeight="1" outlineLevel="1" x14ac:dyDescent="0.3">
      <c r="C147" s="356" t="s">
        <v>683</v>
      </c>
      <c r="D147" s="9" t="s">
        <v>61</v>
      </c>
      <c r="E147" s="357">
        <v>190</v>
      </c>
      <c r="G147" s="358"/>
      <c r="J147" s="342">
        <f t="shared" ref="J147:AG147" si="196">IF(J146&gt;0,$E$147*J146,0)</f>
        <v>0</v>
      </c>
      <c r="K147" s="342">
        <f t="shared" si="196"/>
        <v>0</v>
      </c>
      <c r="L147" s="342">
        <f t="shared" si="196"/>
        <v>0</v>
      </c>
      <c r="M147" s="342">
        <f t="shared" si="196"/>
        <v>0</v>
      </c>
      <c r="N147" s="342">
        <f t="shared" si="196"/>
        <v>0</v>
      </c>
      <c r="O147" s="342">
        <f t="shared" si="196"/>
        <v>0</v>
      </c>
      <c r="P147" s="342">
        <f t="shared" si="196"/>
        <v>0</v>
      </c>
      <c r="Q147" s="342">
        <f t="shared" si="196"/>
        <v>0</v>
      </c>
      <c r="R147" s="342">
        <f t="shared" si="196"/>
        <v>0</v>
      </c>
      <c r="S147" s="342">
        <f t="shared" si="196"/>
        <v>0</v>
      </c>
      <c r="T147" s="342">
        <f t="shared" si="196"/>
        <v>0</v>
      </c>
      <c r="U147" s="342">
        <f t="shared" si="196"/>
        <v>0</v>
      </c>
      <c r="V147" s="342">
        <f t="shared" si="196"/>
        <v>0</v>
      </c>
      <c r="W147" s="342">
        <f t="shared" si="196"/>
        <v>0</v>
      </c>
      <c r="X147" s="342">
        <f t="shared" si="196"/>
        <v>0</v>
      </c>
      <c r="Y147" s="342">
        <f t="shared" si="196"/>
        <v>0</v>
      </c>
      <c r="Z147" s="342">
        <f t="shared" si="196"/>
        <v>0</v>
      </c>
      <c r="AA147" s="342">
        <f t="shared" si="196"/>
        <v>0</v>
      </c>
      <c r="AB147" s="342">
        <f t="shared" si="196"/>
        <v>0</v>
      </c>
      <c r="AC147" s="342">
        <f t="shared" si="196"/>
        <v>0</v>
      </c>
      <c r="AD147" s="342">
        <f t="shared" si="196"/>
        <v>0</v>
      </c>
      <c r="AE147" s="342">
        <f t="shared" si="196"/>
        <v>0</v>
      </c>
      <c r="AF147" s="342">
        <f t="shared" si="196"/>
        <v>0</v>
      </c>
      <c r="AG147" s="342">
        <f t="shared" si="196"/>
        <v>0</v>
      </c>
      <c r="AI147" s="359">
        <f>IF(AI146&gt;0,$E$147*AI146,0)</f>
        <v>0</v>
      </c>
      <c r="AJ147" s="359">
        <f t="shared" ref="AJ147:AT147" si="197">IF(AJ146&gt;0,$E$147*AJ146,0)</f>
        <v>0</v>
      </c>
      <c r="AK147" s="359">
        <f t="shared" si="197"/>
        <v>0</v>
      </c>
      <c r="AL147" s="359">
        <f t="shared" si="197"/>
        <v>0</v>
      </c>
      <c r="AM147" s="359">
        <f t="shared" si="197"/>
        <v>0</v>
      </c>
      <c r="AN147" s="359">
        <f t="shared" si="197"/>
        <v>0</v>
      </c>
      <c r="AO147" s="359">
        <f t="shared" si="197"/>
        <v>0</v>
      </c>
      <c r="AP147" s="359">
        <f t="shared" si="197"/>
        <v>0</v>
      </c>
      <c r="AQ147" s="359">
        <f t="shared" si="197"/>
        <v>0</v>
      </c>
      <c r="AR147" s="359">
        <f t="shared" si="197"/>
        <v>0</v>
      </c>
      <c r="AS147" s="359">
        <f t="shared" si="197"/>
        <v>0</v>
      </c>
      <c r="AT147" s="359">
        <f t="shared" si="197"/>
        <v>0</v>
      </c>
    </row>
    <row r="148" spans="1:66" ht="13.5" hidden="1" customHeight="1" outlineLevel="1" x14ac:dyDescent="0.3">
      <c r="C148" s="5"/>
      <c r="D148" s="7"/>
      <c r="E148" s="7"/>
      <c r="AI148" s="104"/>
      <c r="AJ148" s="104"/>
      <c r="AK148" s="104"/>
      <c r="AL148" s="104"/>
      <c r="AM148" s="104"/>
      <c r="AN148" s="104"/>
      <c r="AO148" s="104"/>
      <c r="AP148" s="104"/>
      <c r="AQ148" s="104"/>
      <c r="AR148" s="104"/>
      <c r="AS148" s="104"/>
    </row>
    <row r="149" spans="1:66" ht="13.5" hidden="1" customHeight="1" outlineLevel="1" x14ac:dyDescent="0.3">
      <c r="B149" s="5" t="s">
        <v>666</v>
      </c>
      <c r="C149" s="5"/>
      <c r="D149" s="7"/>
      <c r="AI149" s="104"/>
      <c r="AJ149" s="104"/>
      <c r="AK149" s="104"/>
      <c r="AL149" s="104"/>
      <c r="AM149" s="104"/>
      <c r="AN149" s="104"/>
      <c r="AO149" s="104"/>
      <c r="AP149" s="104"/>
      <c r="AQ149" s="104"/>
      <c r="AR149" s="104"/>
      <c r="AS149" s="104"/>
    </row>
    <row r="150" spans="1:66" ht="13.5" hidden="1" customHeight="1" outlineLevel="1" x14ac:dyDescent="0.3">
      <c r="B150" s="5" t="s">
        <v>183</v>
      </c>
      <c r="C150" s="5"/>
      <c r="D150" s="7"/>
      <c r="E150" s="5" t="s">
        <v>667</v>
      </c>
      <c r="J150" s="12">
        <v>0</v>
      </c>
      <c r="K150" s="12">
        <f t="shared" ref="K150:AG150" si="198">J153</f>
        <v>0</v>
      </c>
      <c r="L150" s="12">
        <f t="shared" ca="1" si="198"/>
        <v>0</v>
      </c>
      <c r="M150" s="12">
        <f t="shared" ca="1" si="198"/>
        <v>0</v>
      </c>
      <c r="N150" s="12">
        <f t="shared" ca="1" si="198"/>
        <v>0</v>
      </c>
      <c r="O150" s="12">
        <f t="shared" ca="1" si="198"/>
        <v>0</v>
      </c>
      <c r="P150" s="12">
        <f t="shared" ca="1" si="198"/>
        <v>0</v>
      </c>
      <c r="Q150" s="12">
        <f t="shared" ca="1" si="198"/>
        <v>0</v>
      </c>
      <c r="R150" s="12">
        <f t="shared" ca="1" si="198"/>
        <v>0</v>
      </c>
      <c r="S150" s="12">
        <f t="shared" ca="1" si="198"/>
        <v>0</v>
      </c>
      <c r="T150" s="12">
        <f t="shared" ca="1" si="198"/>
        <v>0</v>
      </c>
      <c r="U150" s="12">
        <f t="shared" ca="1" si="198"/>
        <v>0</v>
      </c>
      <c r="V150" s="12">
        <f t="shared" ca="1" si="198"/>
        <v>0</v>
      </c>
      <c r="W150" s="12">
        <f t="shared" ca="1" si="198"/>
        <v>0</v>
      </c>
      <c r="X150" s="12">
        <f t="shared" ca="1" si="198"/>
        <v>0</v>
      </c>
      <c r="Y150" s="12">
        <f t="shared" ca="1" si="198"/>
        <v>0</v>
      </c>
      <c r="Z150" s="12">
        <f t="shared" ca="1" si="198"/>
        <v>0</v>
      </c>
      <c r="AA150" s="12">
        <f t="shared" ca="1" si="198"/>
        <v>0</v>
      </c>
      <c r="AB150" s="12">
        <f t="shared" ca="1" si="198"/>
        <v>0</v>
      </c>
      <c r="AC150" s="12">
        <f t="shared" ca="1" si="198"/>
        <v>0</v>
      </c>
      <c r="AD150" s="12">
        <f t="shared" ca="1" si="198"/>
        <v>0</v>
      </c>
      <c r="AE150" s="12">
        <f t="shared" ca="1" si="198"/>
        <v>0</v>
      </c>
      <c r="AF150" s="12">
        <f t="shared" ca="1" si="198"/>
        <v>0</v>
      </c>
      <c r="AG150" s="12">
        <f t="shared" ca="1" si="198"/>
        <v>0</v>
      </c>
      <c r="AI150" s="12">
        <v>0</v>
      </c>
      <c r="AJ150" s="12">
        <f t="shared" ref="AJ150:AR150" ca="1" si="199">AI153</f>
        <v>0</v>
      </c>
      <c r="AK150" s="12">
        <f t="shared" ca="1" si="199"/>
        <v>0</v>
      </c>
      <c r="AL150" s="12">
        <f t="shared" ca="1" si="199"/>
        <v>0</v>
      </c>
      <c r="AM150" s="12">
        <f t="shared" ca="1" si="199"/>
        <v>0</v>
      </c>
      <c r="AN150" s="12">
        <f t="shared" ca="1" si="199"/>
        <v>0</v>
      </c>
      <c r="AO150" s="12">
        <f t="shared" ca="1" si="199"/>
        <v>0</v>
      </c>
      <c r="AP150" s="12">
        <f t="shared" ca="1" si="199"/>
        <v>0</v>
      </c>
      <c r="AQ150" s="12">
        <f t="shared" ca="1" si="199"/>
        <v>0</v>
      </c>
      <c r="AR150" s="12">
        <f t="shared" ca="1" si="199"/>
        <v>0</v>
      </c>
      <c r="AS150" s="12">
        <f t="shared" ref="AS150" ca="1" si="200">AR153</f>
        <v>0</v>
      </c>
      <c r="AT150" s="12">
        <f t="shared" ref="AT150" ca="1" si="201">AS153</f>
        <v>0</v>
      </c>
    </row>
    <row r="151" spans="1:66" ht="13.5" hidden="1" customHeight="1" outlineLevel="1" x14ac:dyDescent="0.3">
      <c r="B151" s="7" t="s">
        <v>154</v>
      </c>
      <c r="C151" s="7" t="s">
        <v>673</v>
      </c>
      <c r="D151" s="20" t="s">
        <v>40</v>
      </c>
      <c r="E151" s="109">
        <f>'Cattle Feeding Cycle'!AI107</f>
        <v>331</v>
      </c>
      <c r="J151" s="8">
        <f t="shared" ref="J151:AG151" si="202">J142+J146</f>
        <v>0</v>
      </c>
      <c r="K151" s="8">
        <f t="shared" si="202"/>
        <v>0</v>
      </c>
      <c r="L151" s="8">
        <f t="shared" si="202"/>
        <v>0</v>
      </c>
      <c r="M151" s="8">
        <f t="shared" si="202"/>
        <v>0</v>
      </c>
      <c r="N151" s="8">
        <f t="shared" si="202"/>
        <v>0</v>
      </c>
      <c r="O151" s="8">
        <f>O142+O146</f>
        <v>0</v>
      </c>
      <c r="P151" s="8">
        <f t="shared" si="202"/>
        <v>0</v>
      </c>
      <c r="Q151" s="8">
        <f t="shared" si="202"/>
        <v>0</v>
      </c>
      <c r="R151" s="8">
        <f t="shared" si="202"/>
        <v>0</v>
      </c>
      <c r="S151" s="8">
        <f t="shared" si="202"/>
        <v>0</v>
      </c>
      <c r="T151" s="8">
        <f t="shared" si="202"/>
        <v>0</v>
      </c>
      <c r="U151" s="8">
        <f>U142+U146</f>
        <v>0</v>
      </c>
      <c r="V151" s="8">
        <f t="shared" si="202"/>
        <v>0</v>
      </c>
      <c r="W151" s="8">
        <f t="shared" si="202"/>
        <v>0</v>
      </c>
      <c r="X151" s="8">
        <v>0</v>
      </c>
      <c r="Y151" s="8">
        <f t="shared" si="202"/>
        <v>0</v>
      </c>
      <c r="Z151" s="8">
        <v>0</v>
      </c>
      <c r="AA151" s="8">
        <v>0</v>
      </c>
      <c r="AB151" s="8">
        <f t="shared" si="202"/>
        <v>0</v>
      </c>
      <c r="AC151" s="8">
        <f t="shared" si="202"/>
        <v>0</v>
      </c>
      <c r="AD151" s="8">
        <f t="shared" si="202"/>
        <v>0</v>
      </c>
      <c r="AE151" s="8">
        <f t="shared" si="202"/>
        <v>0</v>
      </c>
      <c r="AF151" s="8">
        <f t="shared" si="202"/>
        <v>0</v>
      </c>
      <c r="AG151" s="8">
        <f t="shared" si="202"/>
        <v>0</v>
      </c>
      <c r="AI151" s="8">
        <f>AI142+AI146</f>
        <v>0</v>
      </c>
      <c r="AJ151" s="8">
        <f t="shared" ref="AJ151:AR151" si="203">AJ142+AJ146</f>
        <v>0</v>
      </c>
      <c r="AK151" s="8">
        <f t="shared" si="203"/>
        <v>66.497788348381491</v>
      </c>
      <c r="AL151" s="8">
        <f t="shared" ca="1" si="203"/>
        <v>77.357001531856085</v>
      </c>
      <c r="AM151" s="8">
        <f t="shared" ca="1" si="203"/>
        <v>95.323165137629672</v>
      </c>
      <c r="AN151" s="8">
        <f t="shared" ca="1" si="203"/>
        <v>115.57377244222739</v>
      </c>
      <c r="AO151" s="8">
        <f t="shared" ca="1" si="203"/>
        <v>118.075</v>
      </c>
      <c r="AP151" s="8">
        <f t="shared" ca="1" si="203"/>
        <v>118.075</v>
      </c>
      <c r="AQ151" s="8">
        <f t="shared" ca="1" si="203"/>
        <v>118.075</v>
      </c>
      <c r="AR151" s="8">
        <f t="shared" ca="1" si="203"/>
        <v>118.075</v>
      </c>
      <c r="AS151" s="8">
        <f t="shared" ref="AS151:AT151" ca="1" si="204">AS142+AS146</f>
        <v>118.075</v>
      </c>
      <c r="AT151" s="8">
        <f t="shared" ca="1" si="204"/>
        <v>118.075</v>
      </c>
    </row>
    <row r="152" spans="1:66" ht="13.5" hidden="1" customHeight="1" outlineLevel="1" x14ac:dyDescent="0.3">
      <c r="B152" s="7" t="s">
        <v>157</v>
      </c>
      <c r="C152" s="7" t="s">
        <v>674</v>
      </c>
      <c r="D152" s="20" t="s">
        <v>40</v>
      </c>
      <c r="E152" s="109">
        <f>E151</f>
        <v>331</v>
      </c>
      <c r="F152" s="109">
        <f>'Cattle Feeding Cycle'!AI108</f>
        <v>347.5</v>
      </c>
      <c r="G152" s="95">
        <v>5</v>
      </c>
      <c r="J152" s="8">
        <v>0</v>
      </c>
      <c r="K152" s="8">
        <f t="array" aca="1" ref="K152" ca="1">-OFFSET(J153,,-$G152,,)</f>
        <v>0</v>
      </c>
      <c r="L152" s="8">
        <f t="array" aca="1" ref="L152" ca="1">-OFFSET(K153,,-$G152,,)</f>
        <v>0</v>
      </c>
      <c r="M152" s="8">
        <f t="array" aca="1" ref="M152" ca="1">-OFFSET(L153,,-$G152,,)</f>
        <v>0</v>
      </c>
      <c r="N152" s="8">
        <f t="array" aca="1" ref="N152" ca="1">-OFFSET(M153,,-$G152,,)</f>
        <v>0</v>
      </c>
      <c r="O152" s="8">
        <f t="array" aca="1" ref="O152" ca="1">-OFFSET(N153,,-$G152,,)</f>
        <v>0</v>
      </c>
      <c r="P152" s="8">
        <f t="array" aca="1" ref="P152" ca="1">-OFFSET(O153,,-$G152,,)</f>
        <v>0</v>
      </c>
      <c r="Q152" s="8">
        <v>0</v>
      </c>
      <c r="R152" s="8">
        <v>0</v>
      </c>
      <c r="S152" s="8">
        <v>0</v>
      </c>
      <c r="T152" s="8">
        <v>0</v>
      </c>
      <c r="U152" s="8">
        <f>-U151</f>
        <v>0</v>
      </c>
      <c r="V152" s="8">
        <f t="shared" ref="V152:AG152" si="205">-V151</f>
        <v>0</v>
      </c>
      <c r="W152" s="8">
        <f t="shared" si="205"/>
        <v>0</v>
      </c>
      <c r="X152" s="8">
        <f ca="1">-X150</f>
        <v>0</v>
      </c>
      <c r="Y152" s="8">
        <f t="shared" si="205"/>
        <v>0</v>
      </c>
      <c r="Z152" s="8">
        <f>-AA146</f>
        <v>0</v>
      </c>
      <c r="AA152" s="8"/>
      <c r="AB152" s="8">
        <f t="shared" si="205"/>
        <v>0</v>
      </c>
      <c r="AC152" s="8">
        <f t="shared" si="205"/>
        <v>0</v>
      </c>
      <c r="AD152" s="8">
        <f t="shared" si="205"/>
        <v>0</v>
      </c>
      <c r="AE152" s="8">
        <f t="shared" si="205"/>
        <v>0</v>
      </c>
      <c r="AF152" s="8">
        <f t="shared" si="205"/>
        <v>0</v>
      </c>
      <c r="AG152" s="8">
        <f t="shared" si="205"/>
        <v>0</v>
      </c>
      <c r="AI152" s="8">
        <f t="array" aca="1" ref="AI152" ca="1">-OFFSET(AI151,,-0.5,,)</f>
        <v>0</v>
      </c>
      <c r="AJ152" s="8">
        <f t="array" aca="1" ref="AJ152" ca="1">-OFFSET(AJ151,,-0.5,,)</f>
        <v>0</v>
      </c>
      <c r="AK152" s="8">
        <f t="array" aca="1" ref="AK152" ca="1">-OFFSET(AK151,,-0.5,,)</f>
        <v>-66.497788348381491</v>
      </c>
      <c r="AL152" s="8">
        <f t="array" aca="1" ref="AL152" ca="1">-OFFSET(AL151,,-0.5,,)</f>
        <v>-77.357001531856085</v>
      </c>
      <c r="AM152" s="8">
        <f t="array" aca="1" ref="AM152" ca="1">-OFFSET(AM151,,-0.5,,)</f>
        <v>-95.323165137629672</v>
      </c>
      <c r="AN152" s="8">
        <f t="array" aca="1" ref="AN152" ca="1">-OFFSET(AN151,,-0.5,,)</f>
        <v>-115.57377244222739</v>
      </c>
      <c r="AO152" s="8">
        <f t="array" aca="1" ref="AO152" ca="1">-OFFSET(AO151,,-0.5,,)</f>
        <v>-118.075</v>
      </c>
      <c r="AP152" s="8">
        <f t="array" aca="1" ref="AP152" ca="1">-OFFSET(AP151,,-0.5,,)</f>
        <v>-118.075</v>
      </c>
      <c r="AQ152" s="8">
        <f t="array" aca="1" ref="AQ152" ca="1">-OFFSET(AQ151,,-0.5,,)</f>
        <v>-118.075</v>
      </c>
      <c r="AR152" s="8">
        <f t="array" aca="1" ref="AR152" ca="1">-OFFSET(AR151,,-0.5,,)</f>
        <v>-118.075</v>
      </c>
      <c r="AS152" s="8">
        <f t="array" aca="1" ref="AS152" ca="1">-OFFSET(AS151,,-0.5,,)</f>
        <v>-118.075</v>
      </c>
      <c r="AT152" s="8">
        <f t="array" aca="1" ref="AT152" ca="1">-OFFSET(AT151,,-0.5,,)</f>
        <v>-118.075</v>
      </c>
      <c r="AU152" s="68"/>
    </row>
    <row r="153" spans="1:66" ht="13.5" hidden="1" customHeight="1" outlineLevel="1" x14ac:dyDescent="0.3">
      <c r="B153" s="5" t="s">
        <v>44</v>
      </c>
      <c r="C153" s="7"/>
      <c r="D153" s="7"/>
      <c r="J153" s="12">
        <f t="shared" ref="J153:AG153" si="206">SUM(J150:J152)</f>
        <v>0</v>
      </c>
      <c r="K153" s="12">
        <f t="shared" ca="1" si="206"/>
        <v>0</v>
      </c>
      <c r="L153" s="12">
        <f t="shared" ca="1" si="206"/>
        <v>0</v>
      </c>
      <c r="M153" s="12">
        <f t="shared" ca="1" si="206"/>
        <v>0</v>
      </c>
      <c r="N153" s="12">
        <f t="shared" ca="1" si="206"/>
        <v>0</v>
      </c>
      <c r="O153" s="12">
        <f t="shared" ca="1" si="206"/>
        <v>0</v>
      </c>
      <c r="P153" s="12">
        <f t="shared" ca="1" si="206"/>
        <v>0</v>
      </c>
      <c r="Q153" s="12">
        <f t="shared" ca="1" si="206"/>
        <v>0</v>
      </c>
      <c r="R153" s="12">
        <f t="shared" ca="1" si="206"/>
        <v>0</v>
      </c>
      <c r="S153" s="12">
        <f t="shared" ca="1" si="206"/>
        <v>0</v>
      </c>
      <c r="T153" s="12">
        <f t="shared" ca="1" si="206"/>
        <v>0</v>
      </c>
      <c r="U153" s="12">
        <f t="shared" ca="1" si="206"/>
        <v>0</v>
      </c>
      <c r="V153" s="12">
        <f t="shared" ca="1" si="206"/>
        <v>0</v>
      </c>
      <c r="W153" s="12">
        <f t="shared" ca="1" si="206"/>
        <v>0</v>
      </c>
      <c r="X153" s="12">
        <f t="shared" ca="1" si="206"/>
        <v>0</v>
      </c>
      <c r="Y153" s="12">
        <f t="shared" ca="1" si="206"/>
        <v>0</v>
      </c>
      <c r="Z153" s="12">
        <f t="shared" ca="1" si="206"/>
        <v>0</v>
      </c>
      <c r="AA153" s="12">
        <f t="shared" ca="1" si="206"/>
        <v>0</v>
      </c>
      <c r="AB153" s="12">
        <f t="shared" ca="1" si="206"/>
        <v>0</v>
      </c>
      <c r="AC153" s="12">
        <f t="shared" ca="1" si="206"/>
        <v>0</v>
      </c>
      <c r="AD153" s="12">
        <f t="shared" ca="1" si="206"/>
        <v>0</v>
      </c>
      <c r="AE153" s="12">
        <f t="shared" ca="1" si="206"/>
        <v>0</v>
      </c>
      <c r="AF153" s="12">
        <f t="shared" ca="1" si="206"/>
        <v>0</v>
      </c>
      <c r="AG153" s="12">
        <f t="shared" ca="1" si="206"/>
        <v>0</v>
      </c>
      <c r="AI153" s="12">
        <f t="shared" ref="AI153:AR153" ca="1" si="207">SUM(AI150:AI152)</f>
        <v>0</v>
      </c>
      <c r="AJ153" s="12">
        <f t="shared" ca="1" si="207"/>
        <v>0</v>
      </c>
      <c r="AK153" s="12">
        <f t="shared" ca="1" si="207"/>
        <v>0</v>
      </c>
      <c r="AL153" s="12">
        <f t="shared" ca="1" si="207"/>
        <v>0</v>
      </c>
      <c r="AM153" s="12">
        <f t="shared" ca="1" si="207"/>
        <v>0</v>
      </c>
      <c r="AN153" s="12">
        <f t="shared" ca="1" si="207"/>
        <v>0</v>
      </c>
      <c r="AO153" s="12">
        <f t="shared" ca="1" si="207"/>
        <v>0</v>
      </c>
      <c r="AP153" s="12">
        <f t="shared" ca="1" si="207"/>
        <v>0</v>
      </c>
      <c r="AQ153" s="12">
        <f t="shared" ca="1" si="207"/>
        <v>0</v>
      </c>
      <c r="AR153" s="12">
        <f t="shared" ca="1" si="207"/>
        <v>0</v>
      </c>
      <c r="AS153" s="12">
        <f t="shared" ref="AS153:AT153" ca="1" si="208">SUM(AS150:AS152)</f>
        <v>0</v>
      </c>
      <c r="AT153" s="12">
        <f t="shared" ca="1" si="208"/>
        <v>0</v>
      </c>
    </row>
    <row r="154" spans="1:66" ht="13.5" hidden="1" customHeight="1" outlineLevel="1" x14ac:dyDescent="0.3">
      <c r="C154" s="5"/>
      <c r="D154" s="7"/>
      <c r="AI154" s="104"/>
      <c r="AJ154" s="104"/>
      <c r="AK154" s="104"/>
      <c r="AL154" s="104"/>
      <c r="AM154" s="104"/>
      <c r="AN154" s="104"/>
      <c r="AO154" s="104"/>
      <c r="AP154" s="104"/>
      <c r="AQ154" s="104"/>
      <c r="AR154" s="104"/>
      <c r="AS154" s="104"/>
    </row>
    <row r="155" spans="1:66" ht="13.5" hidden="1" customHeight="1" outlineLevel="1" x14ac:dyDescent="0.3">
      <c r="B155" s="349" t="s">
        <v>668</v>
      </c>
      <c r="C155" s="5"/>
      <c r="D155" s="7"/>
      <c r="AH155" s="334"/>
      <c r="AI155" s="104"/>
      <c r="AJ155" s="104"/>
      <c r="AK155" s="104"/>
      <c r="AL155" s="104"/>
      <c r="AM155" s="104"/>
      <c r="AN155" s="104"/>
      <c r="AO155" s="104"/>
      <c r="AP155" s="104"/>
      <c r="AQ155" s="104"/>
      <c r="AR155" s="104"/>
      <c r="AS155" s="104"/>
    </row>
    <row r="156" spans="1:66" ht="13.5" hidden="1" customHeight="1" outlineLevel="1" x14ac:dyDescent="0.3">
      <c r="B156" s="349"/>
      <c r="C156" s="7" t="s">
        <v>671</v>
      </c>
      <c r="D156" s="20" t="s">
        <v>61</v>
      </c>
      <c r="E156" s="20" t="s">
        <v>669</v>
      </c>
      <c r="J156" s="8">
        <f>$E$152*J142</f>
        <v>0</v>
      </c>
      <c r="K156" s="8">
        <f t="shared" ref="K156:AG156" si="209">$E$152*K142</f>
        <v>0</v>
      </c>
      <c r="L156" s="8">
        <f t="shared" si="209"/>
        <v>0</v>
      </c>
      <c r="M156" s="8">
        <f t="shared" si="209"/>
        <v>0</v>
      </c>
      <c r="N156" s="8">
        <f t="shared" si="209"/>
        <v>0</v>
      </c>
      <c r="O156" s="8">
        <f t="shared" si="209"/>
        <v>0</v>
      </c>
      <c r="P156" s="8">
        <f t="shared" si="209"/>
        <v>0</v>
      </c>
      <c r="Q156" s="8">
        <f t="shared" si="209"/>
        <v>0</v>
      </c>
      <c r="R156" s="8">
        <f t="shared" si="209"/>
        <v>0</v>
      </c>
      <c r="S156" s="8">
        <f t="shared" si="209"/>
        <v>0</v>
      </c>
      <c r="T156" s="8">
        <f t="shared" si="209"/>
        <v>0</v>
      </c>
      <c r="U156" s="8">
        <f t="shared" si="209"/>
        <v>0</v>
      </c>
      <c r="V156" s="8">
        <f t="shared" si="209"/>
        <v>0</v>
      </c>
      <c r="W156" s="8">
        <f t="shared" si="209"/>
        <v>0</v>
      </c>
      <c r="X156" s="8">
        <f t="shared" si="209"/>
        <v>0</v>
      </c>
      <c r="Y156" s="8">
        <f t="shared" si="209"/>
        <v>0</v>
      </c>
      <c r="Z156" s="8">
        <f t="shared" si="209"/>
        <v>0</v>
      </c>
      <c r="AA156" s="8">
        <f t="shared" si="209"/>
        <v>0</v>
      </c>
      <c r="AB156" s="8">
        <f t="shared" si="209"/>
        <v>0</v>
      </c>
      <c r="AC156" s="8">
        <f t="shared" si="209"/>
        <v>0</v>
      </c>
      <c r="AD156" s="8">
        <f t="shared" si="209"/>
        <v>0</v>
      </c>
      <c r="AE156" s="8">
        <f t="shared" si="209"/>
        <v>0</v>
      </c>
      <c r="AF156" s="8">
        <f t="shared" si="209"/>
        <v>0</v>
      </c>
      <c r="AG156" s="8">
        <f t="shared" si="209"/>
        <v>0</v>
      </c>
      <c r="AH156" s="334"/>
      <c r="AI156" s="8">
        <f t="shared" ref="AI156:AT156" si="210">$E$152*AI142</f>
        <v>0</v>
      </c>
      <c r="AJ156" s="8">
        <f t="shared" si="210"/>
        <v>0</v>
      </c>
      <c r="AK156" s="8">
        <f t="shared" si="210"/>
        <v>22010.767943314273</v>
      </c>
      <c r="AL156" s="8">
        <f t="shared" ca="1" si="210"/>
        <v>25605.167507044363</v>
      </c>
      <c r="AM156" s="8">
        <f t="shared" ca="1" si="210"/>
        <v>31551.967660555423</v>
      </c>
      <c r="AN156" s="8">
        <f t="shared" ca="1" si="210"/>
        <v>38254.918678377267</v>
      </c>
      <c r="AO156" s="8">
        <f t="shared" ca="1" si="210"/>
        <v>39082.825000000004</v>
      </c>
      <c r="AP156" s="8">
        <f t="shared" ca="1" si="210"/>
        <v>39082.825000000004</v>
      </c>
      <c r="AQ156" s="8">
        <f t="shared" ca="1" si="210"/>
        <v>39082.825000000004</v>
      </c>
      <c r="AR156" s="8">
        <f t="shared" ca="1" si="210"/>
        <v>39082.825000000004</v>
      </c>
      <c r="AS156" s="8">
        <f t="shared" ca="1" si="210"/>
        <v>39082.825000000004</v>
      </c>
      <c r="AT156" s="8">
        <f t="shared" ca="1" si="210"/>
        <v>39082.825000000004</v>
      </c>
    </row>
    <row r="157" spans="1:66" ht="13.5" hidden="1" customHeight="1" outlineLevel="1" x14ac:dyDescent="0.3">
      <c r="C157" s="20" t="s">
        <v>672</v>
      </c>
      <c r="D157" s="20" t="s">
        <v>61</v>
      </c>
      <c r="E157" s="20" t="s">
        <v>669</v>
      </c>
      <c r="J157" s="8">
        <f>-$F$152*J152</f>
        <v>0</v>
      </c>
      <c r="K157" s="8">
        <f t="shared" ref="K157:AG157" ca="1" si="211">-$F$152*K152</f>
        <v>0</v>
      </c>
      <c r="L157" s="8">
        <f t="shared" ca="1" si="211"/>
        <v>0</v>
      </c>
      <c r="M157" s="8">
        <f t="shared" ca="1" si="211"/>
        <v>0</v>
      </c>
      <c r="N157" s="8">
        <f t="shared" ca="1" si="211"/>
        <v>0</v>
      </c>
      <c r="O157" s="8">
        <f t="shared" ca="1" si="211"/>
        <v>0</v>
      </c>
      <c r="P157" s="8">
        <f t="shared" ca="1" si="211"/>
        <v>0</v>
      </c>
      <c r="Q157" s="8">
        <f t="shared" si="211"/>
        <v>0</v>
      </c>
      <c r="R157" s="8">
        <f t="shared" si="211"/>
        <v>0</v>
      </c>
      <c r="S157" s="8">
        <f t="shared" si="211"/>
        <v>0</v>
      </c>
      <c r="T157" s="8">
        <f t="shared" si="211"/>
        <v>0</v>
      </c>
      <c r="U157" s="8">
        <f t="shared" si="211"/>
        <v>0</v>
      </c>
      <c r="V157" s="8">
        <f t="shared" si="211"/>
        <v>0</v>
      </c>
      <c r="W157" s="8">
        <f t="shared" si="211"/>
        <v>0</v>
      </c>
      <c r="X157" s="8">
        <f t="shared" ca="1" si="211"/>
        <v>0</v>
      </c>
      <c r="Y157" s="8">
        <f t="shared" si="211"/>
        <v>0</v>
      </c>
      <c r="Z157" s="8">
        <f t="shared" si="211"/>
        <v>0</v>
      </c>
      <c r="AA157" s="8">
        <f t="shared" si="211"/>
        <v>0</v>
      </c>
      <c r="AB157" s="8">
        <f t="shared" si="211"/>
        <v>0</v>
      </c>
      <c r="AC157" s="8">
        <f t="shared" si="211"/>
        <v>0</v>
      </c>
      <c r="AD157" s="8">
        <f t="shared" si="211"/>
        <v>0</v>
      </c>
      <c r="AE157" s="8">
        <f t="shared" si="211"/>
        <v>0</v>
      </c>
      <c r="AF157" s="8">
        <f t="shared" si="211"/>
        <v>0</v>
      </c>
      <c r="AG157" s="8">
        <f t="shared" si="211"/>
        <v>0</v>
      </c>
      <c r="AI157" s="8">
        <f>$F$152*AI146</f>
        <v>0</v>
      </c>
      <c r="AJ157" s="8">
        <f>$F$152*AJ146</f>
        <v>0</v>
      </c>
      <c r="AK157" s="8">
        <f>$F$152*AK146</f>
        <v>0</v>
      </c>
      <c r="AL157" s="8">
        <f t="shared" ref="AL157:AT157" si="212">$F$152*AL146</f>
        <v>0</v>
      </c>
      <c r="AM157" s="8">
        <f t="shared" si="212"/>
        <v>0</v>
      </c>
      <c r="AN157" s="8">
        <f t="shared" si="212"/>
        <v>0</v>
      </c>
      <c r="AO157" s="8">
        <f t="shared" si="212"/>
        <v>0</v>
      </c>
      <c r="AP157" s="8">
        <f t="shared" si="212"/>
        <v>0</v>
      </c>
      <c r="AQ157" s="8">
        <f t="shared" si="212"/>
        <v>0</v>
      </c>
      <c r="AR157" s="8">
        <f t="shared" si="212"/>
        <v>0</v>
      </c>
      <c r="AS157" s="8">
        <f t="shared" si="212"/>
        <v>0</v>
      </c>
      <c r="AT157" s="8">
        <f t="shared" si="212"/>
        <v>0</v>
      </c>
    </row>
    <row r="158" spans="1:66" ht="13.5" hidden="1" customHeight="1" outlineLevel="1" x14ac:dyDescent="0.3">
      <c r="C158" s="14" t="s">
        <v>32</v>
      </c>
      <c r="D158" s="14" t="s">
        <v>61</v>
      </c>
      <c r="E158" s="14" t="s">
        <v>669</v>
      </c>
      <c r="J158" s="12">
        <f>SUM(J156:J157)</f>
        <v>0</v>
      </c>
      <c r="K158" s="12">
        <f t="shared" ref="K158:AG158" ca="1" si="213">SUM(K156:K157)</f>
        <v>0</v>
      </c>
      <c r="L158" s="12">
        <f t="shared" ca="1" si="213"/>
        <v>0</v>
      </c>
      <c r="M158" s="12">
        <f t="shared" ca="1" si="213"/>
        <v>0</v>
      </c>
      <c r="N158" s="12">
        <f t="shared" ca="1" si="213"/>
        <v>0</v>
      </c>
      <c r="O158" s="12">
        <f t="shared" ca="1" si="213"/>
        <v>0</v>
      </c>
      <c r="P158" s="12">
        <f t="shared" ca="1" si="213"/>
        <v>0</v>
      </c>
      <c r="Q158" s="12">
        <f t="shared" si="213"/>
        <v>0</v>
      </c>
      <c r="R158" s="12">
        <f t="shared" si="213"/>
        <v>0</v>
      </c>
      <c r="S158" s="12">
        <f t="shared" si="213"/>
        <v>0</v>
      </c>
      <c r="T158" s="12">
        <f t="shared" si="213"/>
        <v>0</v>
      </c>
      <c r="U158" s="12">
        <f t="shared" si="213"/>
        <v>0</v>
      </c>
      <c r="V158" s="12">
        <f t="shared" si="213"/>
        <v>0</v>
      </c>
      <c r="W158" s="12">
        <f t="shared" si="213"/>
        <v>0</v>
      </c>
      <c r="X158" s="12">
        <f t="shared" ca="1" si="213"/>
        <v>0</v>
      </c>
      <c r="Y158" s="12">
        <f t="shared" si="213"/>
        <v>0</v>
      </c>
      <c r="Z158" s="12">
        <f t="shared" si="213"/>
        <v>0</v>
      </c>
      <c r="AA158" s="12">
        <f t="shared" si="213"/>
        <v>0</v>
      </c>
      <c r="AB158" s="12">
        <f t="shared" si="213"/>
        <v>0</v>
      </c>
      <c r="AC158" s="12">
        <f t="shared" si="213"/>
        <v>0</v>
      </c>
      <c r="AD158" s="12">
        <f t="shared" si="213"/>
        <v>0</v>
      </c>
      <c r="AE158" s="12">
        <f t="shared" si="213"/>
        <v>0</v>
      </c>
      <c r="AF158" s="12">
        <f t="shared" si="213"/>
        <v>0</v>
      </c>
      <c r="AG158" s="12">
        <f t="shared" si="213"/>
        <v>0</v>
      </c>
      <c r="AI158" s="12">
        <f>SUM(AI156:AI157)</f>
        <v>0</v>
      </c>
      <c r="AJ158" s="12">
        <f>SUM(AJ156:AJ157)</f>
        <v>0</v>
      </c>
      <c r="AK158" s="12">
        <f>SUM(AK156:AK157)</f>
        <v>22010.767943314273</v>
      </c>
      <c r="AL158" s="12">
        <f ca="1">SUM(AL156:AL157)</f>
        <v>25605.167507044363</v>
      </c>
      <c r="AM158" s="12">
        <f t="shared" ref="AM158:AS158" ca="1" si="214">SUM(AM156:AM157)</f>
        <v>31551.967660555423</v>
      </c>
      <c r="AN158" s="12">
        <f t="shared" ca="1" si="214"/>
        <v>38254.918678377267</v>
      </c>
      <c r="AO158" s="12">
        <f t="shared" ca="1" si="214"/>
        <v>39082.825000000004</v>
      </c>
      <c r="AP158" s="12">
        <f t="shared" ca="1" si="214"/>
        <v>39082.825000000004</v>
      </c>
      <c r="AQ158" s="12">
        <f t="shared" ca="1" si="214"/>
        <v>39082.825000000004</v>
      </c>
      <c r="AR158" s="12">
        <f t="shared" ca="1" si="214"/>
        <v>39082.825000000004</v>
      </c>
      <c r="AS158" s="12">
        <f t="shared" ca="1" si="214"/>
        <v>39082.825000000004</v>
      </c>
      <c r="AT158" s="12">
        <f ca="1">SUM(AT156:AT157)</f>
        <v>39082.825000000004</v>
      </c>
    </row>
    <row r="159" spans="1:66" ht="13.2" hidden="1" customHeight="1" outlineLevel="1" x14ac:dyDescent="0.3">
      <c r="A159" s="10"/>
      <c r="B159" s="10"/>
      <c r="C159" s="5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3"/>
      <c r="AJ159" s="103"/>
      <c r="AK159" s="103"/>
      <c r="AL159" s="103"/>
      <c r="AM159" s="103"/>
      <c r="AN159" s="103"/>
      <c r="AO159" s="103"/>
      <c r="AP159" s="103"/>
      <c r="AQ159" s="103"/>
      <c r="AR159" s="103"/>
      <c r="AS159" s="103"/>
      <c r="AT159" s="103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</row>
    <row r="160" spans="1:66" ht="13.2" hidden="1" customHeight="1" outlineLevel="1" x14ac:dyDescent="0.3">
      <c r="A160" s="10"/>
      <c r="B160" s="10"/>
      <c r="C160" s="5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3"/>
      <c r="AJ160" s="103"/>
      <c r="AK160" s="103"/>
      <c r="AL160" s="103"/>
      <c r="AM160" s="103"/>
      <c r="AN160" s="103"/>
      <c r="AO160" s="103"/>
      <c r="AP160" s="103"/>
      <c r="AQ160" s="103"/>
      <c r="AR160" s="103"/>
      <c r="AS160" s="103"/>
      <c r="AT160" s="103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</row>
    <row r="161" spans="1:66" ht="13.5" customHeight="1" collapsed="1" x14ac:dyDescent="0.3">
      <c r="A161" s="7"/>
      <c r="B161" s="7"/>
      <c r="C161" s="14"/>
      <c r="D161" s="14"/>
      <c r="E161" s="14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104"/>
      <c r="AJ161" s="104"/>
      <c r="AK161" s="104"/>
      <c r="AL161" s="104"/>
      <c r="AM161" s="104"/>
      <c r="AN161" s="104"/>
      <c r="AO161" s="104"/>
      <c r="AP161" s="104"/>
      <c r="AQ161" s="104"/>
      <c r="AR161" s="104"/>
      <c r="AS161" s="104"/>
      <c r="AT161" s="104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</row>
    <row r="162" spans="1:66" ht="13.5" customHeight="1" x14ac:dyDescent="0.3">
      <c r="A162" s="80" t="s">
        <v>197</v>
      </c>
      <c r="B162" s="81"/>
      <c r="C162" s="105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106"/>
      <c r="AJ162" s="106"/>
      <c r="AK162" s="106"/>
      <c r="AL162" s="106"/>
      <c r="AM162" s="106"/>
      <c r="AN162" s="106"/>
      <c r="AO162" s="106"/>
      <c r="AP162" s="106"/>
      <c r="AQ162" s="106"/>
      <c r="AR162" s="106"/>
      <c r="AS162" s="106"/>
      <c r="AT162" s="106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</row>
    <row r="163" spans="1:66" ht="13.5" customHeight="1" x14ac:dyDescent="0.3">
      <c r="A163" s="7"/>
      <c r="B163" s="7"/>
      <c r="C163" s="14"/>
      <c r="D163" s="14"/>
      <c r="E163" s="14"/>
      <c r="F163" s="7"/>
      <c r="G163" s="7"/>
      <c r="H163" s="7"/>
      <c r="I163" s="7"/>
      <c r="J163" s="79">
        <f t="shared" ref="J163:AG163" si="215">J38</f>
        <v>46265</v>
      </c>
      <c r="K163" s="79">
        <f t="shared" si="215"/>
        <v>46295</v>
      </c>
      <c r="L163" s="79">
        <f t="shared" si="215"/>
        <v>46325</v>
      </c>
      <c r="M163" s="79">
        <f t="shared" si="215"/>
        <v>46356</v>
      </c>
      <c r="N163" s="79">
        <f t="shared" si="215"/>
        <v>46386</v>
      </c>
      <c r="O163" s="79">
        <f t="shared" si="215"/>
        <v>46417</v>
      </c>
      <c r="P163" s="79">
        <f t="shared" si="215"/>
        <v>46446</v>
      </c>
      <c r="Q163" s="79">
        <f t="shared" si="215"/>
        <v>46474</v>
      </c>
      <c r="R163" s="79">
        <f t="shared" si="215"/>
        <v>46505</v>
      </c>
      <c r="S163" s="79">
        <f t="shared" si="215"/>
        <v>46535</v>
      </c>
      <c r="T163" s="79">
        <f t="shared" si="215"/>
        <v>46566</v>
      </c>
      <c r="U163" s="79">
        <f t="shared" si="215"/>
        <v>46596</v>
      </c>
      <c r="V163" s="79">
        <f t="shared" si="215"/>
        <v>46627</v>
      </c>
      <c r="W163" s="79">
        <f t="shared" si="215"/>
        <v>46658</v>
      </c>
      <c r="X163" s="79">
        <f t="shared" si="215"/>
        <v>46688</v>
      </c>
      <c r="Y163" s="79">
        <f t="shared" si="215"/>
        <v>46719</v>
      </c>
      <c r="Z163" s="79">
        <f t="shared" si="215"/>
        <v>46749</v>
      </c>
      <c r="AA163" s="79">
        <f t="shared" si="215"/>
        <v>46780</v>
      </c>
      <c r="AB163" s="79">
        <f t="shared" si="215"/>
        <v>46811</v>
      </c>
      <c r="AC163" s="79">
        <f t="shared" si="215"/>
        <v>46840</v>
      </c>
      <c r="AD163" s="79">
        <f t="shared" si="215"/>
        <v>46871</v>
      </c>
      <c r="AE163" s="79">
        <f t="shared" si="215"/>
        <v>46901</v>
      </c>
      <c r="AF163" s="79">
        <f t="shared" si="215"/>
        <v>46932</v>
      </c>
      <c r="AG163" s="79">
        <f t="shared" si="215"/>
        <v>46962</v>
      </c>
      <c r="AH163" s="7"/>
      <c r="AI163" s="6">
        <f>AI38</f>
        <v>2026</v>
      </c>
      <c r="AJ163" s="6">
        <f t="shared" ref="AJ163:AT163" si="216">AI163+1</f>
        <v>2027</v>
      </c>
      <c r="AK163" s="6">
        <f t="shared" si="216"/>
        <v>2028</v>
      </c>
      <c r="AL163" s="6">
        <f t="shared" si="216"/>
        <v>2029</v>
      </c>
      <c r="AM163" s="6">
        <f t="shared" si="216"/>
        <v>2030</v>
      </c>
      <c r="AN163" s="6">
        <f t="shared" si="216"/>
        <v>2031</v>
      </c>
      <c r="AO163" s="6">
        <f t="shared" si="216"/>
        <v>2032</v>
      </c>
      <c r="AP163" s="6">
        <f t="shared" si="216"/>
        <v>2033</v>
      </c>
      <c r="AQ163" s="6">
        <f t="shared" si="216"/>
        <v>2034</v>
      </c>
      <c r="AR163" s="6">
        <f t="shared" si="216"/>
        <v>2035</v>
      </c>
      <c r="AS163" s="6">
        <f t="shared" si="216"/>
        <v>2036</v>
      </c>
      <c r="AT163" s="6">
        <f t="shared" si="216"/>
        <v>2037</v>
      </c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</row>
    <row r="164" spans="1:66" ht="13.5" customHeight="1" x14ac:dyDescent="0.3">
      <c r="A164" s="7"/>
      <c r="B164" s="5" t="s">
        <v>198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</row>
    <row r="165" spans="1:66" ht="13.5" customHeight="1" x14ac:dyDescent="0.3">
      <c r="A165" s="7"/>
      <c r="B165" s="7"/>
      <c r="C165" s="7" t="s">
        <v>199</v>
      </c>
      <c r="D165" s="7" t="s">
        <v>40</v>
      </c>
      <c r="E165" s="107"/>
      <c r="F165" s="7"/>
      <c r="G165" s="7"/>
      <c r="H165" s="7"/>
      <c r="I165" s="7"/>
      <c r="J165" s="8">
        <f t="shared" ref="J165:AG165" si="217">-J56</f>
        <v>0</v>
      </c>
      <c r="K165" s="8">
        <f t="shared" si="217"/>
        <v>0</v>
      </c>
      <c r="L165" s="8">
        <f t="shared" si="217"/>
        <v>0</v>
      </c>
      <c r="M165" s="8">
        <f t="shared" si="217"/>
        <v>0</v>
      </c>
      <c r="N165" s="8">
        <f t="shared" si="217"/>
        <v>0</v>
      </c>
      <c r="O165" s="8">
        <f t="shared" si="217"/>
        <v>0</v>
      </c>
      <c r="P165" s="8">
        <f t="shared" si="217"/>
        <v>0</v>
      </c>
      <c r="Q165" s="8">
        <f t="shared" si="217"/>
        <v>0</v>
      </c>
      <c r="R165" s="8">
        <f t="shared" si="217"/>
        <v>0</v>
      </c>
      <c r="S165" s="8">
        <f t="shared" si="217"/>
        <v>0</v>
      </c>
      <c r="T165" s="8">
        <f t="shared" si="217"/>
        <v>0</v>
      </c>
      <c r="U165" s="8">
        <f t="shared" si="217"/>
        <v>0</v>
      </c>
      <c r="V165" s="8">
        <f t="shared" si="217"/>
        <v>0</v>
      </c>
      <c r="W165" s="8">
        <f t="shared" si="217"/>
        <v>0</v>
      </c>
      <c r="X165" s="8">
        <f t="shared" si="217"/>
        <v>0</v>
      </c>
      <c r="Y165" s="8">
        <f t="shared" si="217"/>
        <v>0</v>
      </c>
      <c r="Z165" s="8">
        <f t="shared" si="217"/>
        <v>0</v>
      </c>
      <c r="AA165" s="8">
        <f t="shared" si="217"/>
        <v>0</v>
      </c>
      <c r="AB165" s="8">
        <f t="shared" si="217"/>
        <v>0</v>
      </c>
      <c r="AC165" s="8">
        <f t="shared" si="217"/>
        <v>0</v>
      </c>
      <c r="AD165" s="8">
        <f t="shared" si="217"/>
        <v>0</v>
      </c>
      <c r="AE165" s="8">
        <f t="shared" si="217"/>
        <v>0</v>
      </c>
      <c r="AF165" s="8">
        <f t="shared" si="217"/>
        <v>0</v>
      </c>
      <c r="AG165" s="8">
        <f t="shared" si="217"/>
        <v>0</v>
      </c>
      <c r="AH165" s="7"/>
      <c r="AI165" s="8">
        <f t="shared" ref="AI165:AJ165" si="218">SUMIF($J$37:$AG$37,AI$37,$J165:$AG165)</f>
        <v>0</v>
      </c>
      <c r="AJ165" s="8">
        <f t="shared" si="218"/>
        <v>0</v>
      </c>
      <c r="AK165" s="8">
        <f t="shared" ref="AK165:AT165" ca="1" si="219">-AK56</f>
        <v>0</v>
      </c>
      <c r="AL165" s="8">
        <f t="shared" ca="1" si="219"/>
        <v>0</v>
      </c>
      <c r="AM165" s="8">
        <f t="shared" ca="1" si="219"/>
        <v>5.4637987903064982</v>
      </c>
      <c r="AN165" s="8">
        <f t="shared" ca="1" si="219"/>
        <v>69.675000000000011</v>
      </c>
      <c r="AO165" s="8">
        <f t="shared" ca="1" si="219"/>
        <v>69.675000000000011</v>
      </c>
      <c r="AP165" s="8">
        <f t="shared" ca="1" si="219"/>
        <v>69.675000000000011</v>
      </c>
      <c r="AQ165" s="8">
        <f t="shared" ca="1" si="219"/>
        <v>69.675000000000011</v>
      </c>
      <c r="AR165" s="8">
        <f t="shared" ca="1" si="219"/>
        <v>69.675000000000011</v>
      </c>
      <c r="AS165" s="8">
        <f t="shared" ca="1" si="219"/>
        <v>69.675000000000011</v>
      </c>
      <c r="AT165" s="8">
        <f t="shared" ca="1" si="219"/>
        <v>69.675000000000011</v>
      </c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</row>
    <row r="166" spans="1:66" ht="13.5" customHeight="1" x14ac:dyDescent="0.3">
      <c r="A166" s="7"/>
      <c r="B166" s="7"/>
      <c r="C166" s="7" t="s">
        <v>200</v>
      </c>
      <c r="D166" s="7" t="s">
        <v>40</v>
      </c>
      <c r="E166" s="107"/>
      <c r="F166" s="7"/>
      <c r="G166" s="7"/>
      <c r="H166" s="7"/>
      <c r="I166" s="7"/>
      <c r="J166" s="8">
        <f t="shared" ref="J166:AG166" si="220">-J53</f>
        <v>0</v>
      </c>
      <c r="K166" s="8">
        <f t="shared" si="220"/>
        <v>0</v>
      </c>
      <c r="L166" s="8">
        <f t="shared" si="220"/>
        <v>0</v>
      </c>
      <c r="M166" s="8">
        <f t="shared" si="220"/>
        <v>0</v>
      </c>
      <c r="N166" s="8">
        <f t="shared" si="220"/>
        <v>0</v>
      </c>
      <c r="O166" s="8">
        <f t="shared" si="220"/>
        <v>0</v>
      </c>
      <c r="P166" s="8">
        <f t="shared" si="220"/>
        <v>0</v>
      </c>
      <c r="Q166" s="8">
        <f t="shared" si="220"/>
        <v>0</v>
      </c>
      <c r="R166" s="8">
        <f t="shared" si="220"/>
        <v>0</v>
      </c>
      <c r="S166" s="8">
        <f t="shared" si="220"/>
        <v>0</v>
      </c>
      <c r="T166" s="8">
        <f t="shared" si="220"/>
        <v>0</v>
      </c>
      <c r="U166" s="8">
        <f t="shared" si="220"/>
        <v>0</v>
      </c>
      <c r="V166" s="8">
        <f t="shared" si="220"/>
        <v>0</v>
      </c>
      <c r="W166" s="8">
        <f t="shared" si="220"/>
        <v>0</v>
      </c>
      <c r="X166" s="8">
        <f t="shared" si="220"/>
        <v>29.039491771632651</v>
      </c>
      <c r="Y166" s="8">
        <f t="shared" si="220"/>
        <v>0</v>
      </c>
      <c r="Z166" s="8">
        <f t="shared" si="220"/>
        <v>0</v>
      </c>
      <c r="AA166" s="8">
        <f t="shared" si="220"/>
        <v>0</v>
      </c>
      <c r="AB166" s="8">
        <f t="shared" si="220"/>
        <v>0</v>
      </c>
      <c r="AC166" s="8">
        <f t="shared" si="220"/>
        <v>0</v>
      </c>
      <c r="AD166" s="8">
        <f t="shared" si="220"/>
        <v>0</v>
      </c>
      <c r="AE166" s="8">
        <f t="shared" si="220"/>
        <v>0</v>
      </c>
      <c r="AF166" s="8">
        <f t="shared" si="220"/>
        <v>0</v>
      </c>
      <c r="AG166" s="8">
        <f t="shared" si="220"/>
        <v>0</v>
      </c>
      <c r="AH166" s="7"/>
      <c r="AI166" s="8">
        <f t="shared" ref="AI166:AJ166" si="221">SUMIF($J$37:$AG$37,AI$37,$J166:$AG166)</f>
        <v>0</v>
      </c>
      <c r="AJ166" s="8">
        <f t="shared" si="221"/>
        <v>29.039491771632651</v>
      </c>
      <c r="AK166" s="8">
        <f t="shared" ref="AK166:AT166" si="222">-AK53</f>
        <v>24.488068248634359</v>
      </c>
      <c r="AL166" s="8">
        <f t="shared" ca="1" si="222"/>
        <v>30.175422099379688</v>
      </c>
      <c r="AM166" s="8">
        <f t="shared" ca="1" si="222"/>
        <v>37.183663881960626</v>
      </c>
      <c r="AN166" s="8">
        <f t="shared" ca="1" si="222"/>
        <v>45</v>
      </c>
      <c r="AO166" s="8">
        <f t="shared" ca="1" si="222"/>
        <v>45</v>
      </c>
      <c r="AP166" s="8">
        <f t="shared" ca="1" si="222"/>
        <v>45</v>
      </c>
      <c r="AQ166" s="8">
        <f t="shared" ca="1" si="222"/>
        <v>45</v>
      </c>
      <c r="AR166" s="8">
        <f t="shared" ca="1" si="222"/>
        <v>45</v>
      </c>
      <c r="AS166" s="8">
        <f t="shared" ca="1" si="222"/>
        <v>45</v>
      </c>
      <c r="AT166" s="8">
        <f t="shared" ca="1" si="222"/>
        <v>45</v>
      </c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</row>
    <row r="167" spans="1:66" ht="13.5" customHeight="1" x14ac:dyDescent="0.3">
      <c r="A167" s="7"/>
      <c r="B167" s="7"/>
      <c r="C167" s="7" t="s">
        <v>201</v>
      </c>
      <c r="D167" s="7" t="s">
        <v>40</v>
      </c>
      <c r="E167" s="107"/>
      <c r="F167" s="7"/>
      <c r="G167" s="7"/>
      <c r="H167" s="7"/>
      <c r="I167" s="7"/>
      <c r="J167" s="8">
        <f t="shared" ref="J167:AG167" si="223">-J63</f>
        <v>0</v>
      </c>
      <c r="K167" s="8">
        <f t="shared" si="223"/>
        <v>0</v>
      </c>
      <c r="L167" s="8">
        <f t="shared" si="223"/>
        <v>0</v>
      </c>
      <c r="M167" s="8">
        <f t="shared" si="223"/>
        <v>0</v>
      </c>
      <c r="N167" s="8">
        <f t="shared" si="223"/>
        <v>0</v>
      </c>
      <c r="O167" s="8">
        <f t="shared" si="223"/>
        <v>0</v>
      </c>
      <c r="P167" s="8">
        <f t="shared" si="223"/>
        <v>0</v>
      </c>
      <c r="Q167" s="8">
        <f t="shared" si="223"/>
        <v>0</v>
      </c>
      <c r="R167" s="8">
        <f t="shared" si="223"/>
        <v>0</v>
      </c>
      <c r="S167" s="8">
        <f t="shared" si="223"/>
        <v>0</v>
      </c>
      <c r="T167" s="8">
        <f t="shared" si="223"/>
        <v>0</v>
      </c>
      <c r="U167" s="8">
        <f t="shared" si="223"/>
        <v>0</v>
      </c>
      <c r="V167" s="8">
        <f t="shared" si="223"/>
        <v>0</v>
      </c>
      <c r="W167" s="8">
        <f t="shared" si="223"/>
        <v>0</v>
      </c>
      <c r="X167" s="8">
        <f t="shared" si="223"/>
        <v>0</v>
      </c>
      <c r="Y167" s="8">
        <f t="shared" si="223"/>
        <v>0</v>
      </c>
      <c r="Z167" s="8">
        <f t="shared" si="223"/>
        <v>0</v>
      </c>
      <c r="AA167" s="8">
        <f t="shared" si="223"/>
        <v>0</v>
      </c>
      <c r="AB167" s="8">
        <f t="shared" si="223"/>
        <v>0</v>
      </c>
      <c r="AC167" s="8">
        <f t="shared" si="223"/>
        <v>0</v>
      </c>
      <c r="AD167" s="8">
        <f t="shared" si="223"/>
        <v>0</v>
      </c>
      <c r="AE167" s="8">
        <f t="shared" si="223"/>
        <v>0</v>
      </c>
      <c r="AF167" s="8">
        <f t="shared" si="223"/>
        <v>0</v>
      </c>
      <c r="AG167" s="8">
        <f t="shared" si="223"/>
        <v>0</v>
      </c>
      <c r="AH167" s="7"/>
      <c r="AI167" s="8">
        <f t="shared" ref="AI167:AJ167" si="224">SUMIF($J$37:$AG$37,AI$37,$J167:$AG167)</f>
        <v>0</v>
      </c>
      <c r="AJ167" s="8">
        <f t="shared" si="224"/>
        <v>0</v>
      </c>
      <c r="AK167" s="8">
        <f t="shared" ref="AK167:AT167" si="225">-AK63</f>
        <v>3.5</v>
      </c>
      <c r="AL167" s="8">
        <f t="shared" si="225"/>
        <v>2.7208964720704856</v>
      </c>
      <c r="AM167" s="8">
        <f t="shared" ca="1" si="225"/>
        <v>3.3528246777088557</v>
      </c>
      <c r="AN167" s="8">
        <f t="shared" ca="1" si="225"/>
        <v>4.1315182091067379</v>
      </c>
      <c r="AO167" s="8">
        <f t="shared" ca="1" si="225"/>
        <v>5.0000000000000018</v>
      </c>
      <c r="AP167" s="8">
        <f t="shared" ca="1" si="225"/>
        <v>5.0000000000000018</v>
      </c>
      <c r="AQ167" s="8">
        <f t="shared" ca="1" si="225"/>
        <v>5.0000000000000018</v>
      </c>
      <c r="AR167" s="8">
        <f t="shared" ca="1" si="225"/>
        <v>5.0000000000000018</v>
      </c>
      <c r="AS167" s="8">
        <f t="shared" ca="1" si="225"/>
        <v>5.0000000000000018</v>
      </c>
      <c r="AT167" s="8">
        <f t="shared" ca="1" si="225"/>
        <v>5.0000000000000018</v>
      </c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</row>
    <row r="168" spans="1:66" ht="13.5" customHeight="1" x14ac:dyDescent="0.3">
      <c r="A168" s="7"/>
      <c r="B168" s="7"/>
      <c r="C168" s="7" t="s">
        <v>671</v>
      </c>
      <c r="D168" s="7" t="s">
        <v>40</v>
      </c>
      <c r="E168" s="107"/>
      <c r="F168" s="7"/>
      <c r="G168" s="7"/>
      <c r="H168" s="7"/>
      <c r="I168" s="7"/>
      <c r="J168" s="8">
        <f t="shared" ref="J168:AG168" si="226">-J95</f>
        <v>0</v>
      </c>
      <c r="K168" s="8">
        <f t="shared" si="226"/>
        <v>0</v>
      </c>
      <c r="L168" s="8">
        <f t="shared" si="226"/>
        <v>0</v>
      </c>
      <c r="M168" s="8">
        <f t="shared" si="226"/>
        <v>0</v>
      </c>
      <c r="N168" s="8">
        <f t="shared" si="226"/>
        <v>0</v>
      </c>
      <c r="O168" s="8">
        <f t="shared" si="226"/>
        <v>0</v>
      </c>
      <c r="P168" s="8">
        <f t="shared" si="226"/>
        <v>0</v>
      </c>
      <c r="Q168" s="8">
        <f t="shared" si="226"/>
        <v>0</v>
      </c>
      <c r="R168" s="8">
        <f t="shared" si="226"/>
        <v>0</v>
      </c>
      <c r="S168" s="8">
        <f t="shared" si="226"/>
        <v>0</v>
      </c>
      <c r="T168" s="8">
        <f t="shared" si="226"/>
        <v>0</v>
      </c>
      <c r="U168" s="8">
        <f t="shared" si="226"/>
        <v>0</v>
      </c>
      <c r="V168" s="8">
        <f t="shared" si="226"/>
        <v>0</v>
      </c>
      <c r="W168" s="8">
        <f t="shared" si="226"/>
        <v>0</v>
      </c>
      <c r="X168" s="8">
        <f t="shared" si="226"/>
        <v>0</v>
      </c>
      <c r="Y168" s="8">
        <f t="shared" si="226"/>
        <v>0</v>
      </c>
      <c r="Z168" s="8">
        <f t="shared" si="226"/>
        <v>0</v>
      </c>
      <c r="AA168" s="8">
        <f t="shared" si="226"/>
        <v>0</v>
      </c>
      <c r="AB168" s="8">
        <f t="shared" si="226"/>
        <v>0</v>
      </c>
      <c r="AC168" s="8">
        <f t="shared" si="226"/>
        <v>0</v>
      </c>
      <c r="AD168" s="8">
        <f t="shared" si="226"/>
        <v>0</v>
      </c>
      <c r="AE168" s="8">
        <f t="shared" si="226"/>
        <v>0</v>
      </c>
      <c r="AF168" s="8">
        <f t="shared" si="226"/>
        <v>0</v>
      </c>
      <c r="AG168" s="8">
        <f t="shared" si="226"/>
        <v>0</v>
      </c>
      <c r="AH168" s="7"/>
      <c r="AI168" s="8">
        <f t="shared" ref="AI168:AJ169" si="227">SUMIF($J$37:$AG$37,AI$37,$J168:$AG168)</f>
        <v>0</v>
      </c>
      <c r="AJ168" s="8">
        <f t="shared" si="227"/>
        <v>0</v>
      </c>
      <c r="AK168" s="8">
        <f t="shared" ref="AK168:AT168" si="228">-AK95</f>
        <v>66.497788348381491</v>
      </c>
      <c r="AL168" s="8">
        <f t="shared" ca="1" si="228"/>
        <v>77.357001531856085</v>
      </c>
      <c r="AM168" s="8">
        <f t="shared" ca="1" si="228"/>
        <v>95.323165137629672</v>
      </c>
      <c r="AN168" s="8">
        <f t="shared" ca="1" si="228"/>
        <v>115.57377244222739</v>
      </c>
      <c r="AO168" s="8">
        <f t="shared" ca="1" si="228"/>
        <v>118.075</v>
      </c>
      <c r="AP168" s="8">
        <f t="shared" ca="1" si="228"/>
        <v>118.075</v>
      </c>
      <c r="AQ168" s="8">
        <f t="shared" ca="1" si="228"/>
        <v>118.075</v>
      </c>
      <c r="AR168" s="8">
        <f t="shared" ca="1" si="228"/>
        <v>118.075</v>
      </c>
      <c r="AS168" s="8">
        <f t="shared" ca="1" si="228"/>
        <v>118.075</v>
      </c>
      <c r="AT168" s="8">
        <f t="shared" ca="1" si="228"/>
        <v>118.075</v>
      </c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</row>
    <row r="169" spans="1:66" ht="13.5" customHeight="1" x14ac:dyDescent="0.3">
      <c r="A169" s="7"/>
      <c r="B169" s="7"/>
      <c r="C169" s="7" t="s">
        <v>679</v>
      </c>
      <c r="D169" s="7" t="s">
        <v>40</v>
      </c>
      <c r="E169" s="107"/>
      <c r="F169" s="7"/>
      <c r="G169" s="7"/>
      <c r="H169" s="7"/>
      <c r="I169" s="7"/>
      <c r="J169" s="8">
        <f>-J152</f>
        <v>0</v>
      </c>
      <c r="K169" s="8">
        <f t="shared" ref="K169:AG169" ca="1" si="229">-K152</f>
        <v>0</v>
      </c>
      <c r="L169" s="8">
        <f t="shared" ca="1" si="229"/>
        <v>0</v>
      </c>
      <c r="M169" s="8">
        <f t="shared" ca="1" si="229"/>
        <v>0</v>
      </c>
      <c r="N169" s="8">
        <f t="shared" ca="1" si="229"/>
        <v>0</v>
      </c>
      <c r="O169" s="8">
        <f t="shared" ca="1" si="229"/>
        <v>0</v>
      </c>
      <c r="P169" s="8">
        <f t="shared" ca="1" si="229"/>
        <v>0</v>
      </c>
      <c r="Q169" s="8">
        <f t="shared" si="229"/>
        <v>0</v>
      </c>
      <c r="R169" s="8">
        <f t="shared" si="229"/>
        <v>0</v>
      </c>
      <c r="S169" s="8">
        <f t="shared" si="229"/>
        <v>0</v>
      </c>
      <c r="T169" s="8">
        <f t="shared" si="229"/>
        <v>0</v>
      </c>
      <c r="U169" s="8">
        <f t="shared" si="229"/>
        <v>0</v>
      </c>
      <c r="V169" s="8">
        <f t="shared" si="229"/>
        <v>0</v>
      </c>
      <c r="W169" s="8">
        <f t="shared" si="229"/>
        <v>0</v>
      </c>
      <c r="X169" s="8">
        <f t="shared" ca="1" si="229"/>
        <v>0</v>
      </c>
      <c r="Y169" s="8">
        <f t="shared" si="229"/>
        <v>0</v>
      </c>
      <c r="Z169" s="8">
        <f t="shared" si="229"/>
        <v>0</v>
      </c>
      <c r="AA169" s="8">
        <f t="shared" si="229"/>
        <v>0</v>
      </c>
      <c r="AB169" s="8">
        <f t="shared" si="229"/>
        <v>0</v>
      </c>
      <c r="AC169" s="8">
        <f t="shared" si="229"/>
        <v>0</v>
      </c>
      <c r="AD169" s="8">
        <f t="shared" si="229"/>
        <v>0</v>
      </c>
      <c r="AE169" s="8">
        <f t="shared" si="229"/>
        <v>0</v>
      </c>
      <c r="AF169" s="8">
        <f t="shared" si="229"/>
        <v>0</v>
      </c>
      <c r="AG169" s="8">
        <f t="shared" si="229"/>
        <v>0</v>
      </c>
      <c r="AH169" s="7"/>
      <c r="AI169" s="8">
        <f t="shared" ca="1" si="227"/>
        <v>0</v>
      </c>
      <c r="AJ169" s="8">
        <f t="shared" ca="1" si="227"/>
        <v>0</v>
      </c>
      <c r="AK169" s="8">
        <f>AK146</f>
        <v>0</v>
      </c>
      <c r="AL169" s="8">
        <f t="shared" ref="AL169:AT169" si="230">AL146</f>
        <v>0</v>
      </c>
      <c r="AM169" s="8">
        <f t="shared" si="230"/>
        <v>0</v>
      </c>
      <c r="AN169" s="8">
        <f t="shared" si="230"/>
        <v>0</v>
      </c>
      <c r="AO169" s="8">
        <f t="shared" si="230"/>
        <v>0</v>
      </c>
      <c r="AP169" s="8">
        <f t="shared" si="230"/>
        <v>0</v>
      </c>
      <c r="AQ169" s="8">
        <f t="shared" si="230"/>
        <v>0</v>
      </c>
      <c r="AR169" s="8">
        <f t="shared" si="230"/>
        <v>0</v>
      </c>
      <c r="AS169" s="8">
        <f t="shared" si="230"/>
        <v>0</v>
      </c>
      <c r="AT169" s="8">
        <f t="shared" si="230"/>
        <v>0</v>
      </c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</row>
    <row r="170" spans="1:66" ht="13.5" customHeight="1" x14ac:dyDescent="0.3">
      <c r="A170" s="7"/>
      <c r="B170" s="7"/>
      <c r="C170" s="5" t="s">
        <v>29</v>
      </c>
      <c r="D170" s="7" t="s">
        <v>40</v>
      </c>
      <c r="E170" s="7"/>
      <c r="F170" s="7"/>
      <c r="G170" s="7"/>
      <c r="H170" s="7"/>
      <c r="I170" s="7"/>
      <c r="J170" s="12">
        <f t="shared" ref="J170:AG170" si="231">SUM(J165:J168)</f>
        <v>0</v>
      </c>
      <c r="K170" s="12">
        <f t="shared" si="231"/>
        <v>0</v>
      </c>
      <c r="L170" s="12">
        <f t="shared" si="231"/>
        <v>0</v>
      </c>
      <c r="M170" s="12">
        <f t="shared" si="231"/>
        <v>0</v>
      </c>
      <c r="N170" s="12">
        <f t="shared" si="231"/>
        <v>0</v>
      </c>
      <c r="O170" s="12">
        <f t="shared" si="231"/>
        <v>0</v>
      </c>
      <c r="P170" s="12">
        <f t="shared" si="231"/>
        <v>0</v>
      </c>
      <c r="Q170" s="12">
        <f t="shared" si="231"/>
        <v>0</v>
      </c>
      <c r="R170" s="12">
        <f t="shared" si="231"/>
        <v>0</v>
      </c>
      <c r="S170" s="12">
        <f t="shared" si="231"/>
        <v>0</v>
      </c>
      <c r="T170" s="12">
        <f t="shared" si="231"/>
        <v>0</v>
      </c>
      <c r="U170" s="12">
        <f t="shared" si="231"/>
        <v>0</v>
      </c>
      <c r="V170" s="12">
        <f t="shared" si="231"/>
        <v>0</v>
      </c>
      <c r="W170" s="12">
        <f t="shared" si="231"/>
        <v>0</v>
      </c>
      <c r="X170" s="12">
        <f t="shared" si="231"/>
        <v>29.039491771632651</v>
      </c>
      <c r="Y170" s="12">
        <f t="shared" si="231"/>
        <v>0</v>
      </c>
      <c r="Z170" s="12">
        <f t="shared" si="231"/>
        <v>0</v>
      </c>
      <c r="AA170" s="12">
        <f t="shared" si="231"/>
        <v>0</v>
      </c>
      <c r="AB170" s="12">
        <f t="shared" si="231"/>
        <v>0</v>
      </c>
      <c r="AC170" s="12">
        <f t="shared" si="231"/>
        <v>0</v>
      </c>
      <c r="AD170" s="12">
        <f t="shared" si="231"/>
        <v>0</v>
      </c>
      <c r="AE170" s="12">
        <f t="shared" si="231"/>
        <v>0</v>
      </c>
      <c r="AF170" s="12">
        <f t="shared" si="231"/>
        <v>0</v>
      </c>
      <c r="AG170" s="12">
        <f t="shared" si="231"/>
        <v>0</v>
      </c>
      <c r="AH170" s="7"/>
      <c r="AI170" s="12">
        <f ca="1">SUM(AI165:AI169)</f>
        <v>0</v>
      </c>
      <c r="AJ170" s="12">
        <f ca="1">SUM(AJ165:AJ169)</f>
        <v>29.039491771632651</v>
      </c>
      <c r="AK170" s="12">
        <f ca="1">SUM(AK165:AK169)</f>
        <v>94.485856597015854</v>
      </c>
      <c r="AL170" s="12">
        <f t="shared" ref="AL170:AT170" ca="1" si="232">SUM(AL165:AL169)</f>
        <v>110.25332010330627</v>
      </c>
      <c r="AM170" s="12">
        <f t="shared" ca="1" si="232"/>
        <v>141.32345248760566</v>
      </c>
      <c r="AN170" s="12">
        <f t="shared" ca="1" si="232"/>
        <v>234.38029065133415</v>
      </c>
      <c r="AO170" s="12">
        <f t="shared" ca="1" si="232"/>
        <v>237.75</v>
      </c>
      <c r="AP170" s="12">
        <f t="shared" ca="1" si="232"/>
        <v>237.75</v>
      </c>
      <c r="AQ170" s="12">
        <f t="shared" ca="1" si="232"/>
        <v>237.75</v>
      </c>
      <c r="AR170" s="12">
        <f t="shared" ca="1" si="232"/>
        <v>237.75</v>
      </c>
      <c r="AS170" s="12">
        <f t="shared" ca="1" si="232"/>
        <v>237.75</v>
      </c>
      <c r="AT170" s="12">
        <f t="shared" ca="1" si="232"/>
        <v>237.75</v>
      </c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</row>
    <row r="171" spans="1:66" ht="13.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</row>
    <row r="172" spans="1:66" ht="13.5" customHeight="1" x14ac:dyDescent="0.3">
      <c r="A172" s="2" t="s">
        <v>0</v>
      </c>
      <c r="B172" s="3" t="s">
        <v>64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/>
      <c r="BK172" s="41"/>
      <c r="BL172" s="41"/>
      <c r="BM172" s="41"/>
      <c r="BN172" s="41"/>
    </row>
    <row r="173" spans="1:66" ht="14.25" customHeight="1" x14ac:dyDescent="0.3">
      <c r="A173" s="7"/>
      <c r="B173" s="5" t="s">
        <v>202</v>
      </c>
      <c r="C173" s="7"/>
      <c r="D173" s="5" t="s">
        <v>203</v>
      </c>
      <c r="E173" s="5" t="s">
        <v>204</v>
      </c>
      <c r="F173" s="7"/>
      <c r="G173" s="7"/>
      <c r="H173" s="7"/>
      <c r="I173" s="7"/>
      <c r="J173" s="79">
        <f t="shared" ref="J173:AG173" si="233">J163</f>
        <v>46265</v>
      </c>
      <c r="K173" s="79">
        <f t="shared" si="233"/>
        <v>46295</v>
      </c>
      <c r="L173" s="79">
        <f t="shared" si="233"/>
        <v>46325</v>
      </c>
      <c r="M173" s="79">
        <f t="shared" si="233"/>
        <v>46356</v>
      </c>
      <c r="N173" s="79">
        <f t="shared" si="233"/>
        <v>46386</v>
      </c>
      <c r="O173" s="79">
        <f t="shared" si="233"/>
        <v>46417</v>
      </c>
      <c r="P173" s="79">
        <f t="shared" si="233"/>
        <v>46446</v>
      </c>
      <c r="Q173" s="79">
        <f t="shared" si="233"/>
        <v>46474</v>
      </c>
      <c r="R173" s="79">
        <f t="shared" si="233"/>
        <v>46505</v>
      </c>
      <c r="S173" s="79">
        <f t="shared" si="233"/>
        <v>46535</v>
      </c>
      <c r="T173" s="79">
        <f t="shared" si="233"/>
        <v>46566</v>
      </c>
      <c r="U173" s="79">
        <f t="shared" si="233"/>
        <v>46596</v>
      </c>
      <c r="V173" s="79">
        <f t="shared" si="233"/>
        <v>46627</v>
      </c>
      <c r="W173" s="79">
        <f t="shared" si="233"/>
        <v>46658</v>
      </c>
      <c r="X173" s="79">
        <f t="shared" si="233"/>
        <v>46688</v>
      </c>
      <c r="Y173" s="79">
        <f t="shared" si="233"/>
        <v>46719</v>
      </c>
      <c r="Z173" s="79">
        <f t="shared" si="233"/>
        <v>46749</v>
      </c>
      <c r="AA173" s="79">
        <f t="shared" si="233"/>
        <v>46780</v>
      </c>
      <c r="AB173" s="79">
        <f t="shared" si="233"/>
        <v>46811</v>
      </c>
      <c r="AC173" s="79">
        <f t="shared" si="233"/>
        <v>46840</v>
      </c>
      <c r="AD173" s="79">
        <f t="shared" si="233"/>
        <v>46871</v>
      </c>
      <c r="AE173" s="79">
        <f t="shared" si="233"/>
        <v>46901</v>
      </c>
      <c r="AF173" s="79">
        <f t="shared" si="233"/>
        <v>46932</v>
      </c>
      <c r="AG173" s="79">
        <f t="shared" si="233"/>
        <v>46962</v>
      </c>
      <c r="AH173" s="7"/>
      <c r="AI173" s="6">
        <f>AI163</f>
        <v>2026</v>
      </c>
      <c r="AJ173" s="6">
        <f t="shared" ref="AJ173:AT173" si="234">AI173+1</f>
        <v>2027</v>
      </c>
      <c r="AK173" s="6">
        <f t="shared" si="234"/>
        <v>2028</v>
      </c>
      <c r="AL173" s="6">
        <f t="shared" si="234"/>
        <v>2029</v>
      </c>
      <c r="AM173" s="6">
        <f t="shared" si="234"/>
        <v>2030</v>
      </c>
      <c r="AN173" s="6">
        <f t="shared" si="234"/>
        <v>2031</v>
      </c>
      <c r="AO173" s="6">
        <f t="shared" si="234"/>
        <v>2032</v>
      </c>
      <c r="AP173" s="6">
        <f t="shared" si="234"/>
        <v>2033</v>
      </c>
      <c r="AQ173" s="6">
        <f t="shared" si="234"/>
        <v>2034</v>
      </c>
      <c r="AR173" s="6">
        <f t="shared" si="234"/>
        <v>2035</v>
      </c>
      <c r="AS173" s="6">
        <f t="shared" si="234"/>
        <v>2036</v>
      </c>
      <c r="AT173" s="6">
        <f t="shared" si="234"/>
        <v>2037</v>
      </c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</row>
    <row r="174" spans="1:66" ht="14.25" customHeight="1" x14ac:dyDescent="0.3">
      <c r="A174" s="7"/>
      <c r="B174" s="7"/>
      <c r="C174" s="15" t="s">
        <v>199</v>
      </c>
      <c r="D174" s="7" t="s">
        <v>61</v>
      </c>
      <c r="E174" s="108">
        <f>'Cattle Feeding Cycle'!AI106</f>
        <v>276.39999999999998</v>
      </c>
      <c r="F174" s="15"/>
      <c r="G174" s="7"/>
      <c r="H174" s="7"/>
      <c r="I174" s="7"/>
      <c r="J174" s="88">
        <f t="shared" ref="J174:AG174" si="235">$E174*J165</f>
        <v>0</v>
      </c>
      <c r="K174" s="88">
        <f t="shared" si="235"/>
        <v>0</v>
      </c>
      <c r="L174" s="88">
        <f t="shared" si="235"/>
        <v>0</v>
      </c>
      <c r="M174" s="88">
        <f t="shared" si="235"/>
        <v>0</v>
      </c>
      <c r="N174" s="88">
        <f t="shared" si="235"/>
        <v>0</v>
      </c>
      <c r="O174" s="88">
        <f t="shared" si="235"/>
        <v>0</v>
      </c>
      <c r="P174" s="88">
        <f t="shared" si="235"/>
        <v>0</v>
      </c>
      <c r="Q174" s="88">
        <f t="shared" si="235"/>
        <v>0</v>
      </c>
      <c r="R174" s="88">
        <f t="shared" si="235"/>
        <v>0</v>
      </c>
      <c r="S174" s="88">
        <f t="shared" si="235"/>
        <v>0</v>
      </c>
      <c r="T174" s="88">
        <f t="shared" si="235"/>
        <v>0</v>
      </c>
      <c r="U174" s="88">
        <f t="shared" si="235"/>
        <v>0</v>
      </c>
      <c r="V174" s="88">
        <f t="shared" si="235"/>
        <v>0</v>
      </c>
      <c r="W174" s="88">
        <f t="shared" si="235"/>
        <v>0</v>
      </c>
      <c r="X174" s="88">
        <f t="shared" si="235"/>
        <v>0</v>
      </c>
      <c r="Y174" s="88">
        <f t="shared" si="235"/>
        <v>0</v>
      </c>
      <c r="Z174" s="88">
        <f t="shared" si="235"/>
        <v>0</v>
      </c>
      <c r="AA174" s="88">
        <f t="shared" si="235"/>
        <v>0</v>
      </c>
      <c r="AB174" s="88">
        <f t="shared" si="235"/>
        <v>0</v>
      </c>
      <c r="AC174" s="88">
        <f t="shared" si="235"/>
        <v>0</v>
      </c>
      <c r="AD174" s="88">
        <f t="shared" si="235"/>
        <v>0</v>
      </c>
      <c r="AE174" s="88">
        <f t="shared" si="235"/>
        <v>0</v>
      </c>
      <c r="AF174" s="88">
        <f t="shared" si="235"/>
        <v>0</v>
      </c>
      <c r="AG174" s="88">
        <f t="shared" si="235"/>
        <v>0</v>
      </c>
      <c r="AH174" s="7"/>
      <c r="AI174" s="8">
        <f t="shared" ref="AI174:AJ174" si="236">SUMIF($J$37:$AG$37,AI$37,$J174:$AG174)</f>
        <v>0</v>
      </c>
      <c r="AJ174" s="8">
        <f t="shared" si="236"/>
        <v>0</v>
      </c>
      <c r="AK174" s="88">
        <f t="shared" ref="AK174:AS174" ca="1" si="237">$E174*AK165</f>
        <v>0</v>
      </c>
      <c r="AL174" s="88">
        <f t="shared" ca="1" si="237"/>
        <v>0</v>
      </c>
      <c r="AM174" s="88">
        <f t="shared" ca="1" si="237"/>
        <v>1510.1939856407159</v>
      </c>
      <c r="AN174" s="88">
        <f t="shared" ca="1" si="237"/>
        <v>19258.170000000002</v>
      </c>
      <c r="AO174" s="88">
        <f t="shared" ca="1" si="237"/>
        <v>19258.170000000002</v>
      </c>
      <c r="AP174" s="88">
        <f t="shared" ca="1" si="237"/>
        <v>19258.170000000002</v>
      </c>
      <c r="AQ174" s="88">
        <f t="shared" ca="1" si="237"/>
        <v>19258.170000000002</v>
      </c>
      <c r="AR174" s="88">
        <f t="shared" ca="1" si="237"/>
        <v>19258.170000000002</v>
      </c>
      <c r="AS174" s="88">
        <f t="shared" ca="1" si="237"/>
        <v>19258.170000000002</v>
      </c>
      <c r="AT174" s="88">
        <f t="shared" ref="AT174" ca="1" si="238">$E174*AT165</f>
        <v>19258.170000000002</v>
      </c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</row>
    <row r="175" spans="1:66" ht="14.25" customHeight="1" x14ac:dyDescent="0.3">
      <c r="A175" s="7"/>
      <c r="B175" s="7"/>
      <c r="C175" s="15" t="s">
        <v>200</v>
      </c>
      <c r="D175" s="7" t="s">
        <v>61</v>
      </c>
      <c r="E175" s="109">
        <f>'Cattle Feeding Cycle'!AI103</f>
        <v>600</v>
      </c>
      <c r="F175" s="7"/>
      <c r="G175" s="7"/>
      <c r="H175" s="7"/>
      <c r="I175" s="7"/>
      <c r="J175" s="88">
        <f t="shared" ref="J175:AG175" si="239">$E175*J166</f>
        <v>0</v>
      </c>
      <c r="K175" s="88">
        <f t="shared" si="239"/>
        <v>0</v>
      </c>
      <c r="L175" s="88">
        <f t="shared" si="239"/>
        <v>0</v>
      </c>
      <c r="M175" s="88">
        <f t="shared" si="239"/>
        <v>0</v>
      </c>
      <c r="N175" s="88">
        <f t="shared" si="239"/>
        <v>0</v>
      </c>
      <c r="O175" s="88">
        <f t="shared" si="239"/>
        <v>0</v>
      </c>
      <c r="P175" s="88">
        <f t="shared" si="239"/>
        <v>0</v>
      </c>
      <c r="Q175" s="88">
        <f t="shared" si="239"/>
        <v>0</v>
      </c>
      <c r="R175" s="88">
        <f t="shared" si="239"/>
        <v>0</v>
      </c>
      <c r="S175" s="88">
        <f t="shared" si="239"/>
        <v>0</v>
      </c>
      <c r="T175" s="88">
        <f t="shared" si="239"/>
        <v>0</v>
      </c>
      <c r="U175" s="88">
        <f t="shared" si="239"/>
        <v>0</v>
      </c>
      <c r="V175" s="88">
        <f t="shared" si="239"/>
        <v>0</v>
      </c>
      <c r="W175" s="88">
        <f t="shared" si="239"/>
        <v>0</v>
      </c>
      <c r="X175" s="88">
        <f t="shared" si="239"/>
        <v>17423.69506297959</v>
      </c>
      <c r="Y175" s="88">
        <f t="shared" si="239"/>
        <v>0</v>
      </c>
      <c r="Z175" s="88">
        <f t="shared" si="239"/>
        <v>0</v>
      </c>
      <c r="AA175" s="88">
        <f t="shared" si="239"/>
        <v>0</v>
      </c>
      <c r="AB175" s="88">
        <f t="shared" si="239"/>
        <v>0</v>
      </c>
      <c r="AC175" s="88">
        <f t="shared" si="239"/>
        <v>0</v>
      </c>
      <c r="AD175" s="88">
        <f t="shared" si="239"/>
        <v>0</v>
      </c>
      <c r="AE175" s="88">
        <f t="shared" si="239"/>
        <v>0</v>
      </c>
      <c r="AF175" s="88">
        <f t="shared" si="239"/>
        <v>0</v>
      </c>
      <c r="AG175" s="88">
        <f t="shared" si="239"/>
        <v>0</v>
      </c>
      <c r="AH175" s="7"/>
      <c r="AI175" s="8">
        <f t="shared" ref="AI175:AJ175" si="240">SUMIF($J$37:$AG$37,AI$37,$J175:$AG175)</f>
        <v>0</v>
      </c>
      <c r="AJ175" s="8">
        <f t="shared" si="240"/>
        <v>17423.69506297959</v>
      </c>
      <c r="AK175" s="88">
        <f>$E175*AK166</f>
        <v>14692.840949180616</v>
      </c>
      <c r="AL175" s="88">
        <f t="shared" ref="AL175:AS175" ca="1" si="241">$E175*AL166</f>
        <v>18105.253259627814</v>
      </c>
      <c r="AM175" s="88">
        <f t="shared" ca="1" si="241"/>
        <v>22310.198329176375</v>
      </c>
      <c r="AN175" s="88">
        <f t="shared" ca="1" si="241"/>
        <v>27000</v>
      </c>
      <c r="AO175" s="88">
        <f t="shared" ca="1" si="241"/>
        <v>27000</v>
      </c>
      <c r="AP175" s="88">
        <f t="shared" ca="1" si="241"/>
        <v>27000</v>
      </c>
      <c r="AQ175" s="88">
        <f t="shared" ca="1" si="241"/>
        <v>27000</v>
      </c>
      <c r="AR175" s="88">
        <f t="shared" ca="1" si="241"/>
        <v>27000</v>
      </c>
      <c r="AS175" s="88">
        <f t="shared" ca="1" si="241"/>
        <v>27000</v>
      </c>
      <c r="AT175" s="88">
        <f t="shared" ref="AT175" ca="1" si="242">$E175*AT166</f>
        <v>27000</v>
      </c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</row>
    <row r="176" spans="1:66" ht="14.25" customHeight="1" x14ac:dyDescent="0.3">
      <c r="A176" s="7"/>
      <c r="B176" s="7"/>
      <c r="C176" s="15" t="s">
        <v>205</v>
      </c>
      <c r="D176" s="7" t="s">
        <v>61</v>
      </c>
      <c r="E176" s="109">
        <v>750</v>
      </c>
      <c r="F176" s="7"/>
      <c r="G176" s="7"/>
      <c r="H176" s="7"/>
      <c r="I176" s="7"/>
      <c r="J176" s="88">
        <f t="shared" ref="J176:AG176" si="243">$E176*J167</f>
        <v>0</v>
      </c>
      <c r="K176" s="88">
        <f t="shared" si="243"/>
        <v>0</v>
      </c>
      <c r="L176" s="88">
        <f t="shared" si="243"/>
        <v>0</v>
      </c>
      <c r="M176" s="88">
        <f t="shared" si="243"/>
        <v>0</v>
      </c>
      <c r="N176" s="88">
        <f t="shared" si="243"/>
        <v>0</v>
      </c>
      <c r="O176" s="88">
        <f t="shared" si="243"/>
        <v>0</v>
      </c>
      <c r="P176" s="88">
        <f t="shared" si="243"/>
        <v>0</v>
      </c>
      <c r="Q176" s="88">
        <f t="shared" si="243"/>
        <v>0</v>
      </c>
      <c r="R176" s="88">
        <f t="shared" si="243"/>
        <v>0</v>
      </c>
      <c r="S176" s="88">
        <f t="shared" si="243"/>
        <v>0</v>
      </c>
      <c r="T176" s="88">
        <f t="shared" si="243"/>
        <v>0</v>
      </c>
      <c r="U176" s="88">
        <f t="shared" si="243"/>
        <v>0</v>
      </c>
      <c r="V176" s="88">
        <f t="shared" si="243"/>
        <v>0</v>
      </c>
      <c r="W176" s="88">
        <f t="shared" si="243"/>
        <v>0</v>
      </c>
      <c r="X176" s="88">
        <f t="shared" si="243"/>
        <v>0</v>
      </c>
      <c r="Y176" s="88">
        <f t="shared" si="243"/>
        <v>0</v>
      </c>
      <c r="Z176" s="88">
        <f t="shared" si="243"/>
        <v>0</v>
      </c>
      <c r="AA176" s="88">
        <f t="shared" si="243"/>
        <v>0</v>
      </c>
      <c r="AB176" s="88">
        <f t="shared" si="243"/>
        <v>0</v>
      </c>
      <c r="AC176" s="88">
        <f t="shared" si="243"/>
        <v>0</v>
      </c>
      <c r="AD176" s="88">
        <f t="shared" si="243"/>
        <v>0</v>
      </c>
      <c r="AE176" s="88">
        <f t="shared" si="243"/>
        <v>0</v>
      </c>
      <c r="AF176" s="88">
        <f t="shared" si="243"/>
        <v>0</v>
      </c>
      <c r="AG176" s="88">
        <f t="shared" si="243"/>
        <v>0</v>
      </c>
      <c r="AH176" s="7"/>
      <c r="AI176" s="8">
        <f t="shared" ref="AI176:AJ176" si="244">SUMIF($J$37:$AG$37,AI$37,$J176:$AG176)</f>
        <v>0</v>
      </c>
      <c r="AJ176" s="8">
        <f t="shared" si="244"/>
        <v>0</v>
      </c>
      <c r="AK176" s="88">
        <f>$E176*AK167</f>
        <v>2625</v>
      </c>
      <c r="AL176" s="88">
        <f t="shared" ref="AL176:AS176" si="245">$E176*AL167</f>
        <v>2040.6723540528642</v>
      </c>
      <c r="AM176" s="88">
        <f t="shared" ca="1" si="245"/>
        <v>2514.6185082816419</v>
      </c>
      <c r="AN176" s="88">
        <f t="shared" ca="1" si="245"/>
        <v>3098.6386568300536</v>
      </c>
      <c r="AO176" s="88">
        <f t="shared" ca="1" si="245"/>
        <v>3750.0000000000014</v>
      </c>
      <c r="AP176" s="88">
        <f t="shared" ca="1" si="245"/>
        <v>3750.0000000000014</v>
      </c>
      <c r="AQ176" s="88">
        <f t="shared" ca="1" si="245"/>
        <v>3750.0000000000014</v>
      </c>
      <c r="AR176" s="88">
        <f t="shared" ca="1" si="245"/>
        <v>3750.0000000000014</v>
      </c>
      <c r="AS176" s="88">
        <f t="shared" ca="1" si="245"/>
        <v>3750.0000000000014</v>
      </c>
      <c r="AT176" s="88">
        <f t="shared" ref="AT176" ca="1" si="246">$E176*AT167</f>
        <v>3750.0000000000014</v>
      </c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</row>
    <row r="177" spans="1:66" ht="14.25" customHeight="1" x14ac:dyDescent="0.3">
      <c r="A177" s="7"/>
      <c r="B177" s="7"/>
      <c r="C177" s="7" t="s">
        <v>671</v>
      </c>
      <c r="D177" s="7" t="s">
        <v>61</v>
      </c>
      <c r="E177" s="108">
        <f>IF(Input!F64="Зимний",'Cattle Feeding Cycle'!AI107,'Cattle Feeding Cycle'!AI105)</f>
        <v>331</v>
      </c>
      <c r="F177" s="7"/>
      <c r="G177" s="7"/>
      <c r="H177" s="7"/>
      <c r="I177" s="7"/>
      <c r="J177" s="88">
        <f t="shared" ref="J177:AG177" si="247">$E177*J168</f>
        <v>0</v>
      </c>
      <c r="K177" s="88">
        <f t="shared" si="247"/>
        <v>0</v>
      </c>
      <c r="L177" s="88">
        <f t="shared" si="247"/>
        <v>0</v>
      </c>
      <c r="M177" s="88">
        <f t="shared" si="247"/>
        <v>0</v>
      </c>
      <c r="N177" s="88">
        <f t="shared" si="247"/>
        <v>0</v>
      </c>
      <c r="O177" s="88">
        <f t="shared" si="247"/>
        <v>0</v>
      </c>
      <c r="P177" s="88">
        <f t="shared" si="247"/>
        <v>0</v>
      </c>
      <c r="Q177" s="88">
        <f t="shared" si="247"/>
        <v>0</v>
      </c>
      <c r="R177" s="88">
        <f t="shared" si="247"/>
        <v>0</v>
      </c>
      <c r="S177" s="88">
        <f t="shared" si="247"/>
        <v>0</v>
      </c>
      <c r="T177" s="88">
        <f t="shared" si="247"/>
        <v>0</v>
      </c>
      <c r="U177" s="88">
        <f t="shared" si="247"/>
        <v>0</v>
      </c>
      <c r="V177" s="88">
        <f t="shared" si="247"/>
        <v>0</v>
      </c>
      <c r="W177" s="88">
        <f t="shared" si="247"/>
        <v>0</v>
      </c>
      <c r="X177" s="88">
        <f t="shared" si="247"/>
        <v>0</v>
      </c>
      <c r="Y177" s="88">
        <f t="shared" si="247"/>
        <v>0</v>
      </c>
      <c r="Z177" s="88">
        <f t="shared" si="247"/>
        <v>0</v>
      </c>
      <c r="AA177" s="88">
        <f t="shared" si="247"/>
        <v>0</v>
      </c>
      <c r="AB177" s="88">
        <f t="shared" si="247"/>
        <v>0</v>
      </c>
      <c r="AC177" s="88">
        <f t="shared" si="247"/>
        <v>0</v>
      </c>
      <c r="AD177" s="88">
        <f t="shared" si="247"/>
        <v>0</v>
      </c>
      <c r="AE177" s="88">
        <f t="shared" si="247"/>
        <v>0</v>
      </c>
      <c r="AF177" s="88">
        <f t="shared" si="247"/>
        <v>0</v>
      </c>
      <c r="AG177" s="88">
        <f t="shared" si="247"/>
        <v>0</v>
      </c>
      <c r="AH177" s="7"/>
      <c r="AI177" s="8">
        <f>SUMIF($J$37:$AG$37,AI$37,$J177:$AG177)</f>
        <v>0</v>
      </c>
      <c r="AJ177" s="8">
        <f>SUMIF($J$37:$AG$37,AJ$37,$J177:$AG177)</f>
        <v>0</v>
      </c>
      <c r="AK177" s="88">
        <f>$E177*AK168</f>
        <v>22010.767943314273</v>
      </c>
      <c r="AL177" s="88">
        <f t="shared" ref="AL177:AS177" ca="1" si="248">$E177*AL168</f>
        <v>25605.167507044363</v>
      </c>
      <c r="AM177" s="88">
        <f t="shared" ca="1" si="248"/>
        <v>31551.967660555423</v>
      </c>
      <c r="AN177" s="88">
        <f t="shared" ca="1" si="248"/>
        <v>38254.918678377267</v>
      </c>
      <c r="AO177" s="88">
        <f t="shared" ca="1" si="248"/>
        <v>39082.825000000004</v>
      </c>
      <c r="AP177" s="88">
        <f t="shared" ca="1" si="248"/>
        <v>39082.825000000004</v>
      </c>
      <c r="AQ177" s="88">
        <f t="shared" ca="1" si="248"/>
        <v>39082.825000000004</v>
      </c>
      <c r="AR177" s="88">
        <f t="shared" ca="1" si="248"/>
        <v>39082.825000000004</v>
      </c>
      <c r="AS177" s="88">
        <f t="shared" ca="1" si="248"/>
        <v>39082.825000000004</v>
      </c>
      <c r="AT177" s="88">
        <f t="shared" ref="AT177" ca="1" si="249">$E177*AT168</f>
        <v>39082.825000000004</v>
      </c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</row>
    <row r="178" spans="1:66" ht="14.25" customHeight="1" x14ac:dyDescent="0.3">
      <c r="A178" s="7"/>
      <c r="B178" s="7"/>
      <c r="C178" s="7" t="s">
        <v>679</v>
      </c>
      <c r="D178" s="7" t="s">
        <v>61</v>
      </c>
      <c r="E178" s="108">
        <f>F152</f>
        <v>347.5</v>
      </c>
      <c r="F178" s="7"/>
      <c r="G178" s="7"/>
      <c r="H178" s="7"/>
      <c r="I178" s="7"/>
      <c r="J178" s="88">
        <f>J157</f>
        <v>0</v>
      </c>
      <c r="K178" s="88">
        <f t="shared" ref="K178:AG178" ca="1" si="250">K157</f>
        <v>0</v>
      </c>
      <c r="L178" s="88">
        <f t="shared" ca="1" si="250"/>
        <v>0</v>
      </c>
      <c r="M178" s="88">
        <f t="shared" ca="1" si="250"/>
        <v>0</v>
      </c>
      <c r="N178" s="88">
        <f t="shared" ca="1" si="250"/>
        <v>0</v>
      </c>
      <c r="O178" s="88">
        <f t="shared" ca="1" si="250"/>
        <v>0</v>
      </c>
      <c r="P178" s="88">
        <f t="shared" ca="1" si="250"/>
        <v>0</v>
      </c>
      <c r="Q178" s="88">
        <f t="shared" si="250"/>
        <v>0</v>
      </c>
      <c r="R178" s="88">
        <f t="shared" si="250"/>
        <v>0</v>
      </c>
      <c r="S178" s="88">
        <f t="shared" si="250"/>
        <v>0</v>
      </c>
      <c r="T178" s="88">
        <f t="shared" si="250"/>
        <v>0</v>
      </c>
      <c r="U178" s="88">
        <f t="shared" si="250"/>
        <v>0</v>
      </c>
      <c r="V178" s="88">
        <f t="shared" si="250"/>
        <v>0</v>
      </c>
      <c r="W178" s="88">
        <f t="shared" si="250"/>
        <v>0</v>
      </c>
      <c r="X178" s="88">
        <f t="shared" ca="1" si="250"/>
        <v>0</v>
      </c>
      <c r="Y178" s="88">
        <f t="shared" si="250"/>
        <v>0</v>
      </c>
      <c r="Z178" s="88">
        <f t="shared" si="250"/>
        <v>0</v>
      </c>
      <c r="AA178" s="88">
        <f t="shared" si="250"/>
        <v>0</v>
      </c>
      <c r="AB178" s="88">
        <f t="shared" si="250"/>
        <v>0</v>
      </c>
      <c r="AC178" s="88">
        <f t="shared" si="250"/>
        <v>0</v>
      </c>
      <c r="AD178" s="88">
        <f t="shared" si="250"/>
        <v>0</v>
      </c>
      <c r="AE178" s="88">
        <f t="shared" si="250"/>
        <v>0</v>
      </c>
      <c r="AF178" s="88">
        <f t="shared" si="250"/>
        <v>0</v>
      </c>
      <c r="AG178" s="88">
        <f t="shared" si="250"/>
        <v>0</v>
      </c>
      <c r="AH178" s="7"/>
      <c r="AI178" s="8">
        <f ca="1">SUMIF($J$37:$AG$37,AI$37,$J178:$AG178)</f>
        <v>0</v>
      </c>
      <c r="AJ178" s="8">
        <f ca="1">SUMIF($J$37:$AG$37,AJ$37,$J178:$AG178)</f>
        <v>0</v>
      </c>
      <c r="AK178" s="8">
        <f>AK157</f>
        <v>0</v>
      </c>
      <c r="AL178" s="8">
        <f t="shared" ref="AL178:AT178" si="251">AL157</f>
        <v>0</v>
      </c>
      <c r="AM178" s="8">
        <f t="shared" si="251"/>
        <v>0</v>
      </c>
      <c r="AN178" s="8">
        <f t="shared" si="251"/>
        <v>0</v>
      </c>
      <c r="AO178" s="8">
        <f t="shared" si="251"/>
        <v>0</v>
      </c>
      <c r="AP178" s="8">
        <f t="shared" si="251"/>
        <v>0</v>
      </c>
      <c r="AQ178" s="8">
        <f t="shared" si="251"/>
        <v>0</v>
      </c>
      <c r="AR178" s="8">
        <f t="shared" si="251"/>
        <v>0</v>
      </c>
      <c r="AS178" s="8">
        <f t="shared" si="251"/>
        <v>0</v>
      </c>
      <c r="AT178" s="8">
        <f t="shared" si="251"/>
        <v>0</v>
      </c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</row>
    <row r="179" spans="1:66" ht="14.2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55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</row>
    <row r="180" spans="1:66" ht="14.25" customHeight="1" x14ac:dyDescent="0.3">
      <c r="A180" s="7"/>
      <c r="B180" s="5" t="s">
        <v>206</v>
      </c>
      <c r="C180" s="7"/>
      <c r="D180" s="5" t="s">
        <v>4</v>
      </c>
      <c r="E180" s="5" t="s">
        <v>207</v>
      </c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68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</row>
    <row r="181" spans="1:66" ht="14.25" customHeight="1" x14ac:dyDescent="0.3">
      <c r="A181" s="7"/>
      <c r="B181" s="7"/>
      <c r="C181" s="15" t="s">
        <v>199</v>
      </c>
      <c r="D181" s="7" t="s">
        <v>4</v>
      </c>
      <c r="E181" s="109">
        <v>2200</v>
      </c>
      <c r="F181" s="7"/>
      <c r="G181" s="7"/>
      <c r="H181" s="7"/>
      <c r="I181" s="7"/>
      <c r="J181" s="88">
        <f t="shared" ref="J181:J186" si="252">E181</f>
        <v>2200</v>
      </c>
      <c r="K181" s="88">
        <f t="shared" ref="K181:AG181" si="253">J181*K$31</f>
        <v>2200</v>
      </c>
      <c r="L181" s="88">
        <f t="shared" si="253"/>
        <v>2200</v>
      </c>
      <c r="M181" s="88">
        <f t="shared" si="253"/>
        <v>2200</v>
      </c>
      <c r="N181" s="88">
        <f t="shared" si="253"/>
        <v>2200</v>
      </c>
      <c r="O181" s="88">
        <f t="shared" si="253"/>
        <v>2431</v>
      </c>
      <c r="P181" s="88">
        <f t="shared" si="253"/>
        <v>2431</v>
      </c>
      <c r="Q181" s="88">
        <f t="shared" si="253"/>
        <v>2431</v>
      </c>
      <c r="R181" s="88">
        <f t="shared" si="253"/>
        <v>2431</v>
      </c>
      <c r="S181" s="88">
        <f t="shared" si="253"/>
        <v>2431</v>
      </c>
      <c r="T181" s="88">
        <f t="shared" si="253"/>
        <v>2431</v>
      </c>
      <c r="U181" s="88">
        <f t="shared" si="253"/>
        <v>2431</v>
      </c>
      <c r="V181" s="88">
        <f t="shared" si="253"/>
        <v>2431</v>
      </c>
      <c r="W181" s="88">
        <f t="shared" si="253"/>
        <v>2431</v>
      </c>
      <c r="X181" s="88">
        <f t="shared" si="253"/>
        <v>2431</v>
      </c>
      <c r="Y181" s="88">
        <f t="shared" si="253"/>
        <v>2431</v>
      </c>
      <c r="Z181" s="88">
        <f t="shared" si="253"/>
        <v>2431</v>
      </c>
      <c r="AA181" s="88">
        <f t="shared" si="253"/>
        <v>2674.1000000000004</v>
      </c>
      <c r="AB181" s="88">
        <f t="shared" si="253"/>
        <v>2674.1000000000004</v>
      </c>
      <c r="AC181" s="88">
        <f t="shared" si="253"/>
        <v>2674.1000000000004</v>
      </c>
      <c r="AD181" s="88">
        <f t="shared" si="253"/>
        <v>2674.1000000000004</v>
      </c>
      <c r="AE181" s="88">
        <f t="shared" si="253"/>
        <v>2674.1000000000004</v>
      </c>
      <c r="AF181" s="88">
        <f t="shared" si="253"/>
        <v>2674.1000000000004</v>
      </c>
      <c r="AG181" s="88">
        <f t="shared" si="253"/>
        <v>2674.1000000000004</v>
      </c>
      <c r="AH181" s="7"/>
      <c r="AI181" s="88">
        <f t="shared" ref="AI181:AI186" si="254">E181</f>
        <v>2200</v>
      </c>
      <c r="AJ181" s="88">
        <f t="shared" ref="AJ181:AT181" si="255">AI181*(1+AJ$31)</f>
        <v>2431</v>
      </c>
      <c r="AK181" s="88">
        <f t="shared" si="255"/>
        <v>2674.1000000000004</v>
      </c>
      <c r="AL181" s="88">
        <f t="shared" si="255"/>
        <v>2928.1395000000002</v>
      </c>
      <c r="AM181" s="88">
        <f t="shared" si="255"/>
        <v>3191.6720550000005</v>
      </c>
      <c r="AN181" s="88">
        <f t="shared" si="255"/>
        <v>3462.9641796750002</v>
      </c>
      <c r="AO181" s="88">
        <f t="shared" si="255"/>
        <v>3740.0013140490005</v>
      </c>
      <c r="AP181" s="88">
        <f t="shared" si="255"/>
        <v>4001.8014060324308</v>
      </c>
      <c r="AQ181" s="88">
        <f t="shared" si="255"/>
        <v>4261.9184974245381</v>
      </c>
      <c r="AR181" s="88">
        <f t="shared" si="255"/>
        <v>4517.6336072700105</v>
      </c>
      <c r="AS181" s="88">
        <f t="shared" si="255"/>
        <v>4743.5152876335114</v>
      </c>
      <c r="AT181" s="88">
        <f t="shared" si="255"/>
        <v>4980.6910520151869</v>
      </c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</row>
    <row r="182" spans="1:66" ht="14.25" customHeight="1" x14ac:dyDescent="0.3">
      <c r="A182" s="7"/>
      <c r="B182" s="7"/>
      <c r="C182" s="15" t="s">
        <v>200</v>
      </c>
      <c r="D182" s="7" t="s">
        <v>4</v>
      </c>
      <c r="E182" s="109">
        <v>1800</v>
      </c>
      <c r="F182" s="7"/>
      <c r="G182" s="7"/>
      <c r="H182" s="7"/>
      <c r="I182" s="7"/>
      <c r="J182" s="88">
        <f t="shared" si="252"/>
        <v>1800</v>
      </c>
      <c r="K182" s="88">
        <f t="shared" ref="K182:AG182" si="256">J182*K$31</f>
        <v>1800</v>
      </c>
      <c r="L182" s="88">
        <f t="shared" si="256"/>
        <v>1800</v>
      </c>
      <c r="M182" s="88">
        <f t="shared" si="256"/>
        <v>1800</v>
      </c>
      <c r="N182" s="88">
        <f t="shared" si="256"/>
        <v>1800</v>
      </c>
      <c r="O182" s="88">
        <f t="shared" si="256"/>
        <v>1989</v>
      </c>
      <c r="P182" s="88">
        <f t="shared" si="256"/>
        <v>1989</v>
      </c>
      <c r="Q182" s="88">
        <f t="shared" si="256"/>
        <v>1989</v>
      </c>
      <c r="R182" s="88">
        <f t="shared" si="256"/>
        <v>1989</v>
      </c>
      <c r="S182" s="88">
        <f t="shared" si="256"/>
        <v>1989</v>
      </c>
      <c r="T182" s="88">
        <f t="shared" si="256"/>
        <v>1989</v>
      </c>
      <c r="U182" s="88">
        <f t="shared" si="256"/>
        <v>1989</v>
      </c>
      <c r="V182" s="88">
        <f t="shared" si="256"/>
        <v>1989</v>
      </c>
      <c r="W182" s="88">
        <f t="shared" si="256"/>
        <v>1989</v>
      </c>
      <c r="X182" s="88">
        <f t="shared" si="256"/>
        <v>1989</v>
      </c>
      <c r="Y182" s="88">
        <f t="shared" si="256"/>
        <v>1989</v>
      </c>
      <c r="Z182" s="88">
        <f t="shared" si="256"/>
        <v>1989</v>
      </c>
      <c r="AA182" s="88">
        <f t="shared" si="256"/>
        <v>2187.9</v>
      </c>
      <c r="AB182" s="88">
        <f t="shared" si="256"/>
        <v>2187.9</v>
      </c>
      <c r="AC182" s="88">
        <f t="shared" si="256"/>
        <v>2187.9</v>
      </c>
      <c r="AD182" s="88">
        <f t="shared" si="256"/>
        <v>2187.9</v>
      </c>
      <c r="AE182" s="88">
        <f t="shared" si="256"/>
        <v>2187.9</v>
      </c>
      <c r="AF182" s="88">
        <f t="shared" si="256"/>
        <v>2187.9</v>
      </c>
      <c r="AG182" s="88">
        <f t="shared" si="256"/>
        <v>2187.9</v>
      </c>
      <c r="AH182" s="7"/>
      <c r="AI182" s="88">
        <f t="shared" si="254"/>
        <v>1800</v>
      </c>
      <c r="AJ182" s="88">
        <f t="shared" ref="AJ182:AT182" si="257">AI182*(1+AJ$31)</f>
        <v>1989</v>
      </c>
      <c r="AK182" s="88">
        <f t="shared" si="257"/>
        <v>2187.9</v>
      </c>
      <c r="AL182" s="88">
        <f t="shared" si="257"/>
        <v>2395.7505000000001</v>
      </c>
      <c r="AM182" s="88">
        <f t="shared" si="257"/>
        <v>2611.3680450000002</v>
      </c>
      <c r="AN182" s="88">
        <f t="shared" si="257"/>
        <v>2833.3343288250003</v>
      </c>
      <c r="AO182" s="88">
        <f t="shared" si="257"/>
        <v>3060.0010751310006</v>
      </c>
      <c r="AP182" s="88">
        <f t="shared" si="257"/>
        <v>3274.2011503901708</v>
      </c>
      <c r="AQ182" s="88">
        <f t="shared" si="257"/>
        <v>3487.0242251655318</v>
      </c>
      <c r="AR182" s="88">
        <f t="shared" si="257"/>
        <v>3696.2456786754638</v>
      </c>
      <c r="AS182" s="88">
        <f t="shared" si="257"/>
        <v>3881.0579626092372</v>
      </c>
      <c r="AT182" s="88">
        <f t="shared" si="257"/>
        <v>4075.1108607396991</v>
      </c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</row>
    <row r="183" spans="1:66" ht="14.25" customHeight="1" x14ac:dyDescent="0.3">
      <c r="A183" s="7"/>
      <c r="B183" s="7"/>
      <c r="C183" s="15" t="s">
        <v>205</v>
      </c>
      <c r="D183" s="7" t="s">
        <v>4</v>
      </c>
      <c r="E183" s="109">
        <v>2200</v>
      </c>
      <c r="F183" s="7"/>
      <c r="G183" s="7"/>
      <c r="H183" s="7"/>
      <c r="I183" s="7"/>
      <c r="J183" s="88">
        <f t="shared" si="252"/>
        <v>2200</v>
      </c>
      <c r="K183" s="88">
        <f t="shared" ref="K183:AG183" si="258">J183*K$31</f>
        <v>2200</v>
      </c>
      <c r="L183" s="88">
        <f t="shared" si="258"/>
        <v>2200</v>
      </c>
      <c r="M183" s="88">
        <f t="shared" si="258"/>
        <v>2200</v>
      </c>
      <c r="N183" s="88">
        <f t="shared" si="258"/>
        <v>2200</v>
      </c>
      <c r="O183" s="88">
        <f t="shared" si="258"/>
        <v>2431</v>
      </c>
      <c r="P183" s="88">
        <f t="shared" si="258"/>
        <v>2431</v>
      </c>
      <c r="Q183" s="88">
        <f t="shared" si="258"/>
        <v>2431</v>
      </c>
      <c r="R183" s="88">
        <f t="shared" si="258"/>
        <v>2431</v>
      </c>
      <c r="S183" s="88">
        <f t="shared" si="258"/>
        <v>2431</v>
      </c>
      <c r="T183" s="88">
        <f t="shared" si="258"/>
        <v>2431</v>
      </c>
      <c r="U183" s="88">
        <f t="shared" si="258"/>
        <v>2431</v>
      </c>
      <c r="V183" s="88">
        <f t="shared" si="258"/>
        <v>2431</v>
      </c>
      <c r="W183" s="88">
        <f t="shared" si="258"/>
        <v>2431</v>
      </c>
      <c r="X183" s="88">
        <f t="shared" si="258"/>
        <v>2431</v>
      </c>
      <c r="Y183" s="88">
        <f t="shared" si="258"/>
        <v>2431</v>
      </c>
      <c r="Z183" s="88">
        <f t="shared" si="258"/>
        <v>2431</v>
      </c>
      <c r="AA183" s="88">
        <f t="shared" si="258"/>
        <v>2674.1000000000004</v>
      </c>
      <c r="AB183" s="88">
        <f t="shared" si="258"/>
        <v>2674.1000000000004</v>
      </c>
      <c r="AC183" s="88">
        <f t="shared" si="258"/>
        <v>2674.1000000000004</v>
      </c>
      <c r="AD183" s="88">
        <f t="shared" si="258"/>
        <v>2674.1000000000004</v>
      </c>
      <c r="AE183" s="88">
        <f t="shared" si="258"/>
        <v>2674.1000000000004</v>
      </c>
      <c r="AF183" s="88">
        <f t="shared" si="258"/>
        <v>2674.1000000000004</v>
      </c>
      <c r="AG183" s="88">
        <f t="shared" si="258"/>
        <v>2674.1000000000004</v>
      </c>
      <c r="AH183" s="7"/>
      <c r="AI183" s="88">
        <f t="shared" si="254"/>
        <v>2200</v>
      </c>
      <c r="AJ183" s="88">
        <f t="shared" ref="AJ183:AT183" si="259">AI183*(1+AJ$31)</f>
        <v>2431</v>
      </c>
      <c r="AK183" s="88">
        <f t="shared" si="259"/>
        <v>2674.1000000000004</v>
      </c>
      <c r="AL183" s="88">
        <f t="shared" si="259"/>
        <v>2928.1395000000002</v>
      </c>
      <c r="AM183" s="88">
        <f t="shared" si="259"/>
        <v>3191.6720550000005</v>
      </c>
      <c r="AN183" s="88">
        <f t="shared" si="259"/>
        <v>3462.9641796750002</v>
      </c>
      <c r="AO183" s="88">
        <f t="shared" si="259"/>
        <v>3740.0013140490005</v>
      </c>
      <c r="AP183" s="88">
        <f t="shared" si="259"/>
        <v>4001.8014060324308</v>
      </c>
      <c r="AQ183" s="88">
        <f t="shared" si="259"/>
        <v>4261.9184974245381</v>
      </c>
      <c r="AR183" s="88">
        <f t="shared" si="259"/>
        <v>4517.6336072700105</v>
      </c>
      <c r="AS183" s="88">
        <f t="shared" si="259"/>
        <v>4743.5152876335114</v>
      </c>
      <c r="AT183" s="88">
        <f t="shared" si="259"/>
        <v>4980.6910520151869</v>
      </c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</row>
    <row r="184" spans="1:66" ht="14.25" customHeight="1" x14ac:dyDescent="0.3">
      <c r="A184" s="7"/>
      <c r="B184" s="7"/>
      <c r="C184" s="7" t="s">
        <v>671</v>
      </c>
      <c r="D184" s="7" t="s">
        <v>4</v>
      </c>
      <c r="E184" s="109">
        <v>2200</v>
      </c>
      <c r="F184" s="7"/>
      <c r="G184" s="7"/>
      <c r="H184" s="7"/>
      <c r="I184" s="7"/>
      <c r="J184" s="88">
        <f t="shared" si="252"/>
        <v>2200</v>
      </c>
      <c r="K184" s="88">
        <f t="shared" ref="K184:AG184" si="260">J184*K$31</f>
        <v>2200</v>
      </c>
      <c r="L184" s="88">
        <f t="shared" si="260"/>
        <v>2200</v>
      </c>
      <c r="M184" s="88">
        <f t="shared" si="260"/>
        <v>2200</v>
      </c>
      <c r="N184" s="88">
        <f t="shared" si="260"/>
        <v>2200</v>
      </c>
      <c r="O184" s="88">
        <f t="shared" si="260"/>
        <v>2431</v>
      </c>
      <c r="P184" s="88">
        <f t="shared" si="260"/>
        <v>2431</v>
      </c>
      <c r="Q184" s="88">
        <f t="shared" si="260"/>
        <v>2431</v>
      </c>
      <c r="R184" s="88">
        <f t="shared" si="260"/>
        <v>2431</v>
      </c>
      <c r="S184" s="88">
        <f t="shared" si="260"/>
        <v>2431</v>
      </c>
      <c r="T184" s="88">
        <f t="shared" si="260"/>
        <v>2431</v>
      </c>
      <c r="U184" s="88">
        <f t="shared" si="260"/>
        <v>2431</v>
      </c>
      <c r="V184" s="88">
        <f t="shared" si="260"/>
        <v>2431</v>
      </c>
      <c r="W184" s="88">
        <f t="shared" si="260"/>
        <v>2431</v>
      </c>
      <c r="X184" s="88">
        <f t="shared" si="260"/>
        <v>2431</v>
      </c>
      <c r="Y184" s="88">
        <f t="shared" si="260"/>
        <v>2431</v>
      </c>
      <c r="Z184" s="88">
        <f t="shared" si="260"/>
        <v>2431</v>
      </c>
      <c r="AA184" s="88">
        <f t="shared" si="260"/>
        <v>2674.1000000000004</v>
      </c>
      <c r="AB184" s="88">
        <f t="shared" si="260"/>
        <v>2674.1000000000004</v>
      </c>
      <c r="AC184" s="88">
        <f t="shared" si="260"/>
        <v>2674.1000000000004</v>
      </c>
      <c r="AD184" s="88">
        <f t="shared" si="260"/>
        <v>2674.1000000000004</v>
      </c>
      <c r="AE184" s="88">
        <f t="shared" si="260"/>
        <v>2674.1000000000004</v>
      </c>
      <c r="AF184" s="88">
        <f t="shared" si="260"/>
        <v>2674.1000000000004</v>
      </c>
      <c r="AG184" s="88">
        <f t="shared" si="260"/>
        <v>2674.1000000000004</v>
      </c>
      <c r="AH184" s="7"/>
      <c r="AI184" s="88">
        <f t="shared" si="254"/>
        <v>2200</v>
      </c>
      <c r="AJ184" s="88">
        <f t="shared" ref="AJ184:AT186" si="261">AI184*(1+AJ$31)</f>
        <v>2431</v>
      </c>
      <c r="AK184" s="88">
        <f t="shared" si="261"/>
        <v>2674.1000000000004</v>
      </c>
      <c r="AL184" s="88">
        <f t="shared" si="261"/>
        <v>2928.1395000000002</v>
      </c>
      <c r="AM184" s="88">
        <f t="shared" si="261"/>
        <v>3191.6720550000005</v>
      </c>
      <c r="AN184" s="88">
        <f t="shared" si="261"/>
        <v>3462.9641796750002</v>
      </c>
      <c r="AO184" s="88">
        <f t="shared" si="261"/>
        <v>3740.0013140490005</v>
      </c>
      <c r="AP184" s="88">
        <f t="shared" si="261"/>
        <v>4001.8014060324308</v>
      </c>
      <c r="AQ184" s="88">
        <f t="shared" si="261"/>
        <v>4261.9184974245381</v>
      </c>
      <c r="AR184" s="88">
        <f t="shared" si="261"/>
        <v>4517.6336072700105</v>
      </c>
      <c r="AS184" s="88">
        <f t="shared" si="261"/>
        <v>4743.5152876335114</v>
      </c>
      <c r="AT184" s="88">
        <f t="shared" si="261"/>
        <v>4980.6910520151869</v>
      </c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</row>
    <row r="185" spans="1:66" ht="14.25" customHeight="1" x14ac:dyDescent="0.3">
      <c r="A185" s="7"/>
      <c r="B185" s="7"/>
      <c r="C185" s="7" t="s">
        <v>681</v>
      </c>
      <c r="D185" s="7" t="s">
        <v>4</v>
      </c>
      <c r="E185" s="109">
        <v>2200</v>
      </c>
      <c r="F185" s="7"/>
      <c r="G185" s="7"/>
      <c r="H185" s="7"/>
      <c r="I185" s="7"/>
      <c r="J185" s="88">
        <f t="shared" si="252"/>
        <v>2200</v>
      </c>
      <c r="K185" s="88">
        <f t="shared" ref="K185:AG185" si="262">J185*K$31</f>
        <v>2200</v>
      </c>
      <c r="L185" s="88">
        <f t="shared" si="262"/>
        <v>2200</v>
      </c>
      <c r="M185" s="88">
        <f t="shared" si="262"/>
        <v>2200</v>
      </c>
      <c r="N185" s="88">
        <f t="shared" si="262"/>
        <v>2200</v>
      </c>
      <c r="O185" s="88">
        <f t="shared" si="262"/>
        <v>2431</v>
      </c>
      <c r="P185" s="88">
        <f t="shared" si="262"/>
        <v>2431</v>
      </c>
      <c r="Q185" s="88">
        <f t="shared" si="262"/>
        <v>2431</v>
      </c>
      <c r="R185" s="88">
        <f t="shared" si="262"/>
        <v>2431</v>
      </c>
      <c r="S185" s="88">
        <f t="shared" si="262"/>
        <v>2431</v>
      </c>
      <c r="T185" s="88">
        <f t="shared" si="262"/>
        <v>2431</v>
      </c>
      <c r="U185" s="88">
        <f t="shared" si="262"/>
        <v>2431</v>
      </c>
      <c r="V185" s="88">
        <f t="shared" si="262"/>
        <v>2431</v>
      </c>
      <c r="W185" s="88">
        <f t="shared" si="262"/>
        <v>2431</v>
      </c>
      <c r="X185" s="88">
        <f t="shared" si="262"/>
        <v>2431</v>
      </c>
      <c r="Y185" s="88">
        <f t="shared" si="262"/>
        <v>2431</v>
      </c>
      <c r="Z185" s="88">
        <f t="shared" si="262"/>
        <v>2431</v>
      </c>
      <c r="AA185" s="88">
        <f t="shared" si="262"/>
        <v>2674.1000000000004</v>
      </c>
      <c r="AB185" s="88">
        <f t="shared" si="262"/>
        <v>2674.1000000000004</v>
      </c>
      <c r="AC185" s="88">
        <f t="shared" si="262"/>
        <v>2674.1000000000004</v>
      </c>
      <c r="AD185" s="88">
        <f t="shared" si="262"/>
        <v>2674.1000000000004</v>
      </c>
      <c r="AE185" s="88">
        <f t="shared" si="262"/>
        <v>2674.1000000000004</v>
      </c>
      <c r="AF185" s="88">
        <f t="shared" si="262"/>
        <v>2674.1000000000004</v>
      </c>
      <c r="AG185" s="88">
        <f t="shared" si="262"/>
        <v>2674.1000000000004</v>
      </c>
      <c r="AH185" s="7"/>
      <c r="AI185" s="88">
        <f t="shared" si="254"/>
        <v>2200</v>
      </c>
      <c r="AJ185" s="88">
        <f t="shared" si="261"/>
        <v>2431</v>
      </c>
      <c r="AK185" s="88">
        <f t="shared" ref="AK185" si="263">AJ185*(1+AK$31)</f>
        <v>2674.1000000000004</v>
      </c>
      <c r="AL185" s="88">
        <f t="shared" ref="AL185" si="264">AK185*(1+AL$31)</f>
        <v>2928.1395000000002</v>
      </c>
      <c r="AM185" s="88">
        <f t="shared" ref="AM185" si="265">AL185*(1+AM$31)</f>
        <v>3191.6720550000005</v>
      </c>
      <c r="AN185" s="88">
        <f t="shared" ref="AN185" si="266">AM185*(1+AN$31)</f>
        <v>3462.9641796750002</v>
      </c>
      <c r="AO185" s="88">
        <f t="shared" ref="AO185" si="267">AN185*(1+AO$31)</f>
        <v>3740.0013140490005</v>
      </c>
      <c r="AP185" s="88">
        <f t="shared" ref="AP185" si="268">AO185*(1+AP$31)</f>
        <v>4001.8014060324308</v>
      </c>
      <c r="AQ185" s="88">
        <f t="shared" ref="AQ185" si="269">AP185*(1+AQ$31)</f>
        <v>4261.9184974245381</v>
      </c>
      <c r="AR185" s="88">
        <f t="shared" ref="AR185" si="270">AQ185*(1+AR$31)</f>
        <v>4517.6336072700105</v>
      </c>
      <c r="AS185" s="88">
        <f t="shared" ref="AS185" si="271">AR185*(1+AS$31)</f>
        <v>4743.5152876335114</v>
      </c>
      <c r="AT185" s="88">
        <f t="shared" ref="AT185" si="272">AS185*(1+AT$31)</f>
        <v>4980.6910520151869</v>
      </c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</row>
    <row r="186" spans="1:66" ht="14.25" customHeight="1" x14ac:dyDescent="0.3">
      <c r="A186" s="7"/>
      <c r="B186" s="7"/>
      <c r="C186" s="7" t="s">
        <v>682</v>
      </c>
      <c r="D186" s="7" t="s">
        <v>4</v>
      </c>
      <c r="E186" s="109">
        <v>1800</v>
      </c>
      <c r="F186" s="7"/>
      <c r="G186" s="7"/>
      <c r="H186" s="7"/>
      <c r="I186" s="7"/>
      <c r="J186" s="88">
        <f t="shared" si="252"/>
        <v>1800</v>
      </c>
      <c r="K186" s="88">
        <f t="shared" ref="K186:AG186" si="273">J186*K$31</f>
        <v>1800</v>
      </c>
      <c r="L186" s="88">
        <f t="shared" si="273"/>
        <v>1800</v>
      </c>
      <c r="M186" s="88">
        <f t="shared" si="273"/>
        <v>1800</v>
      </c>
      <c r="N186" s="88">
        <f t="shared" si="273"/>
        <v>1800</v>
      </c>
      <c r="O186" s="88">
        <f t="shared" si="273"/>
        <v>1989</v>
      </c>
      <c r="P186" s="88">
        <f t="shared" si="273"/>
        <v>1989</v>
      </c>
      <c r="Q186" s="88">
        <f t="shared" si="273"/>
        <v>1989</v>
      </c>
      <c r="R186" s="88">
        <f t="shared" si="273"/>
        <v>1989</v>
      </c>
      <c r="S186" s="88">
        <f t="shared" si="273"/>
        <v>1989</v>
      </c>
      <c r="T186" s="88">
        <f t="shared" si="273"/>
        <v>1989</v>
      </c>
      <c r="U186" s="88">
        <f t="shared" si="273"/>
        <v>1989</v>
      </c>
      <c r="V186" s="88">
        <f t="shared" si="273"/>
        <v>1989</v>
      </c>
      <c r="W186" s="88">
        <f t="shared" si="273"/>
        <v>1989</v>
      </c>
      <c r="X186" s="88">
        <f t="shared" si="273"/>
        <v>1989</v>
      </c>
      <c r="Y186" s="88">
        <f t="shared" si="273"/>
        <v>1989</v>
      </c>
      <c r="Z186" s="88">
        <f t="shared" si="273"/>
        <v>1989</v>
      </c>
      <c r="AA186" s="88">
        <f t="shared" si="273"/>
        <v>2187.9</v>
      </c>
      <c r="AB186" s="88">
        <f t="shared" si="273"/>
        <v>2187.9</v>
      </c>
      <c r="AC186" s="88">
        <f t="shared" si="273"/>
        <v>2187.9</v>
      </c>
      <c r="AD186" s="88">
        <f t="shared" si="273"/>
        <v>2187.9</v>
      </c>
      <c r="AE186" s="88">
        <f t="shared" si="273"/>
        <v>2187.9</v>
      </c>
      <c r="AF186" s="88">
        <f t="shared" si="273"/>
        <v>2187.9</v>
      </c>
      <c r="AG186" s="88">
        <f t="shared" si="273"/>
        <v>2187.9</v>
      </c>
      <c r="AH186" s="7"/>
      <c r="AI186" s="88">
        <f t="shared" si="254"/>
        <v>1800</v>
      </c>
      <c r="AJ186" s="88">
        <f t="shared" si="261"/>
        <v>1989</v>
      </c>
      <c r="AK186" s="88">
        <f t="shared" ref="AK186" si="274">AJ186*(1+AK$31)</f>
        <v>2187.9</v>
      </c>
      <c r="AL186" s="88">
        <f t="shared" ref="AL186" si="275">AK186*(1+AL$31)</f>
        <v>2395.7505000000001</v>
      </c>
      <c r="AM186" s="88">
        <f t="shared" ref="AM186" si="276">AL186*(1+AM$31)</f>
        <v>2611.3680450000002</v>
      </c>
      <c r="AN186" s="88">
        <f t="shared" ref="AN186" si="277">AM186*(1+AN$31)</f>
        <v>2833.3343288250003</v>
      </c>
      <c r="AO186" s="88">
        <f t="shared" ref="AO186" si="278">AN186*(1+AO$31)</f>
        <v>3060.0010751310006</v>
      </c>
      <c r="AP186" s="88">
        <f t="shared" ref="AP186" si="279">AO186*(1+AP$31)</f>
        <v>3274.2011503901708</v>
      </c>
      <c r="AQ186" s="88">
        <f t="shared" ref="AQ186" si="280">AP186*(1+AQ$31)</f>
        <v>3487.0242251655318</v>
      </c>
      <c r="AR186" s="88">
        <f t="shared" ref="AR186" si="281">AQ186*(1+AR$31)</f>
        <v>3696.2456786754638</v>
      </c>
      <c r="AS186" s="88">
        <f t="shared" ref="AS186" si="282">AR186*(1+AS$31)</f>
        <v>3881.0579626092372</v>
      </c>
      <c r="AT186" s="88">
        <f t="shared" ref="AT186" si="283">AS186*(1+AT$31)</f>
        <v>4075.1108607396991</v>
      </c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</row>
    <row r="187" spans="1:66" ht="14.2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427"/>
      <c r="AN187" s="427"/>
      <c r="AO187" s="427"/>
      <c r="AP187" s="427"/>
      <c r="AQ187" s="427"/>
      <c r="AR187" s="427"/>
      <c r="AS187" s="427"/>
      <c r="AT187" s="42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</row>
    <row r="188" spans="1:66" ht="14.25" customHeight="1" x14ac:dyDescent="0.3">
      <c r="A188" s="7"/>
      <c r="B188" s="5" t="s">
        <v>65</v>
      </c>
      <c r="C188" s="7"/>
      <c r="D188" s="5" t="s">
        <v>4</v>
      </c>
      <c r="E188" s="5" t="s">
        <v>207</v>
      </c>
      <c r="F188" s="7"/>
      <c r="G188" s="7"/>
      <c r="H188" s="7"/>
      <c r="I188" s="7"/>
      <c r="J188" s="12">
        <f t="shared" ref="J188:AG188" si="284">SUM(J189:J197)</f>
        <v>55640</v>
      </c>
      <c r="K188" s="12">
        <f t="shared" ca="1" si="284"/>
        <v>0</v>
      </c>
      <c r="L188" s="12">
        <f t="shared" ca="1" si="284"/>
        <v>0</v>
      </c>
      <c r="M188" s="12">
        <f t="shared" ca="1" si="284"/>
        <v>0</v>
      </c>
      <c r="N188" s="12">
        <f t="shared" ca="1" si="284"/>
        <v>0</v>
      </c>
      <c r="O188" s="12">
        <f t="shared" ca="1" si="284"/>
        <v>0</v>
      </c>
      <c r="P188" s="12">
        <f t="shared" ca="1" si="284"/>
        <v>0</v>
      </c>
      <c r="Q188" s="12">
        <f t="shared" ca="1" si="284"/>
        <v>0</v>
      </c>
      <c r="R188" s="12">
        <f t="shared" ca="1" si="284"/>
        <v>0</v>
      </c>
      <c r="S188" s="12">
        <f t="shared" ca="1" si="284"/>
        <v>0</v>
      </c>
      <c r="T188" s="12">
        <f t="shared" ca="1" si="284"/>
        <v>0</v>
      </c>
      <c r="U188" s="12">
        <f t="shared" ca="1" si="284"/>
        <v>0</v>
      </c>
      <c r="V188" s="12">
        <f t="shared" ca="1" si="284"/>
        <v>0</v>
      </c>
      <c r="W188" s="12">
        <f t="shared" ca="1" si="284"/>
        <v>0</v>
      </c>
      <c r="X188" s="12">
        <f t="shared" ca="1" si="284"/>
        <v>34655.729480266404</v>
      </c>
      <c r="Y188" s="12">
        <f t="shared" ca="1" si="284"/>
        <v>0</v>
      </c>
      <c r="Z188" s="12">
        <f t="shared" si="284"/>
        <v>0</v>
      </c>
      <c r="AA188" s="12">
        <f t="shared" si="284"/>
        <v>0</v>
      </c>
      <c r="AB188" s="12">
        <f t="shared" si="284"/>
        <v>0</v>
      </c>
      <c r="AC188" s="12">
        <f t="shared" si="284"/>
        <v>0</v>
      </c>
      <c r="AD188" s="12">
        <f t="shared" si="284"/>
        <v>0</v>
      </c>
      <c r="AE188" s="12">
        <f t="shared" si="284"/>
        <v>0</v>
      </c>
      <c r="AF188" s="12">
        <f t="shared" si="284"/>
        <v>0</v>
      </c>
      <c r="AG188" s="12">
        <f t="shared" si="284"/>
        <v>0</v>
      </c>
      <c r="AH188" s="7"/>
      <c r="AI188" s="12">
        <f t="shared" ref="AI188:AT188" ca="1" si="285">SUM(AI189:AI198)</f>
        <v>55640</v>
      </c>
      <c r="AJ188" s="12">
        <f t="shared" ca="1" si="285"/>
        <v>34655.729480266404</v>
      </c>
      <c r="AK188" s="12">
        <f t="shared" ca="1" si="285"/>
        <v>106930.80388143708</v>
      </c>
      <c r="AL188" s="12">
        <f t="shared" ca="1" si="285"/>
        <v>135108.4228031612</v>
      </c>
      <c r="AM188" s="12">
        <f t="shared" ca="1" si="285"/>
        <v>186015.32045275401</v>
      </c>
      <c r="AN188" s="12">
        <f t="shared" ca="1" si="285"/>
        <v>304695.21662915521</v>
      </c>
      <c r="AO188" s="12">
        <f t="shared" ca="1" si="285"/>
        <v>334821.94478164695</v>
      </c>
      <c r="AP188" s="12">
        <f t="shared" ca="1" si="285"/>
        <v>357760.26434098725</v>
      </c>
      <c r="AQ188" s="12">
        <f t="shared" ca="1" si="285"/>
        <v>380492.65646846389</v>
      </c>
      <c r="AR188" s="12">
        <f t="shared" ca="1" si="285"/>
        <v>402790.2321700718</v>
      </c>
      <c r="AS188" s="12">
        <f t="shared" ca="1" si="285"/>
        <v>422447.87449732533</v>
      </c>
      <c r="AT188" s="12">
        <f t="shared" ca="1" si="285"/>
        <v>443056.2743221916</v>
      </c>
      <c r="AU188" s="55">
        <f ca="1">AS188/20</f>
        <v>21122.393724866266</v>
      </c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</row>
    <row r="189" spans="1:66" ht="14.25" customHeight="1" x14ac:dyDescent="0.3">
      <c r="A189" s="7"/>
      <c r="B189" s="7"/>
      <c r="C189" s="15" t="s">
        <v>199</v>
      </c>
      <c r="D189" s="7" t="s">
        <v>4</v>
      </c>
      <c r="E189" s="109">
        <v>2200</v>
      </c>
      <c r="F189" s="7"/>
      <c r="G189" s="7"/>
      <c r="H189" s="7"/>
      <c r="I189" s="7"/>
      <c r="J189" s="8">
        <f t="shared" ref="J189:AG189" si="286">J181*J174/1000</f>
        <v>0</v>
      </c>
      <c r="K189" s="8">
        <f t="shared" si="286"/>
        <v>0</v>
      </c>
      <c r="L189" s="8">
        <f t="shared" si="286"/>
        <v>0</v>
      </c>
      <c r="M189" s="8">
        <f t="shared" si="286"/>
        <v>0</v>
      </c>
      <c r="N189" s="8">
        <f t="shared" si="286"/>
        <v>0</v>
      </c>
      <c r="O189" s="8">
        <f t="shared" si="286"/>
        <v>0</v>
      </c>
      <c r="P189" s="8">
        <f t="shared" si="286"/>
        <v>0</v>
      </c>
      <c r="Q189" s="8">
        <f t="shared" si="286"/>
        <v>0</v>
      </c>
      <c r="R189" s="8">
        <f t="shared" si="286"/>
        <v>0</v>
      </c>
      <c r="S189" s="8">
        <f t="shared" si="286"/>
        <v>0</v>
      </c>
      <c r="T189" s="8">
        <f t="shared" si="286"/>
        <v>0</v>
      </c>
      <c r="U189" s="8">
        <f t="shared" si="286"/>
        <v>0</v>
      </c>
      <c r="V189" s="8">
        <f t="shared" si="286"/>
        <v>0</v>
      </c>
      <c r="W189" s="8">
        <f t="shared" si="286"/>
        <v>0</v>
      </c>
      <c r="X189" s="8">
        <f t="shared" si="286"/>
        <v>0</v>
      </c>
      <c r="Y189" s="8">
        <f t="shared" si="286"/>
        <v>0</v>
      </c>
      <c r="Z189" s="8">
        <f t="shared" si="286"/>
        <v>0</v>
      </c>
      <c r="AA189" s="8">
        <f t="shared" si="286"/>
        <v>0</v>
      </c>
      <c r="AB189" s="8">
        <f t="shared" si="286"/>
        <v>0</v>
      </c>
      <c r="AC189" s="8">
        <f t="shared" si="286"/>
        <v>0</v>
      </c>
      <c r="AD189" s="8">
        <f t="shared" si="286"/>
        <v>0</v>
      </c>
      <c r="AE189" s="8">
        <f t="shared" si="286"/>
        <v>0</v>
      </c>
      <c r="AF189" s="8">
        <f t="shared" si="286"/>
        <v>0</v>
      </c>
      <c r="AG189" s="8">
        <f t="shared" si="286"/>
        <v>0</v>
      </c>
      <c r="AH189" s="7"/>
      <c r="AI189" s="8">
        <f t="shared" ref="AI189:AJ189" si="287">SUMIF($J$37:$AG$37,AI$37,$J189:$AG189)</f>
        <v>0</v>
      </c>
      <c r="AJ189" s="8">
        <f t="shared" si="287"/>
        <v>0</v>
      </c>
      <c r="AK189" s="8">
        <f t="shared" ref="AK189:AS189" ca="1" si="288">AK181*AK174/1000</f>
        <v>0</v>
      </c>
      <c r="AL189" s="8">
        <f t="shared" ca="1" si="288"/>
        <v>0</v>
      </c>
      <c r="AM189" s="8">
        <f t="shared" ca="1" si="288"/>
        <v>4820.0439415985447</v>
      </c>
      <c r="AN189" s="8">
        <f t="shared" ca="1" si="288"/>
        <v>66690.352876091711</v>
      </c>
      <c r="AO189" s="8">
        <f t="shared" ca="1" si="288"/>
        <v>72025.581106179045</v>
      </c>
      <c r="AP189" s="8">
        <f t="shared" ca="1" si="288"/>
        <v>77067.371783611583</v>
      </c>
      <c r="AQ189" s="8">
        <f t="shared" ca="1" si="288"/>
        <v>82076.750949546316</v>
      </c>
      <c r="AR189" s="8">
        <f t="shared" ca="1" si="288"/>
        <v>87001.356006519112</v>
      </c>
      <c r="AS189" s="8">
        <f t="shared" ca="1" si="288"/>
        <v>91351.423806845065</v>
      </c>
      <c r="AT189" s="8">
        <f t="shared" ref="AT189" ca="1" si="289">AT181*AT174/1000</f>
        <v>95918.994997187314</v>
      </c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</row>
    <row r="190" spans="1:66" ht="14.25" customHeight="1" x14ac:dyDescent="0.3">
      <c r="A190" s="7"/>
      <c r="B190" s="7"/>
      <c r="C190" s="15" t="s">
        <v>200</v>
      </c>
      <c r="D190" s="7" t="s">
        <v>4</v>
      </c>
      <c r="E190" s="109">
        <v>1800</v>
      </c>
      <c r="F190" s="7"/>
      <c r="G190" s="7"/>
      <c r="H190" s="7"/>
      <c r="I190" s="7"/>
      <c r="J190" s="8">
        <f t="shared" ref="J190:AG190" si="290">J182*J175/1000</f>
        <v>0</v>
      </c>
      <c r="K190" s="8">
        <f t="shared" si="290"/>
        <v>0</v>
      </c>
      <c r="L190" s="8">
        <f t="shared" si="290"/>
        <v>0</v>
      </c>
      <c r="M190" s="8">
        <f t="shared" si="290"/>
        <v>0</v>
      </c>
      <c r="N190" s="8">
        <f t="shared" si="290"/>
        <v>0</v>
      </c>
      <c r="O190" s="8">
        <f t="shared" si="290"/>
        <v>0</v>
      </c>
      <c r="P190" s="8">
        <f t="shared" si="290"/>
        <v>0</v>
      </c>
      <c r="Q190" s="8">
        <f t="shared" si="290"/>
        <v>0</v>
      </c>
      <c r="R190" s="8">
        <f t="shared" si="290"/>
        <v>0</v>
      </c>
      <c r="S190" s="8">
        <f t="shared" si="290"/>
        <v>0</v>
      </c>
      <c r="T190" s="8">
        <f t="shared" si="290"/>
        <v>0</v>
      </c>
      <c r="U190" s="8">
        <f t="shared" si="290"/>
        <v>0</v>
      </c>
      <c r="V190" s="8">
        <f t="shared" si="290"/>
        <v>0</v>
      </c>
      <c r="W190" s="8">
        <f t="shared" si="290"/>
        <v>0</v>
      </c>
      <c r="X190" s="8">
        <f t="shared" si="290"/>
        <v>34655.729480266404</v>
      </c>
      <c r="Y190" s="8">
        <f t="shared" si="290"/>
        <v>0</v>
      </c>
      <c r="Z190" s="8">
        <f t="shared" si="290"/>
        <v>0</v>
      </c>
      <c r="AA190" s="8">
        <f t="shared" si="290"/>
        <v>0</v>
      </c>
      <c r="AB190" s="8">
        <f t="shared" si="290"/>
        <v>0</v>
      </c>
      <c r="AC190" s="8">
        <f t="shared" si="290"/>
        <v>0</v>
      </c>
      <c r="AD190" s="8">
        <f t="shared" si="290"/>
        <v>0</v>
      </c>
      <c r="AE190" s="8">
        <f t="shared" si="290"/>
        <v>0</v>
      </c>
      <c r="AF190" s="8">
        <f t="shared" si="290"/>
        <v>0</v>
      </c>
      <c r="AG190" s="8">
        <f t="shared" si="290"/>
        <v>0</v>
      </c>
      <c r="AH190" s="7"/>
      <c r="AI190" s="8">
        <f t="shared" ref="AI190:AJ190" si="291">SUMIF($J$37:$AG$37,AI$37,$J190:$AG190)</f>
        <v>0</v>
      </c>
      <c r="AJ190" s="8">
        <f t="shared" si="291"/>
        <v>34655.729480266404</v>
      </c>
      <c r="AK190" s="8">
        <f t="shared" ref="AK190:AS190" si="292">AK182*AK175/1000</f>
        <v>32146.46671271227</v>
      </c>
      <c r="AL190" s="8">
        <f t="shared" ca="1" si="292"/>
        <v>43375.669549379971</v>
      </c>
      <c r="AM190" s="8">
        <f t="shared" ca="1" si="292"/>
        <v>58260.138994423585</v>
      </c>
      <c r="AN190" s="8">
        <f t="shared" ca="1" si="292"/>
        <v>76500.026878275006</v>
      </c>
      <c r="AO190" s="8">
        <f t="shared" ca="1" si="292"/>
        <v>82620.029028537014</v>
      </c>
      <c r="AP190" s="8">
        <f t="shared" ca="1" si="292"/>
        <v>88403.431060534611</v>
      </c>
      <c r="AQ190" s="8">
        <f t="shared" ca="1" si="292"/>
        <v>94149.654079469357</v>
      </c>
      <c r="AR190" s="8">
        <f t="shared" ca="1" si="292"/>
        <v>99798.633324237526</v>
      </c>
      <c r="AS190" s="8">
        <f t="shared" ca="1" si="292"/>
        <v>104788.56499044941</v>
      </c>
      <c r="AT190" s="8">
        <f t="shared" ref="AT190" ca="1" si="293">AT182*AT175/1000</f>
        <v>110027.99323997188</v>
      </c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</row>
    <row r="191" spans="1:66" ht="14.25" customHeight="1" x14ac:dyDescent="0.3">
      <c r="A191" s="7"/>
      <c r="B191" s="7"/>
      <c r="C191" s="15" t="s">
        <v>205</v>
      </c>
      <c r="D191" s="7" t="s">
        <v>4</v>
      </c>
      <c r="E191" s="109">
        <v>2200</v>
      </c>
      <c r="F191" s="7"/>
      <c r="G191" s="7"/>
      <c r="H191" s="7"/>
      <c r="I191" s="7"/>
      <c r="J191" s="8">
        <f t="shared" ref="J191:AG191" si="294">J183*J176/1000</f>
        <v>0</v>
      </c>
      <c r="K191" s="8">
        <f t="shared" si="294"/>
        <v>0</v>
      </c>
      <c r="L191" s="8">
        <f t="shared" si="294"/>
        <v>0</v>
      </c>
      <c r="M191" s="8">
        <f t="shared" si="294"/>
        <v>0</v>
      </c>
      <c r="N191" s="8">
        <f t="shared" si="294"/>
        <v>0</v>
      </c>
      <c r="O191" s="8">
        <f t="shared" si="294"/>
        <v>0</v>
      </c>
      <c r="P191" s="8">
        <f t="shared" si="294"/>
        <v>0</v>
      </c>
      <c r="Q191" s="8">
        <f t="shared" si="294"/>
        <v>0</v>
      </c>
      <c r="R191" s="8">
        <f t="shared" si="294"/>
        <v>0</v>
      </c>
      <c r="S191" s="8">
        <f t="shared" si="294"/>
        <v>0</v>
      </c>
      <c r="T191" s="8">
        <f t="shared" si="294"/>
        <v>0</v>
      </c>
      <c r="U191" s="8">
        <f t="shared" si="294"/>
        <v>0</v>
      </c>
      <c r="V191" s="8">
        <f t="shared" si="294"/>
        <v>0</v>
      </c>
      <c r="W191" s="8">
        <f t="shared" si="294"/>
        <v>0</v>
      </c>
      <c r="X191" s="8">
        <f t="shared" si="294"/>
        <v>0</v>
      </c>
      <c r="Y191" s="8">
        <f t="shared" si="294"/>
        <v>0</v>
      </c>
      <c r="Z191" s="8">
        <f t="shared" si="294"/>
        <v>0</v>
      </c>
      <c r="AA191" s="8">
        <f t="shared" si="294"/>
        <v>0</v>
      </c>
      <c r="AB191" s="8">
        <f t="shared" si="294"/>
        <v>0</v>
      </c>
      <c r="AC191" s="8">
        <f t="shared" si="294"/>
        <v>0</v>
      </c>
      <c r="AD191" s="8">
        <f t="shared" si="294"/>
        <v>0</v>
      </c>
      <c r="AE191" s="8">
        <f t="shared" si="294"/>
        <v>0</v>
      </c>
      <c r="AF191" s="8">
        <f t="shared" si="294"/>
        <v>0</v>
      </c>
      <c r="AG191" s="8">
        <f t="shared" si="294"/>
        <v>0</v>
      </c>
      <c r="AH191" s="7"/>
      <c r="AI191" s="8">
        <f t="shared" ref="AI191:AJ191" si="295">SUMIF($J$37:$AG$37,AI$37,$J191:$AG191)</f>
        <v>0</v>
      </c>
      <c r="AJ191" s="8">
        <f t="shared" si="295"/>
        <v>0</v>
      </c>
      <c r="AK191" s="8">
        <f t="shared" ref="AK191:AS191" si="296">AK183*AK176/1000</f>
        <v>7019.5125000000007</v>
      </c>
      <c r="AL191" s="8">
        <f t="shared" si="296"/>
        <v>5975.3733264601769</v>
      </c>
      <c r="AM191" s="8">
        <f t="shared" ca="1" si="296"/>
        <v>8025.8376218683043</v>
      </c>
      <c r="AN191" s="8">
        <f t="shared" ca="1" si="296"/>
        <v>10730.474674358731</v>
      </c>
      <c r="AO191" s="8">
        <f t="shared" ca="1" si="296"/>
        <v>14025.004927683758</v>
      </c>
      <c r="AP191" s="8">
        <f t="shared" ca="1" si="296"/>
        <v>15006.75527262162</v>
      </c>
      <c r="AQ191" s="8">
        <f t="shared" ca="1" si="296"/>
        <v>15982.194365342024</v>
      </c>
      <c r="AR191" s="8">
        <f t="shared" ca="1" si="296"/>
        <v>16941.126027262548</v>
      </c>
      <c r="AS191" s="8">
        <f t="shared" ca="1" si="296"/>
        <v>17788.182328625677</v>
      </c>
      <c r="AT191" s="8">
        <f t="shared" ref="AT191" ca="1" si="297">AT183*AT176/1000</f>
        <v>18677.591445056958</v>
      </c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</row>
    <row r="192" spans="1:66" ht="14.25" customHeight="1" x14ac:dyDescent="0.3">
      <c r="A192" s="7"/>
      <c r="B192" s="7"/>
      <c r="C192" s="7" t="s">
        <v>671</v>
      </c>
      <c r="D192" s="7" t="s">
        <v>4</v>
      </c>
      <c r="E192" s="109">
        <v>2200</v>
      </c>
      <c r="F192" s="7"/>
      <c r="G192" s="7"/>
      <c r="H192" s="7"/>
      <c r="I192" s="7"/>
      <c r="J192" s="8">
        <f t="shared" ref="J192:AG192" si="298">J184*J177/1000</f>
        <v>0</v>
      </c>
      <c r="K192" s="8">
        <f t="shared" si="298"/>
        <v>0</v>
      </c>
      <c r="L192" s="8">
        <f t="shared" si="298"/>
        <v>0</v>
      </c>
      <c r="M192" s="8">
        <f t="shared" si="298"/>
        <v>0</v>
      </c>
      <c r="N192" s="8">
        <f t="shared" si="298"/>
        <v>0</v>
      </c>
      <c r="O192" s="8">
        <f t="shared" si="298"/>
        <v>0</v>
      </c>
      <c r="P192" s="8">
        <f t="shared" si="298"/>
        <v>0</v>
      </c>
      <c r="Q192" s="8">
        <f t="shared" si="298"/>
        <v>0</v>
      </c>
      <c r="R192" s="8">
        <f t="shared" si="298"/>
        <v>0</v>
      </c>
      <c r="S192" s="8">
        <f t="shared" si="298"/>
        <v>0</v>
      </c>
      <c r="T192" s="8">
        <f t="shared" si="298"/>
        <v>0</v>
      </c>
      <c r="U192" s="8">
        <f t="shared" si="298"/>
        <v>0</v>
      </c>
      <c r="V192" s="8">
        <f t="shared" si="298"/>
        <v>0</v>
      </c>
      <c r="W192" s="8">
        <f t="shared" si="298"/>
        <v>0</v>
      </c>
      <c r="X192" s="8">
        <f t="shared" si="298"/>
        <v>0</v>
      </c>
      <c r="Y192" s="8">
        <f t="shared" si="298"/>
        <v>0</v>
      </c>
      <c r="Z192" s="8">
        <f t="shared" si="298"/>
        <v>0</v>
      </c>
      <c r="AA192" s="8">
        <f t="shared" si="298"/>
        <v>0</v>
      </c>
      <c r="AB192" s="8">
        <f t="shared" si="298"/>
        <v>0</v>
      </c>
      <c r="AC192" s="8">
        <f t="shared" si="298"/>
        <v>0</v>
      </c>
      <c r="AD192" s="8">
        <f t="shared" si="298"/>
        <v>0</v>
      </c>
      <c r="AE192" s="8">
        <f t="shared" si="298"/>
        <v>0</v>
      </c>
      <c r="AF192" s="8">
        <f t="shared" si="298"/>
        <v>0</v>
      </c>
      <c r="AG192" s="8">
        <f t="shared" si="298"/>
        <v>0</v>
      </c>
      <c r="AH192" s="7"/>
      <c r="AI192" s="8">
        <f t="shared" ref="AI192:AJ193" si="299">SUMIF($J$37:$AG$37,AI$37,$J192:$AG192)</f>
        <v>0</v>
      </c>
      <c r="AJ192" s="8">
        <f t="shared" si="299"/>
        <v>0</v>
      </c>
      <c r="AK192" s="8">
        <f>AK184*AK177/1000</f>
        <v>58858.994557216705</v>
      </c>
      <c r="AL192" s="8">
        <f t="shared" ref="AL192:AS192" ca="1" si="300">AL184*AL177/1000</f>
        <v>74975.502381493134</v>
      </c>
      <c r="AM192" s="8">
        <f t="shared" ca="1" si="300"/>
        <v>100703.53346245849</v>
      </c>
      <c r="AN192" s="8">
        <f t="shared" ca="1" si="300"/>
        <v>132475.41307960058</v>
      </c>
      <c r="AO192" s="8">
        <f t="shared" ca="1" si="300"/>
        <v>146169.81685674714</v>
      </c>
      <c r="AP192" s="8">
        <f t="shared" ca="1" si="300"/>
        <v>156401.70403671943</v>
      </c>
      <c r="AQ192" s="8">
        <f t="shared" ca="1" si="300"/>
        <v>166567.81479910619</v>
      </c>
      <c r="AR192" s="8">
        <f t="shared" ca="1" si="300"/>
        <v>176561.88368705258</v>
      </c>
      <c r="AS192" s="8">
        <f t="shared" ca="1" si="300"/>
        <v>185389.97787140522</v>
      </c>
      <c r="AT192" s="8">
        <f t="shared" ref="AT192" ca="1" si="301">AT184*AT177/1000</f>
        <v>194659.47676497546</v>
      </c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</row>
    <row r="193" spans="1:66" ht="14.25" customHeight="1" x14ac:dyDescent="0.3">
      <c r="A193" s="7"/>
      <c r="B193" s="7"/>
      <c r="C193" s="7" t="s">
        <v>679</v>
      </c>
      <c r="D193" s="7" t="s">
        <v>4</v>
      </c>
      <c r="E193" s="354"/>
      <c r="F193" s="7"/>
      <c r="G193" s="7"/>
      <c r="H193" s="7"/>
      <c r="I193" s="7"/>
      <c r="J193" s="8">
        <f>J185*J178/1000</f>
        <v>0</v>
      </c>
      <c r="K193" s="8">
        <f t="shared" ref="K193:AG193" ca="1" si="302">K185*K178/1000</f>
        <v>0</v>
      </c>
      <c r="L193" s="8">
        <f t="shared" ca="1" si="302"/>
        <v>0</v>
      </c>
      <c r="M193" s="8">
        <f t="shared" ca="1" si="302"/>
        <v>0</v>
      </c>
      <c r="N193" s="8">
        <f t="shared" ca="1" si="302"/>
        <v>0</v>
      </c>
      <c r="O193" s="8">
        <f t="shared" ca="1" si="302"/>
        <v>0</v>
      </c>
      <c r="P193" s="8">
        <f t="shared" ca="1" si="302"/>
        <v>0</v>
      </c>
      <c r="Q193" s="8">
        <f t="shared" si="302"/>
        <v>0</v>
      </c>
      <c r="R193" s="8">
        <f t="shared" si="302"/>
        <v>0</v>
      </c>
      <c r="S193" s="8">
        <f t="shared" si="302"/>
        <v>0</v>
      </c>
      <c r="T193" s="8">
        <f t="shared" si="302"/>
        <v>0</v>
      </c>
      <c r="U193" s="8">
        <f t="shared" si="302"/>
        <v>0</v>
      </c>
      <c r="V193" s="8">
        <f t="shared" si="302"/>
        <v>0</v>
      </c>
      <c r="W193" s="8">
        <f t="shared" si="302"/>
        <v>0</v>
      </c>
      <c r="X193" s="8">
        <f t="shared" ca="1" si="302"/>
        <v>0</v>
      </c>
      <c r="Y193" s="8">
        <f t="shared" si="302"/>
        <v>0</v>
      </c>
      <c r="Z193" s="8">
        <f t="shared" si="302"/>
        <v>0</v>
      </c>
      <c r="AA193" s="8">
        <f t="shared" si="302"/>
        <v>0</v>
      </c>
      <c r="AB193" s="8">
        <f t="shared" si="302"/>
        <v>0</v>
      </c>
      <c r="AC193" s="8">
        <f t="shared" si="302"/>
        <v>0</v>
      </c>
      <c r="AD193" s="8">
        <f t="shared" si="302"/>
        <v>0</v>
      </c>
      <c r="AE193" s="8">
        <f t="shared" si="302"/>
        <v>0</v>
      </c>
      <c r="AF193" s="8">
        <f t="shared" si="302"/>
        <v>0</v>
      </c>
      <c r="AG193" s="8">
        <f t="shared" si="302"/>
        <v>0</v>
      </c>
      <c r="AH193" s="7"/>
      <c r="AI193" s="8">
        <f t="shared" ca="1" si="299"/>
        <v>0</v>
      </c>
      <c r="AJ193" s="8">
        <f t="shared" ca="1" si="299"/>
        <v>0</v>
      </c>
      <c r="AK193" s="8">
        <f t="shared" ref="AK193:AS193" si="303">AK185*AK178/1000</f>
        <v>0</v>
      </c>
      <c r="AL193" s="8">
        <f t="shared" si="303"/>
        <v>0</v>
      </c>
      <c r="AM193" s="8">
        <f t="shared" si="303"/>
        <v>0</v>
      </c>
      <c r="AN193" s="8">
        <f t="shared" si="303"/>
        <v>0</v>
      </c>
      <c r="AO193" s="8">
        <f t="shared" si="303"/>
        <v>0</v>
      </c>
      <c r="AP193" s="8">
        <f t="shared" si="303"/>
        <v>0</v>
      </c>
      <c r="AQ193" s="8">
        <f t="shared" si="303"/>
        <v>0</v>
      </c>
      <c r="AR193" s="8">
        <f t="shared" si="303"/>
        <v>0</v>
      </c>
      <c r="AS193" s="8">
        <f t="shared" si="303"/>
        <v>0</v>
      </c>
      <c r="AT193" s="8">
        <f>AT185*AT178/1000</f>
        <v>0</v>
      </c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</row>
    <row r="194" spans="1:66" ht="14.25" customHeight="1" x14ac:dyDescent="0.3">
      <c r="A194" s="10"/>
      <c r="B194" s="10"/>
      <c r="C194" s="10" t="s">
        <v>208</v>
      </c>
      <c r="D194" s="10" t="s">
        <v>4</v>
      </c>
      <c r="E194" s="110"/>
      <c r="F194" s="10"/>
      <c r="G194" s="10"/>
      <c r="H194" s="10"/>
      <c r="I194" s="10"/>
      <c r="J194" s="11">
        <f>IF(Input!$F$9=1,J478,0)</f>
        <v>55640</v>
      </c>
      <c r="K194" s="11">
        <f>IF(Input!$F$9=1,K478,0)</f>
        <v>0</v>
      </c>
      <c r="L194" s="11">
        <f>IF(Input!$F$9=1,L478,0)</f>
        <v>0</v>
      </c>
      <c r="M194" s="11">
        <f>IF(Input!$F$9=1,M478,0)</f>
        <v>0</v>
      </c>
      <c r="N194" s="11">
        <f>IF(Input!$F$9=1,N478,0)</f>
        <v>0</v>
      </c>
      <c r="O194" s="11">
        <f>IF(Input!$F$9=1,O478,0)</f>
        <v>0</v>
      </c>
      <c r="P194" s="11">
        <f>IF(Input!$F$9=1,P478,0)</f>
        <v>0</v>
      </c>
      <c r="Q194" s="11">
        <f>IF(Input!$F$9=1,Q478,0)</f>
        <v>0</v>
      </c>
      <c r="R194" s="11">
        <f>IF(Input!$F$9=1,R478,0)</f>
        <v>0</v>
      </c>
      <c r="S194" s="11">
        <f>IF(Input!$F$9=1,S478,0)</f>
        <v>0</v>
      </c>
      <c r="T194" s="11">
        <f>IF(Input!$F$9=1,T478,0)</f>
        <v>0</v>
      </c>
      <c r="U194" s="11">
        <f>IF(Input!$F$9=1,U478,0)</f>
        <v>0</v>
      </c>
      <c r="V194" s="11">
        <f>IF(Input!$F$9=1,V478,0)</f>
        <v>0</v>
      </c>
      <c r="W194" s="11">
        <f>IF(Input!$F$9=1,W478,0)</f>
        <v>0</v>
      </c>
      <c r="X194" s="11">
        <f>IF(Input!$F$9=1,X478,0)</f>
        <v>0</v>
      </c>
      <c r="Y194" s="11">
        <f>IF(Input!$F$9=1,Y478,0)</f>
        <v>0</v>
      </c>
      <c r="Z194" s="11">
        <f>IF(Input!$F$9=1,Z478,0)</f>
        <v>0</v>
      </c>
      <c r="AA194" s="11">
        <f>IF(Input!$F$9=1,AA478,0)</f>
        <v>0</v>
      </c>
      <c r="AB194" s="11">
        <f>IF(Input!$F$9=1,AB478,0)</f>
        <v>0</v>
      </c>
      <c r="AC194" s="11">
        <f>IF(Input!$F$9=1,AC478,0)</f>
        <v>0</v>
      </c>
      <c r="AD194" s="11">
        <f>IF(Input!$F$9=1,AD478,0)</f>
        <v>0</v>
      </c>
      <c r="AE194" s="11">
        <f>IF(Input!$F$9=1,AE478,0)</f>
        <v>0</v>
      </c>
      <c r="AF194" s="11">
        <f>IF(Input!$F$9=1,AF478,0)</f>
        <v>0</v>
      </c>
      <c r="AG194" s="11">
        <f>IF(Input!$F$9=1,AG478,0)</f>
        <v>0</v>
      </c>
      <c r="AH194" s="10"/>
      <c r="AI194" s="11">
        <f t="shared" ref="AI194:AJ194" si="304">SUMIF($J$37:$AG$37,AI$37,$J194:$AG194)</f>
        <v>55640</v>
      </c>
      <c r="AJ194" s="11">
        <f t="shared" si="304"/>
        <v>0</v>
      </c>
      <c r="AK194" s="11">
        <f>IF(Input!$F$9=1,AK478,0)</f>
        <v>0</v>
      </c>
      <c r="AL194" s="11">
        <f>IF(Input!$F$9=1,AL478,0)</f>
        <v>0</v>
      </c>
      <c r="AM194" s="11">
        <f>IF(Input!$F$9=1,AM478,0)</f>
        <v>0</v>
      </c>
      <c r="AN194" s="11">
        <f>IF(Input!$F$9=1,AN478,0)</f>
        <v>0</v>
      </c>
      <c r="AO194" s="11">
        <f>IF(Input!$F$9=1,AO478,0)</f>
        <v>0</v>
      </c>
      <c r="AP194" s="11">
        <f>IF(Input!$F$9=1,AP478,0)</f>
        <v>0</v>
      </c>
      <c r="AQ194" s="11">
        <f>IF(Input!$F$9=1,AQ478,0)</f>
        <v>0</v>
      </c>
      <c r="AR194" s="11">
        <f>IF(Input!$F$9=1,AR478,0)</f>
        <v>0</v>
      </c>
      <c r="AS194" s="11">
        <f>IF(Input!$F$9=1,AS478,0)</f>
        <v>0</v>
      </c>
      <c r="AT194" s="11">
        <f>IF(Input!$F$9=1,AT478,0)</f>
        <v>0</v>
      </c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</row>
    <row r="195" spans="1:66" ht="14.25" customHeight="1" x14ac:dyDescent="0.3">
      <c r="A195" s="10"/>
      <c r="B195" s="10"/>
      <c r="C195" s="10" t="s">
        <v>209</v>
      </c>
      <c r="D195" s="10" t="s">
        <v>4</v>
      </c>
      <c r="E195" s="110"/>
      <c r="F195" s="10"/>
      <c r="G195" s="10"/>
      <c r="H195" s="10"/>
      <c r="I195" s="10"/>
      <c r="J195" s="11">
        <f>IF(Input!$F$9=1,J479,0)</f>
        <v>0</v>
      </c>
      <c r="K195" s="11">
        <f ca="1">IF(Input!$F$9=1,K479,0)</f>
        <v>0</v>
      </c>
      <c r="L195" s="11">
        <f ca="1">IF(Input!$F$9=1,L479,0)</f>
        <v>0</v>
      </c>
      <c r="M195" s="11">
        <f ca="1">IF(Input!$F$9=1,M479,0)</f>
        <v>0</v>
      </c>
      <c r="N195" s="11">
        <f ca="1">IF(Input!$F$9=1,N479,0)</f>
        <v>0</v>
      </c>
      <c r="O195" s="11">
        <f ca="1">IF(Input!$F$9=1,O479,0)</f>
        <v>0</v>
      </c>
      <c r="P195" s="11">
        <f ca="1">IF(Input!$F$9=1,P479,0)</f>
        <v>0</v>
      </c>
      <c r="Q195" s="11">
        <f ca="1">IF(Input!$F$9=1,Q479,0)</f>
        <v>0</v>
      </c>
      <c r="R195" s="11">
        <f ca="1">IF(Input!$F$9=1,R479,0)</f>
        <v>0</v>
      </c>
      <c r="S195" s="11">
        <f ca="1">IF(Input!$F$9=1,S479,0)</f>
        <v>0</v>
      </c>
      <c r="T195" s="11">
        <f ca="1">IF(Input!$F$9=1,T479,0)</f>
        <v>0</v>
      </c>
      <c r="U195" s="11">
        <f ca="1">IF(Input!$F$9=1,U479,0)</f>
        <v>0</v>
      </c>
      <c r="V195" s="11">
        <f ca="1">IF(Input!$F$9=1,V479,0)</f>
        <v>0</v>
      </c>
      <c r="W195" s="11">
        <f ca="1">IF(Input!$F$9=1,W479,0)</f>
        <v>0</v>
      </c>
      <c r="X195" s="11">
        <f ca="1">IF(Input!$F$9=1,X479,0)</f>
        <v>0</v>
      </c>
      <c r="Y195" s="11">
        <f ca="1">IF(Input!$F$9=1,Y479,0)</f>
        <v>0</v>
      </c>
      <c r="Z195" s="11">
        <f>IF(Input!$F$9=1,Z479,0)</f>
        <v>0</v>
      </c>
      <c r="AA195" s="11">
        <f>IF(Input!$F$9=1,AA479,0)</f>
        <v>0</v>
      </c>
      <c r="AB195" s="11">
        <f>IF(Input!$F$9=1,AB479,0)</f>
        <v>0</v>
      </c>
      <c r="AC195" s="11">
        <f>IF(Input!$F$9=1,AC479,0)</f>
        <v>0</v>
      </c>
      <c r="AD195" s="11">
        <f>IF(Input!$F$9=1,AD479,0)</f>
        <v>0</v>
      </c>
      <c r="AE195" s="11">
        <f>IF(Input!$F$9=1,AE479,0)</f>
        <v>0</v>
      </c>
      <c r="AF195" s="11">
        <f>IF(Input!$F$9=1,AF479,0)</f>
        <v>0</v>
      </c>
      <c r="AG195" s="11">
        <f>IF(Input!$F$9=1,AG479,0)</f>
        <v>0</v>
      </c>
      <c r="AH195" s="10"/>
      <c r="AI195" s="8">
        <f t="shared" ref="AI195:AJ195" ca="1" si="305">SUMIF($J$37:$AG$37,AI$37,$J195:$AG195)</f>
        <v>0</v>
      </c>
      <c r="AJ195" s="8">
        <f t="shared" ca="1" si="305"/>
        <v>0</v>
      </c>
      <c r="AK195" s="11">
        <f>IF(Input!$F$9=1,AK479,0)</f>
        <v>0</v>
      </c>
      <c r="AL195" s="11">
        <f>IF(Input!$F$9=1,AL479,0)</f>
        <v>0</v>
      </c>
      <c r="AM195" s="11">
        <f>IF(Input!$F$9=1,AM479,0)</f>
        <v>0</v>
      </c>
      <c r="AN195" s="11">
        <f>IF(Input!$F$9=1,AN479,0)</f>
        <v>0</v>
      </c>
      <c r="AO195" s="11">
        <f>IF(Input!$F$9=1,AO479,0)</f>
        <v>0</v>
      </c>
      <c r="AP195" s="11">
        <f>IF(Input!$F$9=1,AP479,0)</f>
        <v>0</v>
      </c>
      <c r="AQ195" s="11">
        <f>IF(Input!$F$9=1,AQ479,0)</f>
        <v>0</v>
      </c>
      <c r="AR195" s="11">
        <f>IF(Input!$F$9=1,AR479,0)</f>
        <v>0</v>
      </c>
      <c r="AS195" s="11">
        <f>IF(Input!$F$9=1,AS479,0)</f>
        <v>0</v>
      </c>
      <c r="AT195" s="11">
        <f>IF(Input!$F$9=1,AT479,0)</f>
        <v>0</v>
      </c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</row>
    <row r="196" spans="1:66" ht="14.25" customHeight="1" x14ac:dyDescent="0.3">
      <c r="A196" s="10"/>
      <c r="B196" s="10"/>
      <c r="C196" s="10" t="s">
        <v>210</v>
      </c>
      <c r="D196" s="10" t="s">
        <v>4</v>
      </c>
      <c r="E196" s="110"/>
      <c r="F196" s="10"/>
      <c r="G196" s="10"/>
      <c r="H196" s="10"/>
      <c r="I196" s="10"/>
      <c r="J196" s="11">
        <f>IF(Input!$F$9=1,J480,0)</f>
        <v>0</v>
      </c>
      <c r="K196" s="11">
        <f>IF(Input!$F$9=1,K480,0)</f>
        <v>0</v>
      </c>
      <c r="L196" s="11">
        <f>IF(Input!$F$9=1,L480,0)</f>
        <v>0</v>
      </c>
      <c r="M196" s="11">
        <f>IF(Input!$F$9=1,M480,0)</f>
        <v>0</v>
      </c>
      <c r="N196" s="11">
        <f>IF(Input!$F$9=1,N480,0)</f>
        <v>0</v>
      </c>
      <c r="O196" s="11">
        <f>IF(Input!$F$9=1,O480,0)</f>
        <v>0</v>
      </c>
      <c r="P196" s="11">
        <f>IF(Input!$F$9=1,P480,0)</f>
        <v>0</v>
      </c>
      <c r="Q196" s="11">
        <f>IF(Input!$F$9=1,Q480,0)</f>
        <v>0</v>
      </c>
      <c r="R196" s="11">
        <f>IF(Input!$F$9=1,R480,0)</f>
        <v>0</v>
      </c>
      <c r="S196" s="11">
        <f>IF(Input!$F$9=1,S480,0)</f>
        <v>0</v>
      </c>
      <c r="T196" s="11">
        <f>IF(Input!$F$9=1,T480,0)</f>
        <v>0</v>
      </c>
      <c r="U196" s="11">
        <f>IF(Input!$F$9=1,U480,0)</f>
        <v>0</v>
      </c>
      <c r="V196" s="11">
        <f>IF(Input!$F$9=1,V480,0)</f>
        <v>0</v>
      </c>
      <c r="W196" s="11">
        <f>IF(Input!$F$9=1,W480,0)</f>
        <v>0</v>
      </c>
      <c r="X196" s="11">
        <f>IF(Input!$F$9=1,X480,0)</f>
        <v>0</v>
      </c>
      <c r="Y196" s="11">
        <f>IF(Input!$F$9=1,Y480,0)</f>
        <v>0</v>
      </c>
      <c r="Z196" s="11">
        <f>IF(Input!$F$9=1,Z480,0)</f>
        <v>0</v>
      </c>
      <c r="AA196" s="11">
        <f>IF(Input!$F$9=1,AA480,0)</f>
        <v>0</v>
      </c>
      <c r="AB196" s="11">
        <f>IF(Input!$F$9=1,AB480,0)</f>
        <v>0</v>
      </c>
      <c r="AC196" s="11">
        <f>IF(Input!$F$9=1,AC480,0)</f>
        <v>0</v>
      </c>
      <c r="AD196" s="11">
        <f>IF(Input!$F$9=1,AD480,0)</f>
        <v>0</v>
      </c>
      <c r="AE196" s="11">
        <f>IF(Input!$F$9=1,AE480,0)</f>
        <v>0</v>
      </c>
      <c r="AF196" s="11">
        <f>IF(Input!$F$9=1,AF480,0)</f>
        <v>0</v>
      </c>
      <c r="AG196" s="11">
        <f>IF(Input!$F$9=1,AG480,0)</f>
        <v>0</v>
      </c>
      <c r="AH196" s="10"/>
      <c r="AI196" s="8">
        <f t="shared" ref="AI196:AJ196" si="306">SUMIF($J$37:$AG$37,AI$37,$J196:$AG196)</f>
        <v>0</v>
      </c>
      <c r="AJ196" s="8">
        <f t="shared" si="306"/>
        <v>0</v>
      </c>
      <c r="AK196" s="11">
        <f>IF(Input!$F$9=1,AK480,0)</f>
        <v>0</v>
      </c>
      <c r="AL196" s="11">
        <f>IF(Input!$F$9=1,AL480,0)</f>
        <v>0</v>
      </c>
      <c r="AM196" s="11">
        <f>IF(Input!$F$9=1,AM480,0)</f>
        <v>0</v>
      </c>
      <c r="AN196" s="11">
        <f>IF(Input!$F$9=1,AN480,0)</f>
        <v>0</v>
      </c>
      <c r="AO196" s="11">
        <f>IF(Input!$F$9=1,AO480,0)</f>
        <v>0</v>
      </c>
      <c r="AP196" s="11">
        <f>IF(Input!$F$9=1,AP480,0)</f>
        <v>0</v>
      </c>
      <c r="AQ196" s="11">
        <f>IF(Input!$F$9=1,AQ480,0)</f>
        <v>0</v>
      </c>
      <c r="AR196" s="11">
        <f>IF(Input!$F$9=1,AR480,0)</f>
        <v>0</v>
      </c>
      <c r="AS196" s="11">
        <f>IF(Input!$F$9=1,AS480,0)</f>
        <v>0</v>
      </c>
      <c r="AT196" s="11">
        <f>IF(Input!$F$9=1,AT480,0)</f>
        <v>0</v>
      </c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</row>
    <row r="197" spans="1:66" ht="14.25" customHeight="1" x14ac:dyDescent="0.3">
      <c r="A197" s="10"/>
      <c r="B197" s="10"/>
      <c r="C197" s="10" t="s">
        <v>211</v>
      </c>
      <c r="D197" s="10" t="s">
        <v>4</v>
      </c>
      <c r="E197" s="100"/>
      <c r="F197" s="10"/>
      <c r="G197" s="10"/>
      <c r="H197" s="10"/>
      <c r="I197" s="10"/>
      <c r="J197" s="11">
        <f>IF(Input!$F$9=1,J481,0)</f>
        <v>0</v>
      </c>
      <c r="K197" s="11">
        <f>IF(Input!$F$9=1,K481,0)</f>
        <v>0</v>
      </c>
      <c r="L197" s="11">
        <f>IF(Input!$F$9=1,L481,0)</f>
        <v>0</v>
      </c>
      <c r="M197" s="11">
        <f>IF(Input!$F$9=1,M481,0)</f>
        <v>0</v>
      </c>
      <c r="N197" s="11">
        <f>IF(Input!$F$9=1,N481,0)</f>
        <v>0</v>
      </c>
      <c r="O197" s="11">
        <f>IF(Input!$F$9=1,O481,0)</f>
        <v>0</v>
      </c>
      <c r="P197" s="11">
        <f>IF(Input!$F$9=1,P481,0)</f>
        <v>0</v>
      </c>
      <c r="Q197" s="11">
        <f>IF(Input!$F$9=1,Q481,0)</f>
        <v>0</v>
      </c>
      <c r="R197" s="11">
        <f>IF(Input!$F$9=1,R481,0)</f>
        <v>0</v>
      </c>
      <c r="S197" s="11">
        <f>IF(Input!$F$9=1,S481,0)</f>
        <v>0</v>
      </c>
      <c r="T197" s="11">
        <f>IF(Input!$F$9=1,T481,0)</f>
        <v>0</v>
      </c>
      <c r="U197" s="11">
        <f>IF(Input!$F$9=1,U481,0)</f>
        <v>0</v>
      </c>
      <c r="V197" s="11">
        <f>IF(Input!$F$9=1,V481,0)</f>
        <v>0</v>
      </c>
      <c r="W197" s="11">
        <f>IF(Input!$F$9=1,W481,0)</f>
        <v>0</v>
      </c>
      <c r="X197" s="11">
        <f>IF(Input!$F$9=1,X481,0)</f>
        <v>0</v>
      </c>
      <c r="Y197" s="11">
        <f>IF(Input!$F$9=1,Y481,0)</f>
        <v>0</v>
      </c>
      <c r="Z197" s="11">
        <f>IF(Input!$F$9=1,Z481,0)</f>
        <v>0</v>
      </c>
      <c r="AA197" s="11">
        <f>IF(Input!$F$9=1,AA481,0)</f>
        <v>0</v>
      </c>
      <c r="AB197" s="11">
        <f>IF(Input!$F$9=1,AB481,0)</f>
        <v>0</v>
      </c>
      <c r="AC197" s="11">
        <f>IF(Input!$F$9=1,AC481,0)</f>
        <v>0</v>
      </c>
      <c r="AD197" s="11">
        <f>IF(Input!$F$9=1,AD481,0)</f>
        <v>0</v>
      </c>
      <c r="AE197" s="11">
        <f>IF(Input!$F$9=1,AE481,0)</f>
        <v>0</v>
      </c>
      <c r="AF197" s="11">
        <f>IF(Input!$F$9=1,AF481,0)</f>
        <v>0</v>
      </c>
      <c r="AG197" s="11">
        <f>IF(Input!$F$9=1,AG481,0)</f>
        <v>0</v>
      </c>
      <c r="AH197" s="10"/>
      <c r="AI197" s="8">
        <f t="shared" ref="AI197:AJ197" si="307">SUMIF($J$37:$AG$37,AI$37,$J197:$AG197)</f>
        <v>0</v>
      </c>
      <c r="AJ197" s="8">
        <f t="shared" si="307"/>
        <v>0</v>
      </c>
      <c r="AK197" s="11">
        <f>IF(Input!$F$9=1,AK481,0)</f>
        <v>0</v>
      </c>
      <c r="AL197" s="11">
        <f>IF(Input!$F$9=1,AL481,0)</f>
        <v>0</v>
      </c>
      <c r="AM197" s="11">
        <f>IF(Input!$F$9=1,AM481,0)</f>
        <v>0</v>
      </c>
      <c r="AN197" s="11">
        <f>IF(Input!$F$9=1,AN481,0)</f>
        <v>0</v>
      </c>
      <c r="AO197" s="11">
        <f>IF(Input!$F$9=1,AO481,0)</f>
        <v>0</v>
      </c>
      <c r="AP197" s="11">
        <f>IF(Input!$F$9=1,AP481,0)</f>
        <v>0</v>
      </c>
      <c r="AQ197" s="11">
        <f>IF(Input!$F$9=1,AQ481,0)</f>
        <v>0</v>
      </c>
      <c r="AR197" s="11">
        <f>IF(Input!$F$9=1,AR481,0)</f>
        <v>0</v>
      </c>
      <c r="AS197" s="11">
        <f>IF(Input!$F$9=1,AS481,0)</f>
        <v>0</v>
      </c>
      <c r="AT197" s="11">
        <f>IF(Input!$F$9=1,AT481,0)</f>
        <v>0</v>
      </c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</row>
    <row r="198" spans="1:66" ht="14.25" customHeight="1" x14ac:dyDescent="0.3">
      <c r="A198" s="10"/>
      <c r="B198" s="10"/>
      <c r="C198" s="10" t="s">
        <v>212</v>
      </c>
      <c r="D198" s="10" t="s">
        <v>4</v>
      </c>
      <c r="E198" s="100"/>
      <c r="F198" s="10"/>
      <c r="G198" s="10"/>
      <c r="H198" s="10"/>
      <c r="I198" s="10"/>
      <c r="J198" s="11">
        <f>IF(Input!$F$9=1,J482,0)</f>
        <v>0</v>
      </c>
      <c r="K198" s="11">
        <f>IF(Input!$F$9=1,K482,0)</f>
        <v>0</v>
      </c>
      <c r="L198" s="11">
        <f>IF(Input!$F$9=1,L482,0)</f>
        <v>0</v>
      </c>
      <c r="M198" s="11">
        <f>IF(Input!$F$9=1,M482,0)</f>
        <v>0</v>
      </c>
      <c r="N198" s="11">
        <f>IF(Input!$F$9=1,N482,0)</f>
        <v>0</v>
      </c>
      <c r="O198" s="11">
        <f>IF(Input!$F$9=1,O482,0)</f>
        <v>0</v>
      </c>
      <c r="P198" s="11">
        <f>IF(Input!$F$9=1,P482,0)</f>
        <v>0</v>
      </c>
      <c r="Q198" s="11">
        <f>IF(Input!$F$9=1,Q482,0)</f>
        <v>0</v>
      </c>
      <c r="R198" s="11">
        <f>IF(Input!$F$9=1,R482,0)</f>
        <v>0</v>
      </c>
      <c r="S198" s="11">
        <f>IF(Input!$F$9=1,S482,0)</f>
        <v>0</v>
      </c>
      <c r="T198" s="11">
        <f>IF(Input!$F$9=1,T482,0)</f>
        <v>0</v>
      </c>
      <c r="U198" s="11">
        <f>IF(Input!$F$9=1,U482,0)</f>
        <v>0</v>
      </c>
      <c r="V198" s="11">
        <f>IF(Input!$F$9=1,V482,0)</f>
        <v>0</v>
      </c>
      <c r="W198" s="11">
        <f>IF(Input!$F$9=1,W482,0)</f>
        <v>0</v>
      </c>
      <c r="X198" s="11">
        <f>IF(Input!$F$9=1,X482,0)</f>
        <v>0</v>
      </c>
      <c r="Y198" s="11">
        <f>IF(Input!$F$9=1,Y482,0)</f>
        <v>0</v>
      </c>
      <c r="Z198" s="11">
        <f>IF(Input!$F$9=1,Z482,0)</f>
        <v>0</v>
      </c>
      <c r="AA198" s="11">
        <f>IF(Input!$F$9=1,AA482,0)</f>
        <v>0</v>
      </c>
      <c r="AB198" s="11">
        <f>IF(Input!$F$9=1,AB482,0)</f>
        <v>0</v>
      </c>
      <c r="AC198" s="11">
        <f>IF(Input!$F$9=1,AC482,0)</f>
        <v>0</v>
      </c>
      <c r="AD198" s="11">
        <f>IF(Input!$F$9=1,AD482,0)</f>
        <v>0</v>
      </c>
      <c r="AE198" s="11">
        <f>IF(Input!$F$9=1,AE482,0)</f>
        <v>0</v>
      </c>
      <c r="AF198" s="11">
        <f>IF(Input!$F$9=1,AF482,0)</f>
        <v>0</v>
      </c>
      <c r="AG198" s="11">
        <f>IF(Input!$F$9=1,AG482,0)</f>
        <v>0</v>
      </c>
      <c r="AH198" s="10"/>
      <c r="AI198" s="11">
        <f>IF(Input!$F$9=1,AI483,0)</f>
        <v>0</v>
      </c>
      <c r="AJ198" s="11">
        <f>IF(Input!$F$9=1,AJ483,0)</f>
        <v>0</v>
      </c>
      <c r="AK198" s="11">
        <f>IF(Input!$F$9=1,AK483,0)</f>
        <v>8905.8301115081103</v>
      </c>
      <c r="AL198" s="11">
        <f ca="1">IF(Input!$F$9=1,AL483,0)</f>
        <v>10781.87754582792</v>
      </c>
      <c r="AM198" s="11">
        <f ca="1">IF(Input!$F$9=1,AM483,0)</f>
        <v>14205.766432405058</v>
      </c>
      <c r="AN198" s="11">
        <f ca="1">IF(Input!$F$9=1,AN483,0)</f>
        <v>18298.949120829238</v>
      </c>
      <c r="AO198" s="11">
        <f ca="1">IF(Input!$F$9=1,AO483,0)</f>
        <v>19981.512862500003</v>
      </c>
      <c r="AP198" s="11">
        <f ca="1">IF(Input!$F$9=1,AP483,0)</f>
        <v>20881.002187500002</v>
      </c>
      <c r="AQ198" s="11">
        <f ca="1">IF(Input!$F$9=1,AQ483,0)</f>
        <v>21716.242275000001</v>
      </c>
      <c r="AR198" s="11">
        <f ca="1">IF(Input!$F$9=1,AR483,0)</f>
        <v>22487.233125000002</v>
      </c>
      <c r="AS198" s="11">
        <f ca="1">IF(Input!$F$9=1,AS483,0)</f>
        <v>23129.725500000004</v>
      </c>
      <c r="AT198" s="11">
        <f ca="1">IF(Input!$F$9=1,AT483,0)</f>
        <v>23772.217875000002</v>
      </c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</row>
    <row r="199" spans="1:66" ht="14.25" customHeight="1" x14ac:dyDescent="0.3">
      <c r="A199" s="7"/>
      <c r="B199" s="7"/>
      <c r="C199" s="7"/>
      <c r="D199" s="7"/>
      <c r="E199" s="107"/>
      <c r="F199" s="7"/>
      <c r="G199" s="7"/>
      <c r="H199" s="7"/>
      <c r="I199" s="7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7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</row>
    <row r="200" spans="1:66" ht="14.25" customHeight="1" x14ac:dyDescent="0.3">
      <c r="A200" s="7"/>
      <c r="B200" s="7"/>
      <c r="C200" s="15" t="s">
        <v>213</v>
      </c>
      <c r="D200" s="15" t="s">
        <v>10</v>
      </c>
      <c r="E200" s="111">
        <f>AJ31</f>
        <v>0.105</v>
      </c>
      <c r="F200" s="7"/>
      <c r="G200" s="112">
        <f>E200/12</f>
        <v>8.7499999999999991E-3</v>
      </c>
      <c r="H200" s="7"/>
      <c r="I200" s="7"/>
      <c r="J200" s="113">
        <v>0</v>
      </c>
      <c r="K200" s="113">
        <v>0</v>
      </c>
      <c r="L200" s="113">
        <v>0</v>
      </c>
      <c r="M200" s="113">
        <v>0</v>
      </c>
      <c r="N200" s="113">
        <v>0</v>
      </c>
      <c r="O200" s="113">
        <f t="shared" ref="O200:AG200" si="308">$G$200</f>
        <v>8.7499999999999991E-3</v>
      </c>
      <c r="P200" s="113">
        <f t="shared" si="308"/>
        <v>8.7499999999999991E-3</v>
      </c>
      <c r="Q200" s="113">
        <f t="shared" si="308"/>
        <v>8.7499999999999991E-3</v>
      </c>
      <c r="R200" s="113">
        <f t="shared" si="308"/>
        <v>8.7499999999999991E-3</v>
      </c>
      <c r="S200" s="113">
        <f t="shared" si="308"/>
        <v>8.7499999999999991E-3</v>
      </c>
      <c r="T200" s="113">
        <f t="shared" si="308"/>
        <v>8.7499999999999991E-3</v>
      </c>
      <c r="U200" s="113">
        <f t="shared" si="308"/>
        <v>8.7499999999999991E-3</v>
      </c>
      <c r="V200" s="113">
        <f t="shared" si="308"/>
        <v>8.7499999999999991E-3</v>
      </c>
      <c r="W200" s="113">
        <f t="shared" si="308"/>
        <v>8.7499999999999991E-3</v>
      </c>
      <c r="X200" s="113">
        <f t="shared" si="308"/>
        <v>8.7499999999999991E-3</v>
      </c>
      <c r="Y200" s="113">
        <f t="shared" si="308"/>
        <v>8.7499999999999991E-3</v>
      </c>
      <c r="Z200" s="113">
        <f t="shared" si="308"/>
        <v>8.7499999999999991E-3</v>
      </c>
      <c r="AA200" s="113">
        <f t="shared" si="308"/>
        <v>8.7499999999999991E-3</v>
      </c>
      <c r="AB200" s="113">
        <f t="shared" si="308"/>
        <v>8.7499999999999991E-3</v>
      </c>
      <c r="AC200" s="113">
        <f t="shared" si="308"/>
        <v>8.7499999999999991E-3</v>
      </c>
      <c r="AD200" s="113">
        <f t="shared" si="308"/>
        <v>8.7499999999999991E-3</v>
      </c>
      <c r="AE200" s="113">
        <f t="shared" si="308"/>
        <v>8.7499999999999991E-3</v>
      </c>
      <c r="AF200" s="113">
        <f t="shared" si="308"/>
        <v>8.7499999999999991E-3</v>
      </c>
      <c r="AG200" s="113">
        <f t="shared" si="308"/>
        <v>8.7499999999999991E-3</v>
      </c>
      <c r="AH200" s="7"/>
      <c r="AI200" s="17">
        <v>0</v>
      </c>
      <c r="AJ200" s="17">
        <f>$E$200</f>
        <v>0.105</v>
      </c>
      <c r="AK200" s="17">
        <f t="shared" ref="AK200:AT200" si="309">AJ200+AK31</f>
        <v>0.20500000000000002</v>
      </c>
      <c r="AL200" s="17">
        <f t="shared" si="309"/>
        <v>0.30000000000000004</v>
      </c>
      <c r="AM200" s="17">
        <f t="shared" si="309"/>
        <v>0.39</v>
      </c>
      <c r="AN200" s="17">
        <f t="shared" si="309"/>
        <v>0.47500000000000003</v>
      </c>
      <c r="AO200" s="17">
        <f t="shared" si="309"/>
        <v>0.55500000000000005</v>
      </c>
      <c r="AP200" s="17">
        <f t="shared" si="309"/>
        <v>0.625</v>
      </c>
      <c r="AQ200" s="17">
        <f t="shared" si="309"/>
        <v>0.69</v>
      </c>
      <c r="AR200" s="17">
        <f t="shared" si="309"/>
        <v>0.75</v>
      </c>
      <c r="AS200" s="17">
        <f t="shared" si="309"/>
        <v>0.8</v>
      </c>
      <c r="AT200" s="17">
        <f t="shared" si="309"/>
        <v>0.85000000000000009</v>
      </c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</row>
    <row r="201" spans="1:66" ht="14.25" customHeight="1" x14ac:dyDescent="0.3">
      <c r="A201" s="7"/>
      <c r="B201" s="7"/>
      <c r="C201" s="7"/>
      <c r="D201" s="7"/>
      <c r="E201" s="7"/>
      <c r="F201" s="114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49"/>
      <c r="AJ201" s="49"/>
      <c r="AK201" s="115"/>
      <c r="AL201" s="49"/>
      <c r="AM201" s="49"/>
      <c r="AN201" s="49"/>
      <c r="AO201" s="49"/>
      <c r="AP201" s="49"/>
      <c r="AQ201" s="49"/>
      <c r="AR201" s="49"/>
      <c r="AS201" s="49"/>
      <c r="AT201" s="49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</row>
    <row r="202" spans="1:66" ht="14.25" customHeight="1" x14ac:dyDescent="0.3">
      <c r="A202" s="7"/>
      <c r="B202" s="116"/>
      <c r="C202" s="92"/>
      <c r="D202" s="92"/>
      <c r="E202" s="92"/>
      <c r="F202" s="117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115"/>
      <c r="AJ202" s="115"/>
      <c r="AK202" s="115"/>
      <c r="AL202" s="115"/>
      <c r="AM202" s="115"/>
      <c r="AN202" s="115"/>
      <c r="AO202" s="115"/>
      <c r="AP202" s="115"/>
      <c r="AQ202" s="115"/>
      <c r="AR202" s="115"/>
      <c r="AS202" s="115"/>
      <c r="AT202" s="115">
        <f ca="1">AT188*5%</f>
        <v>22152.81371610958</v>
      </c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</row>
    <row r="203" spans="1:66" ht="14.2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</row>
    <row r="204" spans="1:66" ht="14.25" customHeight="1" x14ac:dyDescent="0.3">
      <c r="A204" s="7"/>
      <c r="B204" s="5" t="s">
        <v>214</v>
      </c>
      <c r="C204" s="7"/>
      <c r="D204" s="5" t="s">
        <v>4</v>
      </c>
      <c r="E204" s="7"/>
      <c r="F204" s="7"/>
      <c r="G204" s="7"/>
      <c r="H204" s="7"/>
      <c r="I204" s="7"/>
      <c r="J204" s="12">
        <f t="shared" ref="J204:AG204" ca="1" si="310">SUM(J205:J214)</f>
        <v>-3058.3316399999999</v>
      </c>
      <c r="K204" s="12">
        <f t="shared" ca="1" si="310"/>
        <v>-3057.9647233333335</v>
      </c>
      <c r="L204" s="12">
        <f t="shared" ca="1" si="310"/>
        <v>-3059.2226210624999</v>
      </c>
      <c r="M204" s="12">
        <f t="shared" ca="1" si="310"/>
        <v>-4453.2450168578125</v>
      </c>
      <c r="N204" s="12">
        <f t="shared" ca="1" si="310"/>
        <v>-4498.1644864500258</v>
      </c>
      <c r="O204" s="12">
        <f t="shared" ca="1" si="310"/>
        <v>-4953.9214857822535</v>
      </c>
      <c r="P204" s="12">
        <f t="shared" ca="1" si="310"/>
        <v>-4790.7383684035422</v>
      </c>
      <c r="Q204" s="12">
        <f t="shared" ca="1" si="310"/>
        <v>-4946.3843031230044</v>
      </c>
      <c r="R204" s="12">
        <f t="shared" ca="1" si="310"/>
        <v>-6868.6507865265503</v>
      </c>
      <c r="S204" s="12">
        <f t="shared" ca="1" si="310"/>
        <v>-3353.7052484499363</v>
      </c>
      <c r="T204" s="12">
        <f t="shared" ca="1" si="310"/>
        <v>-3351.450396123148</v>
      </c>
      <c r="U204" s="12">
        <f t="shared" ca="1" si="310"/>
        <v>-3352.5544147112882</v>
      </c>
      <c r="V204" s="12">
        <f t="shared" ca="1" si="310"/>
        <v>-3351.9811547550098</v>
      </c>
      <c r="W204" s="12">
        <f t="shared" ca="1" si="310"/>
        <v>-3349.7423324973743</v>
      </c>
      <c r="X204" s="12">
        <f t="shared" ca="1" si="310"/>
        <v>-3367.0661987112394</v>
      </c>
      <c r="Y204" s="12">
        <f t="shared" ca="1" si="310"/>
        <v>-6605.0483905219025</v>
      </c>
      <c r="Z204" s="12">
        <f t="shared" ca="1" si="310"/>
        <v>-6707.9742017070557</v>
      </c>
      <c r="AA204" s="12">
        <f t="shared" ca="1" si="310"/>
        <v>-7223.7086476035893</v>
      </c>
      <c r="AB204" s="12">
        <f t="shared" ca="1" si="310"/>
        <v>-7120.5702583992297</v>
      </c>
      <c r="AC204" s="12">
        <f t="shared" ca="1" si="310"/>
        <v>-7514.7413572838977</v>
      </c>
      <c r="AD204" s="12">
        <f t="shared" ca="1" si="310"/>
        <v>-7450.8322167707402</v>
      </c>
      <c r="AE204" s="12">
        <f t="shared" ca="1" si="310"/>
        <v>-3771.4656051902234</v>
      </c>
      <c r="AF204" s="12">
        <f t="shared" ca="1" si="310"/>
        <v>-3763.9414175387715</v>
      </c>
      <c r="AG204" s="12">
        <f t="shared" ca="1" si="310"/>
        <v>-3766.0104674836043</v>
      </c>
      <c r="AH204" s="7"/>
      <c r="AI204" s="12">
        <f t="shared" ref="AI204:AT204" ca="1" si="311">SUM(AI205:AI214)</f>
        <v>-18126.92848770367</v>
      </c>
      <c r="AJ204" s="12">
        <f t="shared" ca="1" si="311"/>
        <v>-54999.217281312311</v>
      </c>
      <c r="AK204" s="12">
        <f t="shared" ca="1" si="311"/>
        <v>-70614.214901550193</v>
      </c>
      <c r="AL204" s="12">
        <f t="shared" ca="1" si="311"/>
        <v>-76205.363522495885</v>
      </c>
      <c r="AM204" s="12">
        <f t="shared" ca="1" si="311"/>
        <v>-90089.050833666042</v>
      </c>
      <c r="AN204" s="12">
        <f t="shared" ca="1" si="311"/>
        <v>-96955.902037950349</v>
      </c>
      <c r="AO204" s="12">
        <f t="shared" ca="1" si="311"/>
        <v>-104611.34018420195</v>
      </c>
      <c r="AP204" s="12">
        <f t="shared" ca="1" si="311"/>
        <v>-111803.24446802071</v>
      </c>
      <c r="AQ204" s="12">
        <f t="shared" ca="1" si="311"/>
        <v>-118933.58567713734</v>
      </c>
      <c r="AR204" s="12">
        <f t="shared" ca="1" si="311"/>
        <v>-125930.1200840791</v>
      </c>
      <c r="AS204" s="12">
        <f t="shared" ca="1" si="311"/>
        <v>-132100.28484400181</v>
      </c>
      <c r="AT204" s="12">
        <f t="shared" ca="1" si="311"/>
        <v>-138570.5350923019</v>
      </c>
      <c r="AU204" s="55">
        <f ca="1">AS204/20</f>
        <v>-6605.0142422000908</v>
      </c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</row>
    <row r="205" spans="1:66" ht="14.25" customHeight="1" x14ac:dyDescent="0.3">
      <c r="A205" s="7"/>
      <c r="B205" s="10"/>
      <c r="C205" s="15" t="s">
        <v>215</v>
      </c>
      <c r="D205" s="15" t="s">
        <v>4</v>
      </c>
      <c r="E205" s="7"/>
      <c r="F205" s="10" t="s">
        <v>216</v>
      </c>
      <c r="G205" s="7"/>
      <c r="H205" s="7"/>
      <c r="I205" s="7"/>
      <c r="J205" s="8">
        <f>'Cattle Feeding Cycle'!J247</f>
        <v>-55.245000000000005</v>
      </c>
      <c r="K205" s="8">
        <f ca="1">'Cattle Feeding Cycle'!K247</f>
        <v>-55.179749999999999</v>
      </c>
      <c r="L205" s="8">
        <f ca="1">'Cattle Feeding Cycle'!L247</f>
        <v>-56.884393562500001</v>
      </c>
      <c r="M205" s="8">
        <f ca="1">'Cattle Feeding Cycle'!M247</f>
        <v>-1451.3524183265624</v>
      </c>
      <c r="N205" s="8">
        <f ca="1">'Cattle Feeding Cycle'!N247</f>
        <v>-1496.7164028151042</v>
      </c>
      <c r="O205" s="8">
        <f ca="1">'Cattle Feeding Cycle'!O247</f>
        <v>-1650.5490079235385</v>
      </c>
      <c r="P205" s="8">
        <f ca="1">'Cattle Feeding Cycle'!P247</f>
        <v>-1487.8248878652234</v>
      </c>
      <c r="Q205" s="8">
        <f ca="1">'Cattle Feeding Cycle'!Q247</f>
        <v>-1643.9286724117812</v>
      </c>
      <c r="R205" s="8">
        <f ca="1">'Cattle Feeding Cycle'!R247</f>
        <v>-3566.6518610178559</v>
      </c>
      <c r="S205" s="8">
        <f ca="1">'Cattle Feeding Cycle'!S247</f>
        <v>-52.161886380763185</v>
      </c>
      <c r="T205" s="8">
        <f ca="1">'Cattle Feeding Cycle'!T247</f>
        <v>-50.36145858489801</v>
      </c>
      <c r="U205" s="8">
        <f ca="1">'Cattle Feeding Cycle'!U247</f>
        <v>-51.91876564263363</v>
      </c>
      <c r="V205" s="8">
        <f ca="1">'Cattle Feeding Cycle'!V247</f>
        <v>-51.797660934777035</v>
      </c>
      <c r="W205" s="8">
        <f ca="1">'Cattle Feeding Cycle'!W247</f>
        <v>-50.00986353744203</v>
      </c>
      <c r="X205" s="8">
        <f ca="1">'Cattle Feeding Cycle'!X247</f>
        <v>-51.556359047468376</v>
      </c>
      <c r="Y205" s="8">
        <f ca="1">'Cattle Feeding Cycle'!Y247</f>
        <v>-3333.1409447092919</v>
      </c>
      <c r="Z205" s="8">
        <f ca="1">'Cattle Feeding Cycle'!Z247</f>
        <v>-3436.4470906347269</v>
      </c>
      <c r="AA205" s="8">
        <f ca="1">'Cattle Feeding Cycle'!AA247</f>
        <v>-3564.7114036548096</v>
      </c>
      <c r="AB205" s="8">
        <f ca="1">'Cattle Feeding Cycle'!AB247</f>
        <v>-3441.6885447103973</v>
      </c>
      <c r="AC205" s="8">
        <f ca="1">'Cattle Feeding Cycle'!AC247</f>
        <v>-3836.4896577269878</v>
      </c>
      <c r="AD205" s="8">
        <f ca="1">'Cattle Feeding Cycle'!AD247</f>
        <v>-3773.2089563104223</v>
      </c>
      <c r="AE205" s="8">
        <f ca="1">'Cattle Feeding Cycle'!AE247</f>
        <v>-94.469212728755721</v>
      </c>
      <c r="AF205" s="8">
        <f ca="1">'Cattle Feeding Cycle'!AF247</f>
        <v>-87.570325906157024</v>
      </c>
      <c r="AG205" s="8">
        <f ca="1">'Cattle Feeding Cycle'!AG247</f>
        <v>-90.263113427771358</v>
      </c>
      <c r="AH205" s="7"/>
      <c r="AI205" s="8">
        <f t="shared" ref="AI205:AJ205" ca="1" si="312">SUMIF($J$37:$AG$37,AI$37,$J205:$AG205)</f>
        <v>-3115.3779647041665</v>
      </c>
      <c r="AJ205" s="8">
        <f t="shared" ca="1" si="312"/>
        <v>-15426.348458690398</v>
      </c>
      <c r="AK205" s="8">
        <f ca="1">'Cattle Feeding Cycle'!AK247</f>
        <v>-26264.306246435775</v>
      </c>
      <c r="AL205" s="8">
        <f ca="1">'Cattle Feeding Cycle'!AL247</f>
        <v>-26894.430078349837</v>
      </c>
      <c r="AM205" s="8">
        <f ca="1">'Cattle Feeding Cycle'!AM247</f>
        <v>-35370.119177153829</v>
      </c>
      <c r="AN205" s="8">
        <f ca="1">'Cattle Feeding Cycle'!AN247</f>
        <v>-37011.353031307</v>
      </c>
      <c r="AO205" s="8">
        <f ca="1">'Cattle Feeding Cycle'!AO247</f>
        <v>-39972.261273811571</v>
      </c>
      <c r="AP205" s="8">
        <f ca="1">'Cattle Feeding Cycle'!AP247</f>
        <v>-42770.31956297838</v>
      </c>
      <c r="AQ205" s="8">
        <f ca="1">'Cattle Feeding Cycle'!AQ247</f>
        <v>-45550.390334571974</v>
      </c>
      <c r="AR205" s="8">
        <f ca="1">'Cattle Feeding Cycle'!AR247</f>
        <v>-48283.413754646295</v>
      </c>
      <c r="AS205" s="8">
        <f ca="1">'Cattle Feeding Cycle'!AS247</f>
        <v>-50697.584442378604</v>
      </c>
      <c r="AT205" s="8">
        <f ca="1">'Cattle Feeding Cycle'!AT247</f>
        <v>-53232.46366449754</v>
      </c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</row>
    <row r="206" spans="1:66" ht="14.25" customHeight="1" x14ac:dyDescent="0.3">
      <c r="A206" s="7"/>
      <c r="B206" s="10"/>
      <c r="C206" s="15" t="s">
        <v>217</v>
      </c>
      <c r="D206" s="15" t="s">
        <v>4</v>
      </c>
      <c r="E206" s="109">
        <v>6500</v>
      </c>
      <c r="F206" s="10" t="s">
        <v>218</v>
      </c>
      <c r="G206" s="7"/>
      <c r="H206" s="7"/>
      <c r="I206" s="7"/>
      <c r="J206" s="8">
        <f ca="1">-$E$206*J102*(1+J200)/1000/12</f>
        <v>-115.91666666666667</v>
      </c>
      <c r="K206" s="8">
        <f ca="1">-$E$206*K102*(1+K200)/1000/12</f>
        <v>-115.78125</v>
      </c>
      <c r="L206" s="8">
        <f ca="1">-$E$206*L102*(1+L200)/1000/12</f>
        <v>-115.51075520833332</v>
      </c>
      <c r="M206" s="8">
        <f ca="1">-$E$206*M102*(1+M200)/1000/12</f>
        <v>-115.24093665364582</v>
      </c>
      <c r="N206" s="8">
        <f ca="1">-$E$206*N102*(1+N200)/1000/12</f>
        <v>-114.97179264534505</v>
      </c>
      <c r="O206" s="8">
        <f ca="1">-$E$206*O102*(1+O200)/1000/12</f>
        <v>-115.70697556016432</v>
      </c>
      <c r="P206" s="8">
        <f ca="1">-$E$206*P102*(1+P200)/1000/12</f>
        <v>-115.43683234001394</v>
      </c>
      <c r="Q206" s="8">
        <f ca="1">-$E$206*Q102*(1+Q200)/1000/12</f>
        <v>-115.16736447791391</v>
      </c>
      <c r="R206" s="8">
        <f ca="1">-$E$206*R102*(1+R200)/1000/12</f>
        <v>-114.89857028546909</v>
      </c>
      <c r="S206" s="8">
        <f ca="1">-$E$206*S102*(1+S200)/1000/12</f>
        <v>-114.63044807850544</v>
      </c>
      <c r="T206" s="8">
        <f ca="1">-$E$206*T102*(1+T200)/1000/12</f>
        <v>-114.36299617705917</v>
      </c>
      <c r="U206" s="8">
        <f ca="1">-$E$206*U102*(1+U200)/1000/12</f>
        <v>-114.09621290536653</v>
      </c>
      <c r="V206" s="8">
        <f ca="1">-$E$206*V102*(1+V200)/1000/12</f>
        <v>-113.83009659185309</v>
      </c>
      <c r="W206" s="8">
        <f ca="1">-$E$206*W102*(1+W200)/1000/12</f>
        <v>-113.56464556912347</v>
      </c>
      <c r="X206" s="8">
        <f ca="1">-$E$206*X102*(1+X200)/1000/12</f>
        <v>-105.36617827352886</v>
      </c>
      <c r="Y206" s="8">
        <f ca="1">-$E$206*Y102*(1+Y200)/1000/12</f>
        <v>-97.188207146173212</v>
      </c>
      <c r="Z206" s="8">
        <f ca="1">-$E$206*Z102*(1+Z200)/1000/12</f>
        <v>-96.964360847057776</v>
      </c>
      <c r="AA206" s="8">
        <f ca="1">-$E$206*AA102*(1+AA200)/1000/12</f>
        <v>-153.59835460560672</v>
      </c>
      <c r="AB206" s="8">
        <f ca="1">-$E$206*AB102*(1+AB200)/1000/12</f>
        <v>-172.21736193831592</v>
      </c>
      <c r="AC206" s="8">
        <f ca="1">-$E$206*AC102*(1+AC200)/1000/12</f>
        <v>-171.78681853347015</v>
      </c>
      <c r="AD206" s="8">
        <f ca="1">-$E$206*AD102*(1+AD200)/1000/12</f>
        <v>-171.35735148713647</v>
      </c>
      <c r="AE206" s="8">
        <f ca="1">-$E$206*AE102*(1+AE200)/1000/12</f>
        <v>-170.92895810841864</v>
      </c>
      <c r="AF206" s="8">
        <f ca="1">-$E$206*AF102*(1+AF200)/1000/12</f>
        <v>-170.50163571314758</v>
      </c>
      <c r="AG206" s="8">
        <f ca="1">-$E$206*AG102*(1+AG200)/1000/12</f>
        <v>-170.0753816238647</v>
      </c>
      <c r="AH206" s="7"/>
      <c r="AI206" s="8">
        <f t="shared" ref="AI206:AJ206" ca="1" si="313">SUMIF($J$37:$AG$37,AI$37,$J206:$AG206)</f>
        <v>-577.42140117399083</v>
      </c>
      <c r="AJ206" s="8">
        <f t="shared" ca="1" si="313"/>
        <v>-1331.212888252229</v>
      </c>
      <c r="AK206" s="8">
        <f t="shared" ref="AK206:AT206" ca="1" si="314">-$E$206*AK102*(1+AK200)/1000</f>
        <v>-2068.0642216504325</v>
      </c>
      <c r="AL206" s="8">
        <f t="shared" ca="1" si="314"/>
        <v>-2722.3767066683386</v>
      </c>
      <c r="AM206" s="8">
        <f t="shared" ca="1" si="314"/>
        <v>-3562.2108955347626</v>
      </c>
      <c r="AN206" s="8">
        <f t="shared" ca="1" si="314"/>
        <v>-4273.7531116596219</v>
      </c>
      <c r="AO206" s="8">
        <f t="shared" ca="1" si="314"/>
        <v>-4523.1062499999998</v>
      </c>
      <c r="AP206" s="8">
        <f t="shared" ca="1" si="314"/>
        <v>-4726.71875</v>
      </c>
      <c r="AQ206" s="8">
        <f t="shared" ca="1" si="314"/>
        <v>-4915.7875000000004</v>
      </c>
      <c r="AR206" s="8">
        <f t="shared" ca="1" si="314"/>
        <v>-5090.3125</v>
      </c>
      <c r="AS206" s="8">
        <f t="shared" ca="1" si="314"/>
        <v>-5235.75</v>
      </c>
      <c r="AT206" s="8">
        <f t="shared" ca="1" si="314"/>
        <v>-5381.1875</v>
      </c>
      <c r="AU206" s="10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</row>
    <row r="207" spans="1:66" ht="14.25" customHeight="1" x14ac:dyDescent="0.3">
      <c r="A207" s="7"/>
      <c r="B207" s="10"/>
      <c r="C207" s="15" t="s">
        <v>219</v>
      </c>
      <c r="D207" s="15" t="s">
        <v>4</v>
      </c>
      <c r="E207" s="109">
        <v>500</v>
      </c>
      <c r="F207" s="10" t="s">
        <v>220</v>
      </c>
      <c r="G207" s="7"/>
      <c r="H207" s="7"/>
      <c r="I207" s="7"/>
      <c r="J207" s="8">
        <f ca="1">-$E$207*(1+J200)*J$102/1000/12</f>
        <v>-8.9166666666666661</v>
      </c>
      <c r="K207" s="8">
        <f ca="1">-$E$207*(1+K200)*K$102/1000/12</f>
        <v>-8.90625</v>
      </c>
      <c r="L207" s="8">
        <f ca="1">-$E$207*(1+L200)*L$102/1000/12</f>
        <v>-8.8854427083333345</v>
      </c>
      <c r="M207" s="8">
        <f ca="1">-$E$207*(1+M200)*M$102/1000/12</f>
        <v>-8.8646874348958331</v>
      </c>
      <c r="N207" s="8">
        <f ca="1">-$E$207*(1+N200)*N$102/1000/12</f>
        <v>-8.8439840496419269</v>
      </c>
      <c r="O207" s="8">
        <f ca="1">-$E$207*(1+O200)*O$102/1000/12</f>
        <v>-8.9005365815511031</v>
      </c>
      <c r="P207" s="8">
        <f ca="1">-$E$207*(1+P200)*P$102/1000/12</f>
        <v>-8.8797563338472258</v>
      </c>
      <c r="Q207" s="8">
        <f ca="1">-$E$207*(1+Q200)*Q$102/1000/12</f>
        <v>-8.8590280367626075</v>
      </c>
      <c r="R207" s="8">
        <f ca="1">-$E$207*(1+R200)*R$102/1000/12</f>
        <v>-8.8383515604207012</v>
      </c>
      <c r="S207" s="8">
        <f ca="1">-$E$207*(1+S200)*S$102/1000/12</f>
        <v>-8.8177267752696498</v>
      </c>
      <c r="T207" s="8">
        <f ca="1">-$E$207*(1+T200)*T$102/1000/12</f>
        <v>-8.7971535520814736</v>
      </c>
      <c r="U207" s="8">
        <f ca="1">-$E$207*(1+U200)*U$102/1000/12</f>
        <v>-8.7766317619512701</v>
      </c>
      <c r="V207" s="8">
        <f ca="1">-$E$207*(1+V200)*V$102/1000/12</f>
        <v>-8.7561612762963925</v>
      </c>
      <c r="W207" s="8">
        <f ca="1">-$E$207*(1+W200)*W$102/1000/12</f>
        <v>-8.7357419668556506</v>
      </c>
      <c r="X207" s="8">
        <f ca="1">-$E$207*(1+X200)*X$102/1000/12</f>
        <v>-8.105090636425297</v>
      </c>
      <c r="Y207" s="8">
        <f ca="1">-$E$207*(1+Y200)*Y$102/1000/12</f>
        <v>-7.4760159343210155</v>
      </c>
      <c r="Z207" s="8">
        <f ca="1">-$E$207*(1+Z200)*Z$102/1000/12</f>
        <v>-7.4587969882352132</v>
      </c>
      <c r="AA207" s="8">
        <f ca="1">-$E$207*(1+AA200)*AA$102/1000/12</f>
        <v>-11.81525804658513</v>
      </c>
      <c r="AB207" s="8">
        <f ca="1">-$E$207*(1+AB200)*AB$102/1000/12</f>
        <v>-13.247489379870457</v>
      </c>
      <c r="AC207" s="8">
        <f ca="1">-$E$207*(1+AC200)*AC$102/1000/12</f>
        <v>-13.214370656420781</v>
      </c>
      <c r="AD207" s="8">
        <f ca="1">-$E$207*(1+AD200)*AD$102/1000/12</f>
        <v>-13.181334729779728</v>
      </c>
      <c r="AE207" s="8">
        <f ca="1">-$E$207*(1+AE200)*AE$102/1000/12</f>
        <v>-13.148381392955278</v>
      </c>
      <c r="AF207" s="8">
        <f ca="1">-$E$207*(1+AF200)*AF$102/1000/12</f>
        <v>-13.115510439472892</v>
      </c>
      <c r="AG207" s="8">
        <f ca="1">-$E$207*(1+AG200)*AG$102/1000/12</f>
        <v>-13.082721663374208</v>
      </c>
      <c r="AH207" s="7"/>
      <c r="AI207" s="8">
        <f t="shared" ref="AI207:AJ207" ca="1" si="315">SUMIF($J$37:$AG$37,AI$37,$J207:$AG207)</f>
        <v>-44.417030859537761</v>
      </c>
      <c r="AJ207" s="8">
        <f t="shared" ca="1" si="315"/>
        <v>-102.4009914040176</v>
      </c>
      <c r="AK207" s="8">
        <f t="shared" ref="AK207:AT207" ca="1" si="316">-$E$207*(1+AK200)*AK$102/1000</f>
        <v>-159.08186320387938</v>
      </c>
      <c r="AL207" s="8">
        <f t="shared" ca="1" si="316"/>
        <v>-209.41359282064144</v>
      </c>
      <c r="AM207" s="8">
        <f t="shared" ca="1" si="316"/>
        <v>-274.01622273344333</v>
      </c>
      <c r="AN207" s="8">
        <f t="shared" ca="1" si="316"/>
        <v>-328.7502393584324</v>
      </c>
      <c r="AO207" s="8">
        <f t="shared" ca="1" si="316"/>
        <v>-347.93125000000003</v>
      </c>
      <c r="AP207" s="8">
        <f t="shared" ca="1" si="316"/>
        <v>-363.59375</v>
      </c>
      <c r="AQ207" s="8">
        <f t="shared" ca="1" si="316"/>
        <v>-378.13749999999999</v>
      </c>
      <c r="AR207" s="8">
        <f t="shared" ca="1" si="316"/>
        <v>-391.5625</v>
      </c>
      <c r="AS207" s="8">
        <f t="shared" ca="1" si="316"/>
        <v>-402.75</v>
      </c>
      <c r="AT207" s="8">
        <f t="shared" ca="1" si="316"/>
        <v>-413.9375</v>
      </c>
      <c r="AU207" s="10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</row>
    <row r="208" spans="1:66" ht="14.25" customHeight="1" x14ac:dyDescent="0.3">
      <c r="A208" s="7"/>
      <c r="B208" s="10"/>
      <c r="C208" s="15" t="s">
        <v>221</v>
      </c>
      <c r="D208" s="15" t="s">
        <v>4</v>
      </c>
      <c r="E208" s="109">
        <v>500</v>
      </c>
      <c r="F208" s="10" t="s">
        <v>220</v>
      </c>
      <c r="G208" s="7"/>
      <c r="H208" s="7"/>
      <c r="I208" s="7"/>
      <c r="J208" s="21">
        <f ca="1">-$E$207*(1+J$200)*J$105/1000/12</f>
        <v>-8.9166666666666661</v>
      </c>
      <c r="K208" s="21">
        <f ca="1">-$E$207*(1+K$200)*K$105/1000/12</f>
        <v>-8.8958333333333339</v>
      </c>
      <c r="L208" s="21">
        <f ca="1">-$E$207*(1+L$200)*L$105/1000/12</f>
        <v>-8.8750520833333333</v>
      </c>
      <c r="M208" s="21">
        <f ca="1">-$E$207*(1+M$200)*M$105/1000/12</f>
        <v>-8.8543227864583329</v>
      </c>
      <c r="N208" s="21">
        <f ca="1">-$E$207*(1+N$200)*N$105/1000/12</f>
        <v>-8.8336453128255208</v>
      </c>
      <c r="O208" s="21">
        <f ca="1">-$E$207*(1+O$200)*O$105/1000/12</f>
        <v>-8.8901334537894616</v>
      </c>
      <c r="P208" s="21">
        <f ca="1">-$E$207*(1+P$200)*P$105/1000/12</f>
        <v>-8.8693792139049883</v>
      </c>
      <c r="Q208" s="21">
        <f ca="1">-$E$207*(1+Q$200)*Q$105/1000/12</f>
        <v>-8.848676859620225</v>
      </c>
      <c r="R208" s="21">
        <f ca="1">-$E$207*(1+R$200)*R$105/1000/12</f>
        <v>-8.828026261221174</v>
      </c>
      <c r="S208" s="21">
        <f ca="1">-$E$207*(1+S$200)*S$105/1000/12</f>
        <v>-8.807427289318122</v>
      </c>
      <c r="T208" s="21">
        <f ca="1">-$E$207*(1+T$200)*T$105/1000/12</f>
        <v>-8.7868798148448271</v>
      </c>
      <c r="U208" s="21">
        <f ca="1">-$E$207*(1+U$200)*U$105/1000/12</f>
        <v>-8.766383709057715</v>
      </c>
      <c r="V208" s="21">
        <f ca="1">-$E$207*(1+V$200)*V$105/1000/12</f>
        <v>-8.74593884353507</v>
      </c>
      <c r="W208" s="21">
        <f ca="1">-$E$207*(1+W$200)*W$105/1000/12</f>
        <v>-8.725545090176233</v>
      </c>
      <c r="X208" s="21">
        <f ca="1">-$E$207*(1+X$200)*X$105/1000/12</f>
        <v>-7.4846361826743584</v>
      </c>
      <c r="Y208" s="21">
        <f ca="1">-$E$207*(1+Y$200)*Y$105/1000/12</f>
        <v>-7.4673956859676727</v>
      </c>
      <c r="Z208" s="21">
        <f ca="1">-$E$207*(1+Z$200)*Z$105/1000/12</f>
        <v>-7.4501982905027537</v>
      </c>
      <c r="AA208" s="21">
        <f ca="1">-$E$207*(1+AA$200)*AA$105/1000/12</f>
        <v>-13.264069466703836</v>
      </c>
      <c r="AB208" s="21">
        <f ca="1">-$E$207*(1+AB$200)*AB$105/1000/12</f>
        <v>-13.230909293037078</v>
      </c>
      <c r="AC208" s="21">
        <f ca="1">-$E$207*(1+AC$200)*AC$105/1000/12</f>
        <v>-13.197832019804482</v>
      </c>
      <c r="AD208" s="21">
        <f ca="1">-$E$207*(1+AD$200)*AD$105/1000/12</f>
        <v>-13.164837439754971</v>
      </c>
      <c r="AE208" s="21">
        <f ca="1">-$E$207*(1+AE$200)*AE$105/1000/12</f>
        <v>-13.131925346155583</v>
      </c>
      <c r="AF208" s="21">
        <f ca="1">-$E$207*(1+AF$200)*AF$105/1000/12</f>
        <v>-13.099095532790194</v>
      </c>
      <c r="AG208" s="21">
        <f ca="1">-$E$207*(1+AG$200)*AG$105/1000/12</f>
        <v>-13.066347793958217</v>
      </c>
      <c r="AH208" s="7"/>
      <c r="AI208" s="8">
        <f t="shared" ref="AI208:AJ208" ca="1" si="317">SUMIF($J$37:$AG$37,AI$37,$J208:$AG208)</f>
        <v>-44.375520182617194</v>
      </c>
      <c r="AJ208" s="8">
        <f t="shared" ca="1" si="317"/>
        <v>-101.67062069461259</v>
      </c>
      <c r="AK208" s="8">
        <f t="shared" ref="AK208:AT208" ca="1" si="318">-$E$207*(1+AK$200)*AK$102/1000</f>
        <v>-159.08186320387938</v>
      </c>
      <c r="AL208" s="8">
        <f t="shared" ca="1" si="318"/>
        <v>-209.41359282064144</v>
      </c>
      <c r="AM208" s="8">
        <f t="shared" ca="1" si="318"/>
        <v>-274.01622273344333</v>
      </c>
      <c r="AN208" s="8">
        <f t="shared" ca="1" si="318"/>
        <v>-328.7502393584324</v>
      </c>
      <c r="AO208" s="8">
        <f t="shared" ca="1" si="318"/>
        <v>-347.93125000000003</v>
      </c>
      <c r="AP208" s="8">
        <f t="shared" ca="1" si="318"/>
        <v>-363.59375</v>
      </c>
      <c r="AQ208" s="8">
        <f t="shared" ca="1" si="318"/>
        <v>-378.13749999999999</v>
      </c>
      <c r="AR208" s="8">
        <f t="shared" ca="1" si="318"/>
        <v>-391.5625</v>
      </c>
      <c r="AS208" s="8">
        <f t="shared" ca="1" si="318"/>
        <v>-402.75</v>
      </c>
      <c r="AT208" s="8">
        <f t="shared" ca="1" si="318"/>
        <v>-413.9375</v>
      </c>
      <c r="AU208" s="10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</row>
    <row r="209" spans="1:66" ht="14.25" customHeight="1" x14ac:dyDescent="0.3">
      <c r="A209" s="7"/>
      <c r="B209" s="10"/>
      <c r="C209" s="15" t="s">
        <v>222</v>
      </c>
      <c r="D209" s="15" t="s">
        <v>4</v>
      </c>
      <c r="E209" s="90">
        <v>1.4999999999999999E-2</v>
      </c>
      <c r="F209" s="10" t="s">
        <v>223</v>
      </c>
      <c r="G209" s="7"/>
      <c r="H209" s="7"/>
      <c r="I209" s="7"/>
      <c r="J209" s="8">
        <f>-(J182*$E175*J57)/1000*$E$209*$E$482/12</f>
        <v>-54</v>
      </c>
      <c r="K209" s="8">
        <f>-(K182*$E175*K57)/1000*$E$209*$E$482/12</f>
        <v>-53.865000000000009</v>
      </c>
      <c r="L209" s="8">
        <f>-(L182*$E175*L57)/1000*$E$209*$E$482/12</f>
        <v>-53.730337499999997</v>
      </c>
      <c r="M209" s="8">
        <f>-(M182*$E175*M57)/1000*$E$209*$E$482/12</f>
        <v>-53.596011656249999</v>
      </c>
      <c r="N209" s="8">
        <f>-(N182*$E175*N57)/1000*$E$209*$E$482/12</f>
        <v>-53.46202162710938</v>
      </c>
      <c r="O209" s="8">
        <f>-(O182*$E175*O57)/1000*$E$209*$E$482/12</f>
        <v>-58.927845063210981</v>
      </c>
      <c r="P209" s="8">
        <f>-(P182*$E175*P57)/1000*$E$209*$E$482/12</f>
        <v>-58.780525450552936</v>
      </c>
      <c r="Q209" s="8">
        <f>-(Q182*$E175*Q57)/1000*$E$209*$E$482/12</f>
        <v>-58.633574136926548</v>
      </c>
      <c r="R209" s="8">
        <f>-(R182*$E175*R57)/1000*$E$209*$E$482/12</f>
        <v>-58.486990201584241</v>
      </c>
      <c r="S209" s="8">
        <f>-(S182*$E175*S57)/1000*$E$209*$E$482/12</f>
        <v>-58.340772726080296</v>
      </c>
      <c r="T209" s="8">
        <f>-(T182*$E175*T57)/1000*$E$209*$E$482/12</f>
        <v>-58.19492079426508</v>
      </c>
      <c r="U209" s="8">
        <f>-(U182*$E175*U57)/1000*$E$209*$E$482/12</f>
        <v>-58.049433492279412</v>
      </c>
      <c r="V209" s="8">
        <f>-(V182*$E175*V57)/1000*$E$209*$E$482/12</f>
        <v>-57.904309908548726</v>
      </c>
      <c r="W209" s="8">
        <f>-(W182*$E175*W57)/1000*$E$209*$E$482/12</f>
        <v>-57.759549133777348</v>
      </c>
      <c r="X209" s="8">
        <f>-(X182*$E175*X57)/1000*$E$209*$E$482/12</f>
        <v>-48.951217890876308</v>
      </c>
      <c r="Y209" s="8">
        <f>-(Y182*$E175*Y57)/1000*$E$209*$E$482/12</f>
        <v>-48.828839846149123</v>
      </c>
      <c r="Z209" s="8">
        <f>-(Z182*$E175*Z57)/1000*$E$209*$E$482/12</f>
        <v>-48.70676774653375</v>
      </c>
      <c r="AA209" s="8">
        <f>-(AA182*$E175*AA57)/1000*$E$209*$E$482/12</f>
        <v>-53.443500909884143</v>
      </c>
      <c r="AB209" s="8">
        <f>-(AB182*$E175*AB57)/1000*$E$209*$E$482/12</f>
        <v>-53.309892157609433</v>
      </c>
      <c r="AC209" s="8">
        <f>-(AC182*$E175*AC57)/1000*$E$209*$E$482/12</f>
        <v>-53.176617427215405</v>
      </c>
      <c r="AD209" s="8">
        <f>-(AD182*$E175*AD57)/1000*$E$209*$E$482/12</f>
        <v>-53.04367588364736</v>
      </c>
      <c r="AE209" s="8">
        <f>-(AE182*$E175*AE57)/1000*$E$209*$E$482/12</f>
        <v>-52.911066693938245</v>
      </c>
      <c r="AF209" s="8">
        <f>-(AF182*$E175*AF57)/1000*$E$209*$E$482/12</f>
        <v>-52.778789027203402</v>
      </c>
      <c r="AG209" s="8">
        <f>-(AG182*$E175*AG57)/1000*$E$209*$E$482/12</f>
        <v>-52.646842054635393</v>
      </c>
      <c r="AH209" s="7"/>
      <c r="AI209" s="8">
        <f>SUMIF($J$37:$AG$37,AI$37,$J209:$AG209)</f>
        <v>-268.65337078335938</v>
      </c>
      <c r="AJ209" s="8">
        <f>SUMIF($J$37:$AG$37,AJ$37,$J209:$AG209)</f>
        <v>-671.56474639078476</v>
      </c>
      <c r="AK209" s="8">
        <f t="shared" ref="AK209:AT209" ca="1" si="319">-(AK182*$E175*AK57)/1000*$E$209*$E$482</f>
        <v>-792.24967213479385</v>
      </c>
      <c r="AL209" s="8">
        <f t="shared" ca="1" si="319"/>
        <v>-1068.9933760444692</v>
      </c>
      <c r="AM209" s="8">
        <f t="shared" ca="1" si="319"/>
        <v>-1410.1387443000001</v>
      </c>
      <c r="AN209" s="8">
        <f t="shared" ca="1" si="319"/>
        <v>-1530.0005375655001</v>
      </c>
      <c r="AO209" s="8">
        <f t="shared" ca="1" si="319"/>
        <v>-1652.4005805707402</v>
      </c>
      <c r="AP209" s="8">
        <f t="shared" ca="1" si="319"/>
        <v>-1768.0686212106921</v>
      </c>
      <c r="AQ209" s="8">
        <f t="shared" ca="1" si="319"/>
        <v>-1882.9930815893874</v>
      </c>
      <c r="AR209" s="8">
        <f t="shared" ca="1" si="319"/>
        <v>-1995.9726664847503</v>
      </c>
      <c r="AS209" s="8">
        <f t="shared" ca="1" si="319"/>
        <v>-2095.7712998089878</v>
      </c>
      <c r="AT209" s="8">
        <f t="shared" ca="1" si="319"/>
        <v>-2200.559864799437</v>
      </c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</row>
    <row r="210" spans="1:66" ht="14.25" customHeight="1" x14ac:dyDescent="0.3">
      <c r="A210" s="7"/>
      <c r="B210" s="10"/>
      <c r="C210" s="20" t="s">
        <v>744</v>
      </c>
      <c r="D210" s="15" t="s">
        <v>4</v>
      </c>
      <c r="E210" s="90"/>
      <c r="F210" s="10"/>
      <c r="G210" s="7"/>
      <c r="H210" s="7"/>
      <c r="I210" s="7"/>
      <c r="J210" s="8">
        <f>-Staff!J36</f>
        <v>-1940.33664</v>
      </c>
      <c r="K210" s="8">
        <f>-Staff!K36</f>
        <v>-1940.33664</v>
      </c>
      <c r="L210" s="8">
        <f>-Staff!L36</f>
        <v>-1940.33664</v>
      </c>
      <c r="M210" s="8">
        <f>-Staff!M36</f>
        <v>-1940.33664</v>
      </c>
      <c r="N210" s="8">
        <f>-Staff!N36</f>
        <v>-1940.33664</v>
      </c>
      <c r="O210" s="8">
        <f>-Staff!O36</f>
        <v>-2144.0719871999995</v>
      </c>
      <c r="P210" s="8">
        <f>-Staff!P36</f>
        <v>-2144.0719871999995</v>
      </c>
      <c r="Q210" s="8">
        <f>-Staff!Q36</f>
        <v>-2144.0719871999995</v>
      </c>
      <c r="R210" s="8">
        <f>-Staff!R36</f>
        <v>-2144.0719871999995</v>
      </c>
      <c r="S210" s="8">
        <f>-Staff!S36</f>
        <v>-2144.0719871999995</v>
      </c>
      <c r="T210" s="8">
        <f>-Staff!T36</f>
        <v>-2144.0719871999995</v>
      </c>
      <c r="U210" s="8">
        <f>-Staff!U36</f>
        <v>-2144.0719871999995</v>
      </c>
      <c r="V210" s="8">
        <f>-Staff!V36</f>
        <v>-2144.0719871999995</v>
      </c>
      <c r="W210" s="8">
        <f>-Staff!W36</f>
        <v>-2144.0719871999995</v>
      </c>
      <c r="X210" s="8">
        <f>-Staff!X36</f>
        <v>-2144.0719871999995</v>
      </c>
      <c r="Y210" s="8">
        <f>-Staff!Y36</f>
        <v>-2144.0719871999995</v>
      </c>
      <c r="Z210" s="8">
        <f>-Staff!Z36</f>
        <v>-2144.0719871999995</v>
      </c>
      <c r="AA210" s="8">
        <f>-Staff!AA36</f>
        <v>-2358.47918592</v>
      </c>
      <c r="AB210" s="8">
        <f>-Staff!AB36</f>
        <v>-2358.47918592</v>
      </c>
      <c r="AC210" s="8">
        <f>-Staff!AC36</f>
        <v>-2358.47918592</v>
      </c>
      <c r="AD210" s="8">
        <f>-Staff!AD36</f>
        <v>-2358.47918592</v>
      </c>
      <c r="AE210" s="8">
        <f>-Staff!AE36</f>
        <v>-2358.47918592</v>
      </c>
      <c r="AF210" s="8">
        <f>-Staff!AF36</f>
        <v>-2358.47918592</v>
      </c>
      <c r="AG210" s="8">
        <f>-Staff!AG36</f>
        <v>-2358.47918592</v>
      </c>
      <c r="AH210" s="7"/>
      <c r="AI210" s="8">
        <f>SUMIF($J$37:$AG$37,AI$37,$J210:$AG210)</f>
        <v>-9701.6831999999995</v>
      </c>
      <c r="AJ210" s="8">
        <f>SUMIF($J$37:$AG$37,AJ$37,$J210:$AG210)</f>
        <v>-25728.8638464</v>
      </c>
      <c r="AK210" s="8">
        <f>Staff!AK36</f>
        <v>-28301.750231040001</v>
      </c>
      <c r="AL210" s="8">
        <f>Staff!AL36</f>
        <v>-30990.416502988799</v>
      </c>
      <c r="AM210" s="8">
        <f>Staff!AM36</f>
        <v>-33779.553988257794</v>
      </c>
      <c r="AN210" s="8">
        <f>Staff!AN36</f>
        <v>-36650.816077259711</v>
      </c>
      <c r="AO210" s="8">
        <f>Staff!AO36</f>
        <v>-39582.881363440487</v>
      </c>
      <c r="AP210" s="8">
        <f>Staff!AP36</f>
        <v>-42353.683058881317</v>
      </c>
      <c r="AQ210" s="8">
        <f>Staff!AQ36</f>
        <v>-45106.672457708599</v>
      </c>
      <c r="AR210" s="8">
        <f>Staff!AR36</f>
        <v>-47813.072805171112</v>
      </c>
      <c r="AS210" s="8">
        <f>Staff!AS36</f>
        <v>-50203.72644542966</v>
      </c>
      <c r="AT210" s="8">
        <f>Staff!AT36</f>
        <v>-52713.912767701164</v>
      </c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</row>
    <row r="211" spans="1:66" ht="14.25" customHeight="1" x14ac:dyDescent="0.3">
      <c r="A211" s="7"/>
      <c r="B211" s="10"/>
      <c r="C211" s="7" t="s">
        <v>224</v>
      </c>
      <c r="D211" s="15" t="s">
        <v>4</v>
      </c>
      <c r="E211" s="109">
        <v>500</v>
      </c>
      <c r="F211" s="10" t="s">
        <v>750</v>
      </c>
      <c r="G211" s="7"/>
      <c r="H211" s="7"/>
      <c r="I211" s="7"/>
      <c r="J211" s="8">
        <f>-E211</f>
        <v>-500</v>
      </c>
      <c r="K211" s="8">
        <f>J211</f>
        <v>-500</v>
      </c>
      <c r="L211" s="8">
        <f>K211</f>
        <v>-500</v>
      </c>
      <c r="M211" s="8">
        <f>L211</f>
        <v>-500</v>
      </c>
      <c r="N211" s="8">
        <f>M211</f>
        <v>-500</v>
      </c>
      <c r="O211" s="8">
        <f>N211*(1+$E$200)</f>
        <v>-552.5</v>
      </c>
      <c r="P211" s="8">
        <f>O211</f>
        <v>-552.5</v>
      </c>
      <c r="Q211" s="8">
        <f>P211</f>
        <v>-552.5</v>
      </c>
      <c r="R211" s="8">
        <f>Q211</f>
        <v>-552.5</v>
      </c>
      <c r="S211" s="8">
        <f>R211</f>
        <v>-552.5</v>
      </c>
      <c r="T211" s="8">
        <f>S211</f>
        <v>-552.5</v>
      </c>
      <c r="U211" s="8">
        <f>T211</f>
        <v>-552.5</v>
      </c>
      <c r="V211" s="8">
        <f>U211</f>
        <v>-552.5</v>
      </c>
      <c r="W211" s="8">
        <f>V211</f>
        <v>-552.5</v>
      </c>
      <c r="X211" s="8">
        <f>W211</f>
        <v>-552.5</v>
      </c>
      <c r="Y211" s="8">
        <f>X211</f>
        <v>-552.5</v>
      </c>
      <c r="Z211" s="8">
        <f>Y211</f>
        <v>-552.5</v>
      </c>
      <c r="AA211" s="8">
        <f>Z211*(1+$E$200)</f>
        <v>-610.51250000000005</v>
      </c>
      <c r="AB211" s="8">
        <f>AA211</f>
        <v>-610.51250000000005</v>
      </c>
      <c r="AC211" s="8">
        <f>AB211</f>
        <v>-610.51250000000005</v>
      </c>
      <c r="AD211" s="8">
        <f>AC211</f>
        <v>-610.51250000000005</v>
      </c>
      <c r="AE211" s="8">
        <f>AD211</f>
        <v>-610.51250000000005</v>
      </c>
      <c r="AF211" s="8">
        <f>AE211</f>
        <v>-610.51250000000005</v>
      </c>
      <c r="AG211" s="8">
        <f>AF211</f>
        <v>-610.51250000000005</v>
      </c>
      <c r="AH211" s="7"/>
      <c r="AI211" s="8">
        <f t="shared" ref="AI211:AJ211" si="320">SUMIF($J$37:$AG$37,AI$37,$J211:$AG211)</f>
        <v>-2500</v>
      </c>
      <c r="AJ211" s="8">
        <f t="shared" si="320"/>
        <v>-6630</v>
      </c>
      <c r="AK211" s="8">
        <f t="shared" ref="AK211:AT211" si="321">AJ211*(1+AK31)</f>
        <v>-7293.0000000000009</v>
      </c>
      <c r="AL211" s="8">
        <f t="shared" si="321"/>
        <v>-7985.8350000000009</v>
      </c>
      <c r="AM211" s="8">
        <f t="shared" si="321"/>
        <v>-8704.5601500000012</v>
      </c>
      <c r="AN211" s="8">
        <f t="shared" si="321"/>
        <v>-9444.4477627500019</v>
      </c>
      <c r="AO211" s="8">
        <f t="shared" si="321"/>
        <v>-10200.003583770003</v>
      </c>
      <c r="AP211" s="8">
        <f t="shared" si="321"/>
        <v>-10914.003834633904</v>
      </c>
      <c r="AQ211" s="8">
        <f t="shared" si="321"/>
        <v>-11623.414083885107</v>
      </c>
      <c r="AR211" s="8">
        <f t="shared" si="321"/>
        <v>-12320.818928918214</v>
      </c>
      <c r="AS211" s="8">
        <f t="shared" si="321"/>
        <v>-12936.859875364125</v>
      </c>
      <c r="AT211" s="8">
        <f t="shared" si="321"/>
        <v>-13583.702869132332</v>
      </c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</row>
    <row r="212" spans="1:66" ht="14.25" customHeight="1" x14ac:dyDescent="0.3">
      <c r="A212" s="7"/>
      <c r="B212" s="10"/>
      <c r="C212" s="15" t="s">
        <v>225</v>
      </c>
      <c r="D212" s="15" t="s">
        <v>4</v>
      </c>
      <c r="E212" s="107"/>
      <c r="F212" s="10"/>
      <c r="G212" s="7"/>
      <c r="H212" s="7"/>
      <c r="I212" s="7"/>
      <c r="J212" s="8">
        <f>J211*35%</f>
        <v>-175</v>
      </c>
      <c r="K212" s="8">
        <f>K211*35%</f>
        <v>-175</v>
      </c>
      <c r="L212" s="8">
        <f>L211*35%</f>
        <v>-175</v>
      </c>
      <c r="M212" s="8">
        <f>M211*35%</f>
        <v>-175</v>
      </c>
      <c r="N212" s="8">
        <f>N211*35%</f>
        <v>-175</v>
      </c>
      <c r="O212" s="8">
        <f>O211*35%</f>
        <v>-193.375</v>
      </c>
      <c r="P212" s="8">
        <f>P211*35%</f>
        <v>-193.375</v>
      </c>
      <c r="Q212" s="8">
        <f>Q211*35%</f>
        <v>-193.375</v>
      </c>
      <c r="R212" s="8">
        <f>R211*35%</f>
        <v>-193.375</v>
      </c>
      <c r="S212" s="8">
        <f>S211*35%</f>
        <v>-193.375</v>
      </c>
      <c r="T212" s="8">
        <f>T211*35%</f>
        <v>-193.375</v>
      </c>
      <c r="U212" s="8">
        <f>U211*35%</f>
        <v>-193.375</v>
      </c>
      <c r="V212" s="8">
        <f>V211*35%</f>
        <v>-193.375</v>
      </c>
      <c r="W212" s="8">
        <f>W211*35%</f>
        <v>-193.375</v>
      </c>
      <c r="X212" s="8">
        <f>X211*35%</f>
        <v>-193.375</v>
      </c>
      <c r="Y212" s="8">
        <f>Y211*35%</f>
        <v>-193.375</v>
      </c>
      <c r="Z212" s="8">
        <f>Z211*35%</f>
        <v>-193.375</v>
      </c>
      <c r="AA212" s="8">
        <f>AA211*35%</f>
        <v>-213.67937499999999</v>
      </c>
      <c r="AB212" s="8">
        <f>AB211*35%</f>
        <v>-213.67937499999999</v>
      </c>
      <c r="AC212" s="8">
        <f>AC211*35%</f>
        <v>-213.67937499999999</v>
      </c>
      <c r="AD212" s="8">
        <f>AD211*35%</f>
        <v>-213.67937499999999</v>
      </c>
      <c r="AE212" s="8">
        <f>AE211*35%</f>
        <v>-213.67937499999999</v>
      </c>
      <c r="AF212" s="8">
        <f>AF211*35%</f>
        <v>-213.67937499999999</v>
      </c>
      <c r="AG212" s="8">
        <f>AG211*35%</f>
        <v>-213.67937499999999</v>
      </c>
      <c r="AH212" s="7"/>
      <c r="AI212" s="8">
        <f t="shared" ref="AI212:AJ212" si="322">SUMIF($J$37:$AG$37,AI$37,$J212:$AG212)</f>
        <v>-875</v>
      </c>
      <c r="AJ212" s="8">
        <f t="shared" si="322"/>
        <v>-2320.5</v>
      </c>
      <c r="AK212" s="8">
        <f t="shared" ref="AK212:AS212" si="323">AK211*35%</f>
        <v>-2552.5500000000002</v>
      </c>
      <c r="AL212" s="8">
        <f t="shared" si="323"/>
        <v>-2795.04225</v>
      </c>
      <c r="AM212" s="8">
        <f t="shared" si="323"/>
        <v>-3046.5960525</v>
      </c>
      <c r="AN212" s="8">
        <f t="shared" si="323"/>
        <v>-3305.5567169625006</v>
      </c>
      <c r="AO212" s="8">
        <f t="shared" si="323"/>
        <v>-3570.0012543195012</v>
      </c>
      <c r="AP212" s="8">
        <f t="shared" si="323"/>
        <v>-3819.901342121866</v>
      </c>
      <c r="AQ212" s="8">
        <f t="shared" si="323"/>
        <v>-4068.1949293597872</v>
      </c>
      <c r="AR212" s="8">
        <f t="shared" si="323"/>
        <v>-4312.2866251213745</v>
      </c>
      <c r="AS212" s="8">
        <f t="shared" si="323"/>
        <v>-4527.9009563774434</v>
      </c>
      <c r="AT212" s="8">
        <f t="shared" ref="AT212" si="324">AT211*35%</f>
        <v>-4754.2960041963161</v>
      </c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</row>
    <row r="213" spans="1:66" ht="13.5" customHeight="1" x14ac:dyDescent="0.3">
      <c r="A213" s="7"/>
      <c r="B213" s="7"/>
      <c r="C213" s="7" t="s">
        <v>226</v>
      </c>
      <c r="D213" s="15" t="s">
        <v>4</v>
      </c>
      <c r="E213" s="335">
        <v>200</v>
      </c>
      <c r="F213" s="10" t="s">
        <v>227</v>
      </c>
      <c r="G213" s="7"/>
      <c r="H213" s="7"/>
      <c r="I213" s="7"/>
      <c r="J213" s="8">
        <f>-E213</f>
        <v>-200</v>
      </c>
      <c r="K213" s="8">
        <f>J213</f>
        <v>-200</v>
      </c>
      <c r="L213" s="8">
        <f>K213</f>
        <v>-200</v>
      </c>
      <c r="M213" s="8">
        <f>L213</f>
        <v>-200</v>
      </c>
      <c r="N213" s="8">
        <f>M213</f>
        <v>-200</v>
      </c>
      <c r="O213" s="8">
        <f>N213*(1+$E$200)</f>
        <v>-221</v>
      </c>
      <c r="P213" s="8">
        <f>O213</f>
        <v>-221</v>
      </c>
      <c r="Q213" s="8">
        <f>P213</f>
        <v>-221</v>
      </c>
      <c r="R213" s="8">
        <f>Q213</f>
        <v>-221</v>
      </c>
      <c r="S213" s="8">
        <f>R213</f>
        <v>-221</v>
      </c>
      <c r="T213" s="8">
        <f>S213</f>
        <v>-221</v>
      </c>
      <c r="U213" s="8">
        <f>T213</f>
        <v>-221</v>
      </c>
      <c r="V213" s="8">
        <f>U213</f>
        <v>-221</v>
      </c>
      <c r="W213" s="8">
        <f>V213</f>
        <v>-221</v>
      </c>
      <c r="X213" s="8">
        <f>W213</f>
        <v>-221</v>
      </c>
      <c r="Y213" s="8">
        <f>X213</f>
        <v>-221</v>
      </c>
      <c r="Z213" s="8">
        <f>Y213</f>
        <v>-221</v>
      </c>
      <c r="AA213" s="8">
        <f>Z213*(1+$E$200)</f>
        <v>-244.20499999999998</v>
      </c>
      <c r="AB213" s="8">
        <f>AA213</f>
        <v>-244.20499999999998</v>
      </c>
      <c r="AC213" s="8">
        <f>AB213</f>
        <v>-244.20499999999998</v>
      </c>
      <c r="AD213" s="8">
        <f>AC213</f>
        <v>-244.20499999999998</v>
      </c>
      <c r="AE213" s="8">
        <f>AD213</f>
        <v>-244.20499999999998</v>
      </c>
      <c r="AF213" s="8">
        <f>AE213</f>
        <v>-244.20499999999998</v>
      </c>
      <c r="AG213" s="8">
        <f>AF213</f>
        <v>-244.20499999999998</v>
      </c>
      <c r="AH213" s="7"/>
      <c r="AI213" s="8">
        <f t="shared" ref="AI213:AJ213" si="325">SUMIF($J$37:$AG$37,AI$37,$J213:$AG213)</f>
        <v>-1000</v>
      </c>
      <c r="AJ213" s="8">
        <f t="shared" si="325"/>
        <v>-2652</v>
      </c>
      <c r="AK213" s="8">
        <f t="shared" ref="AK213:AT213" si="326">AJ213*(1+AK31)</f>
        <v>-2917.2000000000003</v>
      </c>
      <c r="AL213" s="8">
        <f t="shared" si="326"/>
        <v>-3194.3340000000003</v>
      </c>
      <c r="AM213" s="8">
        <f t="shared" si="326"/>
        <v>-3481.8240600000004</v>
      </c>
      <c r="AN213" s="8">
        <f t="shared" si="326"/>
        <v>-3777.7791051000004</v>
      </c>
      <c r="AO213" s="8">
        <f t="shared" si="326"/>
        <v>-4080.0014335080009</v>
      </c>
      <c r="AP213" s="8">
        <f t="shared" si="326"/>
        <v>-4365.6015338535608</v>
      </c>
      <c r="AQ213" s="8">
        <f t="shared" si="326"/>
        <v>-4649.3656335540418</v>
      </c>
      <c r="AR213" s="8">
        <f t="shared" si="326"/>
        <v>-4928.3275715672844</v>
      </c>
      <c r="AS213" s="8">
        <f t="shared" si="326"/>
        <v>-5174.7439501456493</v>
      </c>
      <c r="AT213" s="8">
        <f t="shared" si="326"/>
        <v>-5433.4811476529321</v>
      </c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</row>
    <row r="214" spans="1:66" ht="14.25" customHeight="1" x14ac:dyDescent="0.3">
      <c r="A214" s="7"/>
      <c r="B214" s="7"/>
      <c r="C214" s="7" t="s">
        <v>228</v>
      </c>
      <c r="D214" s="15" t="s">
        <v>4</v>
      </c>
      <c r="E214" s="90">
        <v>1E-3</v>
      </c>
      <c r="F214" s="10" t="s">
        <v>229</v>
      </c>
      <c r="G214" s="7"/>
      <c r="H214" s="7"/>
      <c r="I214" s="7"/>
      <c r="J214" s="118">
        <f>-$E$214*SUM(J189:J192)</f>
        <v>0</v>
      </c>
      <c r="K214" s="118">
        <f>-$E$214*SUM(K189:K192)</f>
        <v>0</v>
      </c>
      <c r="L214" s="118">
        <f>-$E$214*SUM(L189:L192)</f>
        <v>0</v>
      </c>
      <c r="M214" s="118">
        <f>-$E$214*SUM(M189:M192)</f>
        <v>0</v>
      </c>
      <c r="N214" s="118">
        <f>-$E$214*SUM(N189:N192)</f>
        <v>0</v>
      </c>
      <c r="O214" s="118">
        <f>-$E$214*SUM(O189:O192)</f>
        <v>0</v>
      </c>
      <c r="P214" s="118">
        <f>-$E$214*SUM(P189:P192)</f>
        <v>0</v>
      </c>
      <c r="Q214" s="118">
        <f>-$E$214*SUM(Q189:Q192)</f>
        <v>0</v>
      </c>
      <c r="R214" s="118">
        <f>-$E$214*SUM(R189:R192)</f>
        <v>0</v>
      </c>
      <c r="S214" s="118">
        <f>-$E$214*SUM(S189:S192)</f>
        <v>0</v>
      </c>
      <c r="T214" s="118">
        <f>-$E$214*SUM(T189:T192)</f>
        <v>0</v>
      </c>
      <c r="U214" s="118">
        <f>-$E$214*SUM(U189:U192)</f>
        <v>0</v>
      </c>
      <c r="V214" s="118">
        <f>-$E$214*SUM(V189:V192)</f>
        <v>0</v>
      </c>
      <c r="W214" s="118">
        <f>-$E$214*SUM(W189:W192)</f>
        <v>0</v>
      </c>
      <c r="X214" s="118">
        <f>-$E$214*SUM(X189:X192)</f>
        <v>-34.655729480266402</v>
      </c>
      <c r="Y214" s="118">
        <f>-$E$214*SUM(Y189:Y192)</f>
        <v>0</v>
      </c>
      <c r="Z214" s="118">
        <f>-$E$214*SUM(Z189:Z192)</f>
        <v>0</v>
      </c>
      <c r="AA214" s="118">
        <f>-$E$214*SUM(AA189:AA192)</f>
        <v>0</v>
      </c>
      <c r="AB214" s="118">
        <f>-$E$214*SUM(AB189:AB192)</f>
        <v>0</v>
      </c>
      <c r="AC214" s="118">
        <f>-$E$214*SUM(AC189:AC192)</f>
        <v>0</v>
      </c>
      <c r="AD214" s="118">
        <f>-$E$214*SUM(AD189:AD192)</f>
        <v>0</v>
      </c>
      <c r="AE214" s="118">
        <f>-$E$214*SUM(AE189:AE192)</f>
        <v>0</v>
      </c>
      <c r="AF214" s="118">
        <f>-$E$214*SUM(AF189:AF192)</f>
        <v>0</v>
      </c>
      <c r="AG214" s="118">
        <f>-$E$214*SUM(AG189:AG192)</f>
        <v>0</v>
      </c>
      <c r="AH214" s="7"/>
      <c r="AI214" s="8">
        <f t="shared" ref="AI214:AJ214" si="327">SUMIF($J$37:$AG$37,AI$37,$J214:$AG214)</f>
        <v>0</v>
      </c>
      <c r="AJ214" s="8">
        <f t="shared" si="327"/>
        <v>-34.655729480266402</v>
      </c>
      <c r="AK214" s="8">
        <f t="shared" ref="AK214:AT214" ca="1" si="328">-$E$214*AK188</f>
        <v>-106.93080388143709</v>
      </c>
      <c r="AL214" s="8">
        <f t="shared" ca="1" si="328"/>
        <v>-135.1084228031612</v>
      </c>
      <c r="AM214" s="8">
        <f t="shared" ca="1" si="328"/>
        <v>-186.01532045275403</v>
      </c>
      <c r="AN214" s="8">
        <f t="shared" ca="1" si="328"/>
        <v>-304.6952166291552</v>
      </c>
      <c r="AO214" s="8">
        <f t="shared" ca="1" si="328"/>
        <v>-334.82194478164695</v>
      </c>
      <c r="AP214" s="8">
        <f t="shared" ca="1" si="328"/>
        <v>-357.76026434098725</v>
      </c>
      <c r="AQ214" s="8">
        <f t="shared" ca="1" si="328"/>
        <v>-380.49265646846391</v>
      </c>
      <c r="AR214" s="8">
        <f t="shared" ca="1" si="328"/>
        <v>-402.79023217007182</v>
      </c>
      <c r="AS214" s="8">
        <f t="shared" ca="1" si="328"/>
        <v>-422.44787449732536</v>
      </c>
      <c r="AT214" s="8">
        <f t="shared" ca="1" si="328"/>
        <v>-443.0562743221916</v>
      </c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</row>
    <row r="215" spans="1:66" ht="14.25" customHeight="1" outlineLevel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</row>
    <row r="216" spans="1:66" ht="14.25" customHeight="1" outlineLevel="1" x14ac:dyDescent="0.3">
      <c r="A216" s="7"/>
      <c r="B216" s="5" t="s">
        <v>230</v>
      </c>
      <c r="C216" s="7"/>
      <c r="D216" s="5" t="s">
        <v>4</v>
      </c>
      <c r="E216" s="7"/>
      <c r="F216" s="7"/>
      <c r="G216" s="7"/>
      <c r="H216" s="7"/>
      <c r="I216" s="7"/>
      <c r="J216" s="12">
        <f t="shared" ref="J216:AG216" si="329">SUM(J217)</f>
        <v>0</v>
      </c>
      <c r="K216" s="12">
        <f t="shared" si="329"/>
        <v>0</v>
      </c>
      <c r="L216" s="12">
        <f t="shared" si="329"/>
        <v>0</v>
      </c>
      <c r="M216" s="12">
        <f t="shared" si="329"/>
        <v>0</v>
      </c>
      <c r="N216" s="12">
        <f t="shared" si="329"/>
        <v>0</v>
      </c>
      <c r="O216" s="12">
        <f t="shared" si="329"/>
        <v>0</v>
      </c>
      <c r="P216" s="12">
        <f t="shared" si="329"/>
        <v>0</v>
      </c>
      <c r="Q216" s="12">
        <f t="shared" si="329"/>
        <v>0</v>
      </c>
      <c r="R216" s="12">
        <f t="shared" si="329"/>
        <v>0</v>
      </c>
      <c r="S216" s="12">
        <f t="shared" si="329"/>
        <v>0</v>
      </c>
      <c r="T216" s="12">
        <f t="shared" si="329"/>
        <v>0</v>
      </c>
      <c r="U216" s="12">
        <f t="shared" si="329"/>
        <v>0</v>
      </c>
      <c r="V216" s="12">
        <f t="shared" si="329"/>
        <v>0</v>
      </c>
      <c r="W216" s="12">
        <f t="shared" si="329"/>
        <v>0</v>
      </c>
      <c r="X216" s="12">
        <f t="shared" si="329"/>
        <v>0</v>
      </c>
      <c r="Y216" s="12">
        <f t="shared" si="329"/>
        <v>0</v>
      </c>
      <c r="Z216" s="12">
        <f t="shared" si="329"/>
        <v>0</v>
      </c>
      <c r="AA216" s="12">
        <f t="shared" si="329"/>
        <v>0</v>
      </c>
      <c r="AB216" s="12">
        <f t="shared" si="329"/>
        <v>0</v>
      </c>
      <c r="AC216" s="12">
        <f t="shared" si="329"/>
        <v>0</v>
      </c>
      <c r="AD216" s="12">
        <f t="shared" si="329"/>
        <v>0</v>
      </c>
      <c r="AE216" s="12">
        <f t="shared" si="329"/>
        <v>0</v>
      </c>
      <c r="AF216" s="12">
        <f t="shared" si="329"/>
        <v>0</v>
      </c>
      <c r="AG216" s="12">
        <f t="shared" si="329"/>
        <v>0</v>
      </c>
      <c r="AH216" s="7"/>
      <c r="AI216" s="12">
        <f t="shared" ref="AI216:AJ216" ca="1" si="330">SUM(AI217:AI220)</f>
        <v>0</v>
      </c>
      <c r="AJ216" s="12">
        <f t="shared" ca="1" si="330"/>
        <v>0</v>
      </c>
      <c r="AK216" s="12">
        <f>SUM(AK217:AK220)</f>
        <v>-115.32547848700464</v>
      </c>
      <c r="AL216" s="12">
        <f t="shared" ref="AL216:AT216" ca="1" si="331">SUM(AL217:AL220)</f>
        <v>-146.90338752803405</v>
      </c>
      <c r="AM216" s="12">
        <f t="shared" ca="1" si="331"/>
        <v>-197.31365221674781</v>
      </c>
      <c r="AN216" s="12">
        <f t="shared" ca="1" si="331"/>
        <v>-259.56594257343329</v>
      </c>
      <c r="AO216" s="12">
        <f t="shared" ca="1" si="331"/>
        <v>-286.39809762593626</v>
      </c>
      <c r="AP216" s="12">
        <f t="shared" ca="1" si="331"/>
        <v>-306.44596445975185</v>
      </c>
      <c r="AQ216" s="12">
        <f t="shared" ca="1" si="331"/>
        <v>-326.36495214963571</v>
      </c>
      <c r="AR216" s="12">
        <f t="shared" ca="1" si="331"/>
        <v>-345.94684927861385</v>
      </c>
      <c r="AS216" s="12">
        <f t="shared" ca="1" si="331"/>
        <v>-363.24419174254456</v>
      </c>
      <c r="AT216" s="12">
        <f t="shared" ca="1" si="331"/>
        <v>-381.40640132967184</v>
      </c>
      <c r="AU216" s="55">
        <f ca="1">AS216/20</f>
        <v>-18.162209587127229</v>
      </c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</row>
    <row r="217" spans="1:66" ht="14.25" customHeight="1" outlineLevel="1" x14ac:dyDescent="0.3">
      <c r="A217" s="7"/>
      <c r="B217" s="7"/>
      <c r="C217" s="20" t="s">
        <v>677</v>
      </c>
      <c r="D217" s="15" t="s">
        <v>4</v>
      </c>
      <c r="E217" s="7"/>
      <c r="F217" s="7"/>
      <c r="G217" s="7"/>
      <c r="H217" s="7"/>
      <c r="I217" s="7"/>
      <c r="J217" s="8">
        <f>'Cattle Feeding Cycle'!J257</f>
        <v>0</v>
      </c>
      <c r="K217" s="8">
        <f>'Cattle Feeding Cycle'!K257</f>
        <v>0</v>
      </c>
      <c r="L217" s="8">
        <f>'Cattle Feeding Cycle'!L257</f>
        <v>0</v>
      </c>
      <c r="M217" s="8">
        <f>'Cattle Feeding Cycle'!M257</f>
        <v>0</v>
      </c>
      <c r="N217" s="8">
        <f>'Cattle Feeding Cycle'!N257</f>
        <v>0</v>
      </c>
      <c r="O217" s="8">
        <f>'Cattle Feeding Cycle'!O257</f>
        <v>0</v>
      </c>
      <c r="P217" s="8">
        <f>'Cattle Feeding Cycle'!P257</f>
        <v>0</v>
      </c>
      <c r="Q217" s="8">
        <f>'Cattle Feeding Cycle'!Q257</f>
        <v>0</v>
      </c>
      <c r="R217" s="8">
        <f>'Cattle Feeding Cycle'!R257</f>
        <v>0</v>
      </c>
      <c r="S217" s="8">
        <f>'Cattle Feeding Cycle'!S257</f>
        <v>0</v>
      </c>
      <c r="T217" s="8">
        <f>'Cattle Feeding Cycle'!T257</f>
        <v>0</v>
      </c>
      <c r="U217" s="8">
        <f>'Cattle Feeding Cycle'!U257</f>
        <v>0</v>
      </c>
      <c r="V217" s="8">
        <f>'Cattle Feeding Cycle'!V257</f>
        <v>0</v>
      </c>
      <c r="W217" s="8">
        <f>'Cattle Feeding Cycle'!W257</f>
        <v>0</v>
      </c>
      <c r="X217" s="8">
        <f>'Cattle Feeding Cycle'!X257</f>
        <v>0</v>
      </c>
      <c r="Y217" s="8">
        <f>'Cattle Feeding Cycle'!Y257</f>
        <v>0</v>
      </c>
      <c r="Z217" s="8">
        <f>'Cattle Feeding Cycle'!Z257</f>
        <v>0</v>
      </c>
      <c r="AA217" s="8">
        <f>'Cattle Feeding Cycle'!AA257</f>
        <v>0</v>
      </c>
      <c r="AB217" s="8">
        <f>'Cattle Feeding Cycle'!AB257</f>
        <v>0</v>
      </c>
      <c r="AC217" s="8">
        <f>'Cattle Feeding Cycle'!AC257</f>
        <v>0</v>
      </c>
      <c r="AD217" s="8">
        <f>'Cattle Feeding Cycle'!AD257</f>
        <v>0</v>
      </c>
      <c r="AE217" s="8">
        <f>'Cattle Feeding Cycle'!AE257</f>
        <v>0</v>
      </c>
      <c r="AF217" s="8">
        <f>'Cattle Feeding Cycle'!AF257</f>
        <v>0</v>
      </c>
      <c r="AG217" s="8">
        <f>'Cattle Feeding Cycle'!AG257</f>
        <v>0</v>
      </c>
      <c r="AH217" s="7"/>
      <c r="AI217" s="8">
        <f t="shared" ref="AI217:AJ217" si="332">SUMIF($J$37:$AG$37,AI$37,$J217:$AG217)</f>
        <v>0</v>
      </c>
      <c r="AJ217" s="8">
        <f t="shared" si="332"/>
        <v>0</v>
      </c>
      <c r="AK217" s="8">
        <f>'Cattle Feeding Cycle'!AK257</f>
        <v>-115.32547848700464</v>
      </c>
      <c r="AL217" s="8">
        <f ca="1">'Cattle Feeding Cycle'!AL257</f>
        <v>-146.90338752803405</v>
      </c>
      <c r="AM217" s="8">
        <f ca="1">'Cattle Feeding Cycle'!AM257</f>
        <v>-197.31365221674781</v>
      </c>
      <c r="AN217" s="8">
        <f ca="1">'Cattle Feeding Cycle'!AN257</f>
        <v>-259.56594257343329</v>
      </c>
      <c r="AO217" s="8">
        <f ca="1">'Cattle Feeding Cycle'!AO257</f>
        <v>-286.39809762593626</v>
      </c>
      <c r="AP217" s="8">
        <f ca="1">'Cattle Feeding Cycle'!AP257</f>
        <v>-306.44596445975185</v>
      </c>
      <c r="AQ217" s="8">
        <f ca="1">'Cattle Feeding Cycle'!AQ257</f>
        <v>-326.36495214963571</v>
      </c>
      <c r="AR217" s="8">
        <f ca="1">'Cattle Feeding Cycle'!AR257</f>
        <v>-345.94684927861385</v>
      </c>
      <c r="AS217" s="8">
        <f ca="1">'Cattle Feeding Cycle'!AS257</f>
        <v>-363.24419174254456</v>
      </c>
      <c r="AT217" s="8">
        <f ca="1">'Cattle Feeding Cycle'!AT257</f>
        <v>-381.40640132967184</v>
      </c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</row>
    <row r="218" spans="1:66" ht="14.25" customHeight="1" outlineLevel="1" x14ac:dyDescent="0.3">
      <c r="A218" s="7"/>
      <c r="B218" s="7"/>
      <c r="C218" s="20" t="s">
        <v>678</v>
      </c>
      <c r="D218" s="15" t="s">
        <v>4</v>
      </c>
      <c r="E218" s="7"/>
      <c r="F218" s="7"/>
      <c r="G218" s="7"/>
      <c r="H218" s="7"/>
      <c r="I218" s="7"/>
      <c r="J218" s="8">
        <f>'Cattle Feeding Cycle'!J264</f>
        <v>0</v>
      </c>
      <c r="K218" s="8">
        <f ca="1">'Cattle Feeding Cycle'!K264</f>
        <v>0</v>
      </c>
      <c r="L218" s="8">
        <f ca="1">'Cattle Feeding Cycle'!L264</f>
        <v>0</v>
      </c>
      <c r="M218" s="8">
        <f ca="1">'Cattle Feeding Cycle'!M264</f>
        <v>0</v>
      </c>
      <c r="N218" s="8">
        <f ca="1">'Cattle Feeding Cycle'!N264</f>
        <v>0</v>
      </c>
      <c r="O218" s="8">
        <f ca="1">'Cattle Feeding Cycle'!O264</f>
        <v>0</v>
      </c>
      <c r="P218" s="8">
        <f ca="1">'Cattle Feeding Cycle'!P264</f>
        <v>0</v>
      </c>
      <c r="Q218" s="8">
        <f ca="1">'Cattle Feeding Cycle'!Q264</f>
        <v>0</v>
      </c>
      <c r="R218" s="8">
        <f ca="1">'Cattle Feeding Cycle'!R264</f>
        <v>0</v>
      </c>
      <c r="S218" s="8">
        <f ca="1">'Cattle Feeding Cycle'!S264</f>
        <v>0</v>
      </c>
      <c r="T218" s="8">
        <f ca="1">'Cattle Feeding Cycle'!T264</f>
        <v>0</v>
      </c>
      <c r="U218" s="8">
        <f ca="1">'Cattle Feeding Cycle'!U264</f>
        <v>0</v>
      </c>
      <c r="V218" s="8">
        <f ca="1">'Cattle Feeding Cycle'!V264</f>
        <v>0</v>
      </c>
      <c r="W218" s="8">
        <f ca="1">'Cattle Feeding Cycle'!W264</f>
        <v>0</v>
      </c>
      <c r="X218" s="8">
        <f ca="1">'Cattle Feeding Cycle'!X264</f>
        <v>0</v>
      </c>
      <c r="Y218" s="8">
        <f ca="1">'Cattle Feeding Cycle'!Y264</f>
        <v>0</v>
      </c>
      <c r="Z218" s="8">
        <f ca="1">'Cattle Feeding Cycle'!Z264</f>
        <v>0</v>
      </c>
      <c r="AA218" s="8">
        <f ca="1">'Cattle Feeding Cycle'!AA264</f>
        <v>0</v>
      </c>
      <c r="AB218" s="8">
        <f ca="1">'Cattle Feeding Cycle'!AB264</f>
        <v>0</v>
      </c>
      <c r="AC218" s="8">
        <f ca="1">'Cattle Feeding Cycle'!AC264</f>
        <v>0</v>
      </c>
      <c r="AD218" s="8">
        <f ca="1">'Cattle Feeding Cycle'!AD264</f>
        <v>0</v>
      </c>
      <c r="AE218" s="8">
        <f ca="1">'Cattle Feeding Cycle'!AE264</f>
        <v>0</v>
      </c>
      <c r="AF218" s="8">
        <f ca="1">'Cattle Feeding Cycle'!AF264</f>
        <v>0</v>
      </c>
      <c r="AG218" s="8">
        <f ca="1">'Cattle Feeding Cycle'!AG264</f>
        <v>0</v>
      </c>
      <c r="AH218" s="7"/>
      <c r="AI218" s="8">
        <f ca="1">'Cattle Feeding Cycle'!AI264</f>
        <v>0</v>
      </c>
      <c r="AJ218" s="8">
        <f ca="1">'Cattle Feeding Cycle'!AJ264</f>
        <v>0</v>
      </c>
      <c r="AK218" s="8">
        <f>'Cattle Feeding Cycle'!AK264</f>
        <v>0</v>
      </c>
      <c r="AL218" s="8">
        <f>'Cattle Feeding Cycle'!AL264</f>
        <v>0</v>
      </c>
      <c r="AM218" s="8">
        <f>'Cattle Feeding Cycle'!AM264</f>
        <v>0</v>
      </c>
      <c r="AN218" s="8">
        <f>'Cattle Feeding Cycle'!AN264</f>
        <v>0</v>
      </c>
      <c r="AO218" s="8">
        <f>'Cattle Feeding Cycle'!AO264</f>
        <v>0</v>
      </c>
      <c r="AP218" s="8">
        <f>'Cattle Feeding Cycle'!AP264</f>
        <v>0</v>
      </c>
      <c r="AQ218" s="8">
        <f>'Cattle Feeding Cycle'!AQ264</f>
        <v>0</v>
      </c>
      <c r="AR218" s="8">
        <f>'Cattle Feeding Cycle'!AR264</f>
        <v>0</v>
      </c>
      <c r="AS218" s="8">
        <f>'Cattle Feeding Cycle'!AS264</f>
        <v>0</v>
      </c>
      <c r="AT218" s="8">
        <f>'Cattle Feeding Cycle'!AT264</f>
        <v>0</v>
      </c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</row>
    <row r="219" spans="1:66" ht="14.25" customHeight="1" outlineLevel="1" x14ac:dyDescent="0.3">
      <c r="A219" s="7"/>
      <c r="B219" s="7"/>
      <c r="C219" s="20" t="s">
        <v>224</v>
      </c>
      <c r="D219" s="15" t="s">
        <v>4</v>
      </c>
      <c r="E219" s="7"/>
      <c r="F219" s="7"/>
      <c r="G219" s="7"/>
      <c r="H219" s="7"/>
      <c r="I219" s="7"/>
      <c r="J219" s="8">
        <f>-E219</f>
        <v>0</v>
      </c>
      <c r="K219" s="8">
        <f t="shared" ref="K219" si="333">J219</f>
        <v>0</v>
      </c>
      <c r="L219" s="8">
        <f t="shared" ref="L219" si="334">K219</f>
        <v>0</v>
      </c>
      <c r="M219" s="8">
        <f t="shared" ref="M219" si="335">L219</f>
        <v>0</v>
      </c>
      <c r="N219" s="8">
        <f t="shared" ref="N219" si="336">M219</f>
        <v>0</v>
      </c>
      <c r="O219" s="8">
        <f>N219*(1+$E$200)</f>
        <v>0</v>
      </c>
      <c r="P219" s="8">
        <f t="shared" ref="P219" si="337">O219</f>
        <v>0</v>
      </c>
      <c r="Q219" s="8">
        <f t="shared" ref="Q219" si="338">P219</f>
        <v>0</v>
      </c>
      <c r="R219" s="8">
        <f t="shared" ref="R219" si="339">Q219</f>
        <v>0</v>
      </c>
      <c r="S219" s="8">
        <f t="shared" ref="S219" si="340">R219</f>
        <v>0</v>
      </c>
      <c r="T219" s="8">
        <f t="shared" ref="T219" si="341">S219</f>
        <v>0</v>
      </c>
      <c r="U219" s="8">
        <f t="shared" ref="U219" si="342">T219</f>
        <v>0</v>
      </c>
      <c r="V219" s="8">
        <f t="shared" ref="V219" si="343">U219</f>
        <v>0</v>
      </c>
      <c r="W219" s="8">
        <f t="shared" ref="W219" si="344">V219</f>
        <v>0</v>
      </c>
      <c r="X219" s="8">
        <f t="shared" ref="X219" si="345">W219</f>
        <v>0</v>
      </c>
      <c r="Y219" s="8">
        <f t="shared" ref="Y219" si="346">X219</f>
        <v>0</v>
      </c>
      <c r="Z219" s="8">
        <f t="shared" ref="Z219" si="347">Y219</f>
        <v>0</v>
      </c>
      <c r="AA219" s="8">
        <f>Z219*(1+$E$200)</f>
        <v>0</v>
      </c>
      <c r="AB219" s="8">
        <f t="shared" ref="AB219" si="348">AA219</f>
        <v>0</v>
      </c>
      <c r="AC219" s="8">
        <f t="shared" ref="AC219" si="349">AB219</f>
        <v>0</v>
      </c>
      <c r="AD219" s="8">
        <f t="shared" ref="AD219" si="350">AC219</f>
        <v>0</v>
      </c>
      <c r="AE219" s="8">
        <f t="shared" ref="AE219" si="351">AD219</f>
        <v>0</v>
      </c>
      <c r="AF219" s="8">
        <f t="shared" ref="AF219" si="352">AE219</f>
        <v>0</v>
      </c>
      <c r="AG219" s="8">
        <f t="shared" ref="AG219" si="353">AF219</f>
        <v>0</v>
      </c>
      <c r="AH219" s="7"/>
      <c r="AI219" s="8">
        <f t="shared" ref="AI219:AJ219" si="354">SUMIF($J$37:$AG$37,AI$37,$J219:$AG219)</f>
        <v>0</v>
      </c>
      <c r="AJ219" s="8">
        <f t="shared" si="354"/>
        <v>0</v>
      </c>
      <c r="AK219" s="8">
        <f t="shared" ref="AK219:AT219" si="355">AJ219*(1+AK31)</f>
        <v>0</v>
      </c>
      <c r="AL219" s="8">
        <f t="shared" si="355"/>
        <v>0</v>
      </c>
      <c r="AM219" s="8">
        <f t="shared" si="355"/>
        <v>0</v>
      </c>
      <c r="AN219" s="8">
        <f t="shared" si="355"/>
        <v>0</v>
      </c>
      <c r="AO219" s="8">
        <f t="shared" si="355"/>
        <v>0</v>
      </c>
      <c r="AP219" s="8">
        <f t="shared" si="355"/>
        <v>0</v>
      </c>
      <c r="AQ219" s="8">
        <f t="shared" si="355"/>
        <v>0</v>
      </c>
      <c r="AR219" s="8">
        <f t="shared" si="355"/>
        <v>0</v>
      </c>
      <c r="AS219" s="8">
        <f t="shared" si="355"/>
        <v>0</v>
      </c>
      <c r="AT219" s="8">
        <f t="shared" si="355"/>
        <v>0</v>
      </c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</row>
    <row r="220" spans="1:66" ht="14.25" customHeight="1" outlineLevel="1" x14ac:dyDescent="0.3">
      <c r="A220" s="7"/>
      <c r="B220" s="7"/>
      <c r="C220" s="20" t="s">
        <v>680</v>
      </c>
      <c r="D220" s="15" t="s">
        <v>4</v>
      </c>
      <c r="E220" s="7"/>
      <c r="F220" s="7"/>
      <c r="G220" s="7"/>
      <c r="H220" s="7"/>
      <c r="I220" s="7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7"/>
      <c r="AI220" s="8">
        <v>0</v>
      </c>
      <c r="AJ220" s="8">
        <v>0</v>
      </c>
      <c r="AK220" s="8">
        <f t="shared" ref="AK220:AT220" si="356">-AK186*AK147/1000</f>
        <v>0</v>
      </c>
      <c r="AL220" s="8">
        <f t="shared" si="356"/>
        <v>0</v>
      </c>
      <c r="AM220" s="8">
        <f t="shared" si="356"/>
        <v>0</v>
      </c>
      <c r="AN220" s="8">
        <f t="shared" si="356"/>
        <v>0</v>
      </c>
      <c r="AO220" s="8">
        <f t="shared" si="356"/>
        <v>0</v>
      </c>
      <c r="AP220" s="8">
        <f t="shared" si="356"/>
        <v>0</v>
      </c>
      <c r="AQ220" s="8">
        <f t="shared" si="356"/>
        <v>0</v>
      </c>
      <c r="AR220" s="8">
        <f t="shared" si="356"/>
        <v>0</v>
      </c>
      <c r="AS220" s="8">
        <f t="shared" si="356"/>
        <v>0</v>
      </c>
      <c r="AT220" s="8">
        <f t="shared" si="356"/>
        <v>0</v>
      </c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</row>
    <row r="221" spans="1:66" ht="14.2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</row>
    <row r="222" spans="1:66" ht="14.25" customHeight="1" x14ac:dyDescent="0.3">
      <c r="A222" s="7"/>
      <c r="B222" s="5" t="s">
        <v>66</v>
      </c>
      <c r="C222" s="7"/>
      <c r="D222" s="14" t="s">
        <v>4</v>
      </c>
      <c r="E222" s="7"/>
      <c r="F222" s="10"/>
      <c r="G222" s="7"/>
      <c r="H222" s="7"/>
      <c r="I222" s="7"/>
      <c r="J222" s="12">
        <f t="shared" ref="J222:AG222" ca="1" si="357">J188+J204+J216</f>
        <v>52581.668360000003</v>
      </c>
      <c r="K222" s="12">
        <f t="shared" ca="1" si="357"/>
        <v>-3057.9647233333335</v>
      </c>
      <c r="L222" s="12">
        <f t="shared" ca="1" si="357"/>
        <v>-3059.2226210624999</v>
      </c>
      <c r="M222" s="12">
        <f t="shared" ca="1" si="357"/>
        <v>-4453.2450168578125</v>
      </c>
      <c r="N222" s="12">
        <f t="shared" ca="1" si="357"/>
        <v>-4498.1644864500258</v>
      </c>
      <c r="O222" s="12">
        <f t="shared" ca="1" si="357"/>
        <v>-4953.9214857822535</v>
      </c>
      <c r="P222" s="12">
        <f t="shared" ca="1" si="357"/>
        <v>-4790.7383684035422</v>
      </c>
      <c r="Q222" s="12">
        <f t="shared" ca="1" si="357"/>
        <v>-4946.3843031230044</v>
      </c>
      <c r="R222" s="12">
        <f t="shared" ca="1" si="357"/>
        <v>-6868.6507865265503</v>
      </c>
      <c r="S222" s="12">
        <f t="shared" ca="1" si="357"/>
        <v>-3353.7052484499363</v>
      </c>
      <c r="T222" s="12">
        <f t="shared" ca="1" si="357"/>
        <v>-3351.450396123148</v>
      </c>
      <c r="U222" s="12">
        <f t="shared" ca="1" si="357"/>
        <v>-3352.5544147112882</v>
      </c>
      <c r="V222" s="12">
        <f t="shared" ca="1" si="357"/>
        <v>-3351.9811547550098</v>
      </c>
      <c r="W222" s="12">
        <f t="shared" ca="1" si="357"/>
        <v>-3349.7423324973743</v>
      </c>
      <c r="X222" s="12">
        <f t="shared" ca="1" si="357"/>
        <v>31288.663281555164</v>
      </c>
      <c r="Y222" s="12">
        <f t="shared" ca="1" si="357"/>
        <v>-6605.0483905219025</v>
      </c>
      <c r="Z222" s="12">
        <f t="shared" ca="1" si="357"/>
        <v>-6707.9742017070557</v>
      </c>
      <c r="AA222" s="12">
        <f t="shared" ca="1" si="357"/>
        <v>-7223.7086476035893</v>
      </c>
      <c r="AB222" s="12">
        <f t="shared" ca="1" si="357"/>
        <v>-7120.5702583992297</v>
      </c>
      <c r="AC222" s="12">
        <f t="shared" ca="1" si="357"/>
        <v>-7514.7413572838977</v>
      </c>
      <c r="AD222" s="12">
        <f t="shared" ca="1" si="357"/>
        <v>-7450.8322167707402</v>
      </c>
      <c r="AE222" s="12">
        <f t="shared" ca="1" si="357"/>
        <v>-3771.4656051902234</v>
      </c>
      <c r="AF222" s="12">
        <f t="shared" ca="1" si="357"/>
        <v>-3763.9414175387715</v>
      </c>
      <c r="AG222" s="12">
        <f t="shared" ca="1" si="357"/>
        <v>-3766.0104674836043</v>
      </c>
      <c r="AH222" s="7"/>
      <c r="AI222" s="12">
        <f t="shared" ref="AI222:AT222" ca="1" si="358">AI188+AI204+AI216</f>
        <v>37513.07151229633</v>
      </c>
      <c r="AJ222" s="12">
        <f t="shared" ca="1" si="358"/>
        <v>-20343.487801045907</v>
      </c>
      <c r="AK222" s="12">
        <f t="shared" ca="1" si="358"/>
        <v>36201.263501399881</v>
      </c>
      <c r="AL222" s="12">
        <f t="shared" ca="1" si="358"/>
        <v>58756.155893137278</v>
      </c>
      <c r="AM222" s="12">
        <f t="shared" ca="1" si="358"/>
        <v>95728.955966871217</v>
      </c>
      <c r="AN222" s="12">
        <f t="shared" ca="1" si="358"/>
        <v>207479.74864863144</v>
      </c>
      <c r="AO222" s="12">
        <f t="shared" ca="1" si="358"/>
        <v>229924.20649981906</v>
      </c>
      <c r="AP222" s="12">
        <f t="shared" ca="1" si="358"/>
        <v>245650.57390850678</v>
      </c>
      <c r="AQ222" s="12">
        <f t="shared" ca="1" si="358"/>
        <v>261232.70583917692</v>
      </c>
      <c r="AR222" s="12">
        <f t="shared" ca="1" si="358"/>
        <v>276514.16523671406</v>
      </c>
      <c r="AS222" s="12">
        <f t="shared" ca="1" si="358"/>
        <v>289984.34546158096</v>
      </c>
      <c r="AT222" s="12">
        <f t="shared" ca="1" si="358"/>
        <v>304104.33282856003</v>
      </c>
      <c r="AU222" s="55">
        <f ca="1">AS222/20</f>
        <v>14499.217273079048</v>
      </c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</row>
    <row r="223" spans="1:66" ht="14.2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0">
        <f ca="1">AI222/AI188</f>
        <v>0.67421048728066735</v>
      </c>
      <c r="AJ223" s="100"/>
      <c r="AK223" s="100">
        <f t="shared" ref="AK223:AT223" ca="1" si="359">AK222/AK188</f>
        <v>0.33854850227759609</v>
      </c>
      <c r="AL223" s="100">
        <f t="shared" ca="1" si="359"/>
        <v>0.43488151718519308</v>
      </c>
      <c r="AM223" s="100">
        <f t="shared" ca="1" si="359"/>
        <v>0.51462941726450639</v>
      </c>
      <c r="AN223" s="100">
        <f t="shared" ca="1" si="359"/>
        <v>0.68094192926289099</v>
      </c>
      <c r="AO223" s="100">
        <f t="shared" ca="1" si="359"/>
        <v>0.68670590468543924</v>
      </c>
      <c r="AP223" s="100">
        <f t="shared" ca="1" si="359"/>
        <v>0.68663459414926287</v>
      </c>
      <c r="AQ223" s="100">
        <f t="shared" ca="1" si="359"/>
        <v>0.68656438277627707</v>
      </c>
      <c r="AR223" s="100">
        <f t="shared" ca="1" si="359"/>
        <v>0.68649670014828046</v>
      </c>
      <c r="AS223" s="100">
        <f t="shared" ca="1" si="359"/>
        <v>0.68643816898507548</v>
      </c>
      <c r="AT223" s="100">
        <f t="shared" ca="1" si="359"/>
        <v>0.68637857187282403</v>
      </c>
      <c r="AU223" s="10"/>
      <c r="AV223" s="10"/>
      <c r="AW223" s="10"/>
      <c r="AX223" s="10"/>
      <c r="AY223" s="10"/>
      <c r="AZ223" s="10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</row>
    <row r="224" spans="1:66" ht="13.5" customHeight="1" x14ac:dyDescent="0.3">
      <c r="A224" s="7"/>
      <c r="B224" s="7"/>
      <c r="C224" s="7" t="s">
        <v>231</v>
      </c>
      <c r="D224" s="15" t="s">
        <v>4</v>
      </c>
      <c r="E224" s="10"/>
      <c r="F224" s="10"/>
      <c r="G224" s="7"/>
      <c r="H224" s="7"/>
      <c r="I224" s="7"/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7"/>
      <c r="AI224" s="8">
        <f t="shared" ref="AI224:AJ224" si="360">SUMIF($J$37:$AG$37,AI$37,$J224:$AG224)</f>
        <v>0</v>
      </c>
      <c r="AJ224" s="8">
        <f t="shared" si="360"/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</row>
    <row r="225" spans="1:66" ht="13.5" customHeight="1" x14ac:dyDescent="0.3">
      <c r="A225" s="7"/>
      <c r="B225" s="7"/>
      <c r="C225" s="7" t="s">
        <v>232</v>
      </c>
      <c r="D225" s="15" t="s">
        <v>4</v>
      </c>
      <c r="E225" s="10"/>
      <c r="F225" s="10"/>
      <c r="G225" s="7"/>
      <c r="H225" s="7"/>
      <c r="I225" s="7"/>
      <c r="J225" s="8">
        <f>-E225</f>
        <v>0</v>
      </c>
      <c r="K225" s="8">
        <f t="shared" ref="K225:N225" si="361">J225</f>
        <v>0</v>
      </c>
      <c r="L225" s="8">
        <f t="shared" si="361"/>
        <v>0</v>
      </c>
      <c r="M225" s="8">
        <f t="shared" si="361"/>
        <v>0</v>
      </c>
      <c r="N225" s="8">
        <f t="shared" si="361"/>
        <v>0</v>
      </c>
      <c r="O225" s="8">
        <f>J225*(1+$E$200)</f>
        <v>0</v>
      </c>
      <c r="P225" s="8">
        <f t="shared" ref="P225:Z225" si="362">O225</f>
        <v>0</v>
      </c>
      <c r="Q225" s="8">
        <f t="shared" si="362"/>
        <v>0</v>
      </c>
      <c r="R225" s="8">
        <f t="shared" si="362"/>
        <v>0</v>
      </c>
      <c r="S225" s="8">
        <f t="shared" si="362"/>
        <v>0</v>
      </c>
      <c r="T225" s="8">
        <f t="shared" si="362"/>
        <v>0</v>
      </c>
      <c r="U225" s="8">
        <f t="shared" si="362"/>
        <v>0</v>
      </c>
      <c r="V225" s="8">
        <f t="shared" si="362"/>
        <v>0</v>
      </c>
      <c r="W225" s="8">
        <f t="shared" si="362"/>
        <v>0</v>
      </c>
      <c r="X225" s="8">
        <f t="shared" si="362"/>
        <v>0</v>
      </c>
      <c r="Y225" s="8">
        <f t="shared" si="362"/>
        <v>0</v>
      </c>
      <c r="Z225" s="8">
        <f t="shared" si="362"/>
        <v>0</v>
      </c>
      <c r="AA225" s="8">
        <f>O225*(1+$E$200)</f>
        <v>0</v>
      </c>
      <c r="AB225" s="8">
        <f t="shared" ref="AB225:AG225" si="363">AA225</f>
        <v>0</v>
      </c>
      <c r="AC225" s="8">
        <f t="shared" si="363"/>
        <v>0</v>
      </c>
      <c r="AD225" s="8">
        <f t="shared" si="363"/>
        <v>0</v>
      </c>
      <c r="AE225" s="8">
        <f t="shared" si="363"/>
        <v>0</v>
      </c>
      <c r="AF225" s="8">
        <f t="shared" si="363"/>
        <v>0</v>
      </c>
      <c r="AG225" s="8">
        <f t="shared" si="363"/>
        <v>0</v>
      </c>
      <c r="AH225" s="7"/>
      <c r="AI225" s="8">
        <f t="shared" ref="AI225:AJ225" si="364">SUMIF($J$37:$AG$37,AI$37,$J225:$AG225)</f>
        <v>0</v>
      </c>
      <c r="AJ225" s="8">
        <f t="shared" si="364"/>
        <v>0</v>
      </c>
      <c r="AK225" s="21">
        <f t="shared" ref="AK225:AT225" si="365">AJ225*(1+AK$31)</f>
        <v>0</v>
      </c>
      <c r="AL225" s="21">
        <f t="shared" si="365"/>
        <v>0</v>
      </c>
      <c r="AM225" s="21">
        <f t="shared" si="365"/>
        <v>0</v>
      </c>
      <c r="AN225" s="21">
        <f t="shared" si="365"/>
        <v>0</v>
      </c>
      <c r="AO225" s="21">
        <f t="shared" si="365"/>
        <v>0</v>
      </c>
      <c r="AP225" s="21">
        <f t="shared" si="365"/>
        <v>0</v>
      </c>
      <c r="AQ225" s="21">
        <f t="shared" si="365"/>
        <v>0</v>
      </c>
      <c r="AR225" s="21">
        <f t="shared" si="365"/>
        <v>0</v>
      </c>
      <c r="AS225" s="21">
        <f t="shared" si="365"/>
        <v>0</v>
      </c>
      <c r="AT225" s="21">
        <f t="shared" si="365"/>
        <v>0</v>
      </c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</row>
    <row r="226" spans="1:66" ht="14.25" customHeight="1" x14ac:dyDescent="0.3">
      <c r="A226" s="7"/>
      <c r="B226" s="7"/>
      <c r="C226" s="15" t="s">
        <v>233</v>
      </c>
      <c r="D226" s="15" t="s">
        <v>4</v>
      </c>
      <c r="E226" s="91">
        <v>0.01</v>
      </c>
      <c r="F226" s="10" t="s">
        <v>229</v>
      </c>
      <c r="G226" s="7"/>
      <c r="H226" s="7"/>
      <c r="I226" s="7"/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7"/>
      <c r="AI226" s="8">
        <f t="shared" ref="AI226:AJ226" si="366">SUMIF($J$37:$AG$37,AI$37,$J226:$AG226)</f>
        <v>0</v>
      </c>
      <c r="AJ226" s="8">
        <f t="shared" si="366"/>
        <v>0</v>
      </c>
      <c r="AK226" s="8">
        <f t="shared" ref="AK226:AT227" ca="1" si="367">-$E226*AK$188</f>
        <v>-1069.3080388143708</v>
      </c>
      <c r="AL226" s="8">
        <f t="shared" ca="1" si="367"/>
        <v>-1351.0842280316119</v>
      </c>
      <c r="AM226" s="8">
        <f t="shared" ca="1" si="367"/>
        <v>-1860.1532045275401</v>
      </c>
      <c r="AN226" s="8">
        <f t="shared" ca="1" si="367"/>
        <v>-3046.9521662915522</v>
      </c>
      <c r="AO226" s="8">
        <f t="shared" ca="1" si="367"/>
        <v>-3348.2194478164697</v>
      </c>
      <c r="AP226" s="8">
        <f t="shared" ca="1" si="367"/>
        <v>-3577.6026434098726</v>
      </c>
      <c r="AQ226" s="8">
        <f t="shared" ca="1" si="367"/>
        <v>-3804.9265646846388</v>
      </c>
      <c r="AR226" s="8">
        <f t="shared" ca="1" si="367"/>
        <v>-4027.9023217007179</v>
      </c>
      <c r="AS226" s="8">
        <f t="shared" ca="1" si="367"/>
        <v>-4224.478744973253</v>
      </c>
      <c r="AT226" s="8">
        <f t="shared" ca="1" si="367"/>
        <v>-4430.5627432219162</v>
      </c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</row>
    <row r="227" spans="1:66" ht="14.25" customHeight="1" x14ac:dyDescent="0.3">
      <c r="A227" s="7"/>
      <c r="B227" s="7"/>
      <c r="C227" s="15" t="s">
        <v>234</v>
      </c>
      <c r="D227" s="15" t="s">
        <v>4</v>
      </c>
      <c r="E227" s="91">
        <v>0.01</v>
      </c>
      <c r="F227" s="10" t="s">
        <v>229</v>
      </c>
      <c r="G227" s="7"/>
      <c r="H227" s="7"/>
      <c r="I227" s="7"/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7"/>
      <c r="AI227" s="8">
        <f t="shared" ref="AI227:AJ227" si="368">SUMIF($J$37:$AG$37,AI$37,$J227:$AG227)</f>
        <v>0</v>
      </c>
      <c r="AJ227" s="8">
        <f t="shared" si="368"/>
        <v>0</v>
      </c>
      <c r="AK227" s="8">
        <f t="shared" ca="1" si="367"/>
        <v>-1069.3080388143708</v>
      </c>
      <c r="AL227" s="8">
        <f t="shared" ca="1" si="367"/>
        <v>-1351.0842280316119</v>
      </c>
      <c r="AM227" s="8">
        <f t="shared" ca="1" si="367"/>
        <v>-1860.1532045275401</v>
      </c>
      <c r="AN227" s="8">
        <f t="shared" ca="1" si="367"/>
        <v>-3046.9521662915522</v>
      </c>
      <c r="AO227" s="8">
        <f t="shared" ca="1" si="367"/>
        <v>-3348.2194478164697</v>
      </c>
      <c r="AP227" s="8">
        <f t="shared" ca="1" si="367"/>
        <v>-3577.6026434098726</v>
      </c>
      <c r="AQ227" s="8">
        <f t="shared" ca="1" si="367"/>
        <v>-3804.9265646846388</v>
      </c>
      <c r="AR227" s="8">
        <f t="shared" ca="1" si="367"/>
        <v>-4027.9023217007179</v>
      </c>
      <c r="AS227" s="8">
        <f t="shared" ca="1" si="367"/>
        <v>-4224.478744973253</v>
      </c>
      <c r="AT227" s="8">
        <f t="shared" ca="1" si="367"/>
        <v>-4430.5627432219162</v>
      </c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</row>
    <row r="228" spans="1:66" ht="14.25" customHeight="1" x14ac:dyDescent="0.3">
      <c r="A228" s="7"/>
      <c r="B228" s="7"/>
      <c r="C228" s="15" t="s">
        <v>235</v>
      </c>
      <c r="D228" s="15" t="s">
        <v>4</v>
      </c>
      <c r="E228" s="432">
        <v>12.05</v>
      </c>
      <c r="F228" s="10" t="s">
        <v>723</v>
      </c>
      <c r="G228" s="7"/>
      <c r="H228" s="7"/>
      <c r="I228" s="7"/>
      <c r="J228" s="8">
        <f>-$E$228*Input!$F$8/1000/12</f>
        <v>-3.0124999999999997</v>
      </c>
      <c r="K228" s="8">
        <f>-$E$228*Input!$F$8/1000/12</f>
        <v>-3.0124999999999997</v>
      </c>
      <c r="L228" s="8">
        <f>-$E$228*Input!$F$8/1000/12</f>
        <v>-3.0124999999999997</v>
      </c>
      <c r="M228" s="8">
        <f>-$E$228*Input!$F$8/1000/12</f>
        <v>-3.0124999999999997</v>
      </c>
      <c r="N228" s="8">
        <f>-$E$228*Input!$F$8/1000/12</f>
        <v>-3.0124999999999997</v>
      </c>
      <c r="O228" s="8">
        <f>-$E$228*Input!$F$8/1000/12</f>
        <v>-3.0124999999999997</v>
      </c>
      <c r="P228" s="8">
        <f>-$E$228*Input!$F$8/1000/12</f>
        <v>-3.0124999999999997</v>
      </c>
      <c r="Q228" s="8">
        <f>-$E$228*Input!$F$8/1000/12</f>
        <v>-3.0124999999999997</v>
      </c>
      <c r="R228" s="8">
        <f>-$E$228*Input!$F$8/1000/12</f>
        <v>-3.0124999999999997</v>
      </c>
      <c r="S228" s="8">
        <f>-$E$228*Input!$F$8/1000/12</f>
        <v>-3.0124999999999997</v>
      </c>
      <c r="T228" s="8">
        <f>-$E$228*Input!$F$8/1000/12</f>
        <v>-3.0124999999999997</v>
      </c>
      <c r="U228" s="8">
        <f>-$E$228*Input!$F$8/1000/12</f>
        <v>-3.0124999999999997</v>
      </c>
      <c r="V228" s="8">
        <f>-$E$228*Input!$F$8/1000/12</f>
        <v>-3.0124999999999997</v>
      </c>
      <c r="W228" s="8">
        <f>-$E$228*Input!$F$8/1000/12</f>
        <v>-3.0124999999999997</v>
      </c>
      <c r="X228" s="8">
        <f>-$E$228*Input!$F$8/1000/12</f>
        <v>-3.0124999999999997</v>
      </c>
      <c r="Y228" s="8">
        <f>-$E$228*Input!$F$8/1000/12</f>
        <v>-3.0124999999999997</v>
      </c>
      <c r="Z228" s="8">
        <f>-$E$228*Input!$F$8/1000/12</f>
        <v>-3.0124999999999997</v>
      </c>
      <c r="AA228" s="8">
        <f>-$E$228*Input!$F$8/1000/12</f>
        <v>-3.0124999999999997</v>
      </c>
      <c r="AB228" s="8">
        <f>-$E$228*Input!$F$8/1000/12</f>
        <v>-3.0124999999999997</v>
      </c>
      <c r="AC228" s="8">
        <f>-$E$228*Input!$F$8/1000/12</f>
        <v>-3.0124999999999997</v>
      </c>
      <c r="AD228" s="8">
        <f>-$E$228*Input!$F$8/1000/12</f>
        <v>-3.0124999999999997</v>
      </c>
      <c r="AE228" s="8">
        <f>-$E$228*Input!$F$8/1000/12</f>
        <v>-3.0124999999999997</v>
      </c>
      <c r="AF228" s="8">
        <f>-$E$228*Input!$F$8/1000/12</f>
        <v>-3.0124999999999997</v>
      </c>
      <c r="AG228" s="8">
        <f>-$E$228*Input!$F$8/1000/12</f>
        <v>-3.0124999999999997</v>
      </c>
      <c r="AH228" s="7" t="s">
        <v>729</v>
      </c>
      <c r="AI228" s="8">
        <f t="shared" ref="AI228:AJ228" si="369">SUMIF($J$37:$AG$37,AI$37,$J228:$AG228)</f>
        <v>-15.062499999999998</v>
      </c>
      <c r="AJ228" s="8">
        <f t="shared" si="369"/>
        <v>-36.15</v>
      </c>
      <c r="AK228" s="8">
        <f>-$E$228*Input!$F$8/1000</f>
        <v>-36.15</v>
      </c>
      <c r="AL228" s="21">
        <f t="shared" ref="AL228:AT228" si="370">AK228*(1+AL31)</f>
        <v>-39.584249999999997</v>
      </c>
      <c r="AM228" s="21">
        <f t="shared" si="370"/>
        <v>-43.146832500000002</v>
      </c>
      <c r="AN228" s="21">
        <f t="shared" si="370"/>
        <v>-46.814313262500001</v>
      </c>
      <c r="AO228" s="21">
        <f t="shared" si="370"/>
        <v>-50.559458323500003</v>
      </c>
      <c r="AP228" s="21">
        <f t="shared" si="370"/>
        <v>-54.09862040614501</v>
      </c>
      <c r="AQ228" s="21">
        <f t="shared" si="370"/>
        <v>-57.615030732544433</v>
      </c>
      <c r="AR228" s="21">
        <f t="shared" si="370"/>
        <v>-61.071932576497105</v>
      </c>
      <c r="AS228" s="21">
        <f t="shared" si="370"/>
        <v>-64.125529205321968</v>
      </c>
      <c r="AT228" s="21">
        <f t="shared" si="370"/>
        <v>-67.331805665588064</v>
      </c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</row>
    <row r="229" spans="1:66" ht="14.25" customHeight="1" x14ac:dyDescent="0.3">
      <c r="A229" s="7"/>
      <c r="B229" s="7"/>
      <c r="C229" s="15" t="s">
        <v>236</v>
      </c>
      <c r="D229" s="15" t="s">
        <v>4</v>
      </c>
      <c r="E229" s="120"/>
      <c r="F229" s="7"/>
      <c r="G229" s="7"/>
      <c r="H229" s="7"/>
      <c r="I229" s="7"/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7"/>
      <c r="AI229" s="8">
        <f>IF(Input!$F$11=1,0,AI120)</f>
        <v>0</v>
      </c>
      <c r="AJ229" s="8">
        <f>IF(Input!$F$11=1,0,AJ120)</f>
        <v>0</v>
      </c>
      <c r="AK229" s="8">
        <f>IF(Input!$F$11=1,0,AK120)</f>
        <v>0</v>
      </c>
      <c r="AL229" s="8">
        <f>IF(Input!$F$11=1,0,AL120)</f>
        <v>0</v>
      </c>
      <c r="AM229" s="8">
        <f>IF(Input!$F$11=1,0,AM120)</f>
        <v>0</v>
      </c>
      <c r="AN229" s="8">
        <f>IF(Input!$F$11=1,0,AN120)</f>
        <v>0</v>
      </c>
      <c r="AO229" s="8">
        <f>IF(Input!$F$11=1,0,AO120)</f>
        <v>0</v>
      </c>
      <c r="AP229" s="8">
        <f>IF(Input!$F$11=1,0,AP120)</f>
        <v>0</v>
      </c>
      <c r="AQ229" s="8">
        <f>IF(Input!$F$11=1,0,AQ120)</f>
        <v>0</v>
      </c>
      <c r="AR229" s="8">
        <f>IF(Input!$F$11=1,0,AR120)</f>
        <v>0</v>
      </c>
      <c r="AS229" s="8">
        <f>IF(Input!$F$11=1,0,AS120)</f>
        <v>0</v>
      </c>
      <c r="AT229" s="8">
        <f>IF(Input!$F$11=1,0,AT120)</f>
        <v>0</v>
      </c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</row>
    <row r="230" spans="1:66" ht="14.25" customHeight="1" x14ac:dyDescent="0.3">
      <c r="A230" s="7"/>
      <c r="B230" s="7"/>
      <c r="C230" s="15" t="s">
        <v>237</v>
      </c>
      <c r="D230" s="15" t="s">
        <v>4</v>
      </c>
      <c r="E230" s="90">
        <v>1.4999999999999999E-2</v>
      </c>
      <c r="F230" s="7" t="s">
        <v>238</v>
      </c>
      <c r="G230" s="7"/>
      <c r="H230" s="7"/>
      <c r="I230" s="7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7"/>
      <c r="AI230" s="8">
        <f t="shared" ref="AI230:AT230" si="371">-$E$230*AI257</f>
        <v>-4388.4193251187498</v>
      </c>
      <c r="AJ230" s="8">
        <f t="shared" si="371"/>
        <v>-4031.8804659637494</v>
      </c>
      <c r="AK230" s="8">
        <f t="shared" si="371"/>
        <v>-3675.3416068087495</v>
      </c>
      <c r="AL230" s="8">
        <f t="shared" si="371"/>
        <v>-3318.8027476537495</v>
      </c>
      <c r="AM230" s="8">
        <f t="shared" si="371"/>
        <v>-2962.2638884987496</v>
      </c>
      <c r="AN230" s="8">
        <f t="shared" si="371"/>
        <v>-2677.7750293437493</v>
      </c>
      <c r="AO230" s="8">
        <f t="shared" si="371"/>
        <v>-2494.1561701887495</v>
      </c>
      <c r="AP230" s="8">
        <f t="shared" si="371"/>
        <v>-2310.5373110337496</v>
      </c>
      <c r="AQ230" s="8">
        <f t="shared" si="371"/>
        <v>-2126.9184518787497</v>
      </c>
      <c r="AR230" s="8">
        <f t="shared" si="371"/>
        <v>-1943.2995927237498</v>
      </c>
      <c r="AS230" s="8">
        <f t="shared" si="371"/>
        <v>-1759.6807335687497</v>
      </c>
      <c r="AT230" s="8">
        <f t="shared" si="371"/>
        <v>-1576.0618744137498</v>
      </c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</row>
    <row r="231" spans="1:66" ht="14.25" customHeight="1" x14ac:dyDescent="0.3">
      <c r="A231" s="7"/>
      <c r="B231" s="5" t="s">
        <v>67</v>
      </c>
      <c r="C231" s="7"/>
      <c r="D231" s="14" t="s">
        <v>4</v>
      </c>
      <c r="E231" s="7"/>
      <c r="F231" s="10"/>
      <c r="G231" s="7"/>
      <c r="H231" s="7"/>
      <c r="I231" s="7"/>
      <c r="J231" s="12">
        <f t="shared" ref="J231:AG231" ca="1" si="372">J222+SUM(J224:J228)</f>
        <v>52578.655860000006</v>
      </c>
      <c r="K231" s="12">
        <f t="shared" ca="1" si="372"/>
        <v>-3060.9772233333333</v>
      </c>
      <c r="L231" s="12">
        <f t="shared" ca="1" si="372"/>
        <v>-3062.2351210624997</v>
      </c>
      <c r="M231" s="12">
        <f t="shared" ca="1" si="372"/>
        <v>-4456.2575168578123</v>
      </c>
      <c r="N231" s="12">
        <f t="shared" ca="1" si="372"/>
        <v>-4501.1769864500257</v>
      </c>
      <c r="O231" s="12">
        <f t="shared" ca="1" si="372"/>
        <v>-4956.9339857822533</v>
      </c>
      <c r="P231" s="12">
        <f t="shared" ca="1" si="372"/>
        <v>-4793.750868403542</v>
      </c>
      <c r="Q231" s="12">
        <f t="shared" ca="1" si="372"/>
        <v>-4949.3968031230042</v>
      </c>
      <c r="R231" s="12">
        <f t="shared" ca="1" si="372"/>
        <v>-6871.6632865265501</v>
      </c>
      <c r="S231" s="12">
        <f t="shared" ca="1" si="372"/>
        <v>-3356.7177484499362</v>
      </c>
      <c r="T231" s="12">
        <f t="shared" ca="1" si="372"/>
        <v>-3354.4628961231479</v>
      </c>
      <c r="U231" s="12">
        <f t="shared" ca="1" si="372"/>
        <v>-3355.5669147112881</v>
      </c>
      <c r="V231" s="12">
        <f t="shared" ca="1" si="372"/>
        <v>-3354.9936547550096</v>
      </c>
      <c r="W231" s="12">
        <f t="shared" ca="1" si="372"/>
        <v>-3352.7548324973741</v>
      </c>
      <c r="X231" s="12">
        <f t="shared" ca="1" si="372"/>
        <v>31285.650781555163</v>
      </c>
      <c r="Y231" s="12">
        <f t="shared" ca="1" si="372"/>
        <v>-6608.0608905219024</v>
      </c>
      <c r="Z231" s="12">
        <f t="shared" ca="1" si="372"/>
        <v>-6710.9867017070555</v>
      </c>
      <c r="AA231" s="12">
        <f t="shared" ca="1" si="372"/>
        <v>-7226.7211476035891</v>
      </c>
      <c r="AB231" s="12">
        <f t="shared" ca="1" si="372"/>
        <v>-7123.5827583992295</v>
      </c>
      <c r="AC231" s="12">
        <f t="shared" ca="1" si="372"/>
        <v>-7517.7538572838976</v>
      </c>
      <c r="AD231" s="12">
        <f t="shared" ca="1" si="372"/>
        <v>-7453.84471677074</v>
      </c>
      <c r="AE231" s="12">
        <f t="shared" ca="1" si="372"/>
        <v>-3774.4781051902232</v>
      </c>
      <c r="AF231" s="12">
        <f t="shared" ca="1" si="372"/>
        <v>-3766.9539175387713</v>
      </c>
      <c r="AG231" s="12">
        <f t="shared" ca="1" si="372"/>
        <v>-3769.0229674836041</v>
      </c>
      <c r="AH231" s="7"/>
      <c r="AI231" s="12">
        <f t="shared" ref="AI231:AS231" ca="1" si="373">AI222+SUM(AI224:AI230)</f>
        <v>33109.589687177577</v>
      </c>
      <c r="AJ231" s="12">
        <f ca="1">AJ222+SUM(AJ224:AJ230)</f>
        <v>-24411.518267009655</v>
      </c>
      <c r="AK231" s="12">
        <f t="shared" ca="1" si="373"/>
        <v>30351.15581696239</v>
      </c>
      <c r="AL231" s="12">
        <f t="shared" ca="1" si="373"/>
        <v>52695.600439420305</v>
      </c>
      <c r="AM231" s="12">
        <f t="shared" ca="1" si="373"/>
        <v>89003.238836817385</v>
      </c>
      <c r="AN231" s="12">
        <f t="shared" ca="1" si="373"/>
        <v>198661.25497344209</v>
      </c>
      <c r="AO231" s="12">
        <f t="shared" ca="1" si="373"/>
        <v>220683.05197567388</v>
      </c>
      <c r="AP231" s="12">
        <f t="shared" ca="1" si="373"/>
        <v>236130.73269024712</v>
      </c>
      <c r="AQ231" s="12">
        <f t="shared" ca="1" si="373"/>
        <v>251438.31922719636</v>
      </c>
      <c r="AR231" s="12">
        <f t="shared" ca="1" si="373"/>
        <v>266453.98906801239</v>
      </c>
      <c r="AS231" s="12">
        <f t="shared" ca="1" si="373"/>
        <v>279711.58170886041</v>
      </c>
      <c r="AT231" s="12">
        <f t="shared" ref="AT231" ca="1" si="374">AT222+SUM(AT224:AT230)</f>
        <v>293599.81366203685</v>
      </c>
      <c r="AU231" s="55">
        <f ca="1">AS231/20</f>
        <v>13985.57908544302</v>
      </c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</row>
    <row r="232" spans="1:66" ht="14.25" customHeight="1" x14ac:dyDescent="0.3">
      <c r="A232" s="7"/>
      <c r="B232" s="7"/>
      <c r="C232" s="15" t="s">
        <v>239</v>
      </c>
      <c r="D232" s="15" t="s">
        <v>4</v>
      </c>
      <c r="E232" s="120"/>
      <c r="F232" s="7"/>
      <c r="G232" s="7"/>
      <c r="H232" s="7"/>
      <c r="I232" s="7"/>
      <c r="J232" s="118">
        <f t="shared" ref="J232:AG232" si="375">-J471</f>
        <v>-960.66666666666663</v>
      </c>
      <c r="K232" s="118">
        <f t="shared" si="375"/>
        <v>-960.66666666666663</v>
      </c>
      <c r="L232" s="118">
        <f t="shared" si="375"/>
        <v>-960.66666666666663</v>
      </c>
      <c r="M232" s="118">
        <f t="shared" si="375"/>
        <v>-960.66666666666663</v>
      </c>
      <c r="N232" s="118">
        <f t="shared" si="375"/>
        <v>-960.66666666666663</v>
      </c>
      <c r="O232" s="118">
        <f t="shared" si="375"/>
        <v>-960.66666666666663</v>
      </c>
      <c r="P232" s="118">
        <f t="shared" si="375"/>
        <v>-960.66666666666663</v>
      </c>
      <c r="Q232" s="118">
        <f t="shared" si="375"/>
        <v>-960.66666666666663</v>
      </c>
      <c r="R232" s="118">
        <f t="shared" si="375"/>
        <v>-960.66666666666663</v>
      </c>
      <c r="S232" s="118">
        <f t="shared" si="375"/>
        <v>-960.66666666666663</v>
      </c>
      <c r="T232" s="118">
        <f t="shared" si="375"/>
        <v>-960.66666666666663</v>
      </c>
      <c r="U232" s="118">
        <f t="shared" si="375"/>
        <v>-960.66666666666663</v>
      </c>
      <c r="V232" s="118">
        <f t="shared" si="375"/>
        <v>-960.66666666666663</v>
      </c>
      <c r="W232" s="118">
        <f t="shared" si="375"/>
        <v>-960.66666666666663</v>
      </c>
      <c r="X232" s="118">
        <f t="shared" si="375"/>
        <v>-960.66666666666663</v>
      </c>
      <c r="Y232" s="118">
        <f t="shared" si="375"/>
        <v>-960.66666666666663</v>
      </c>
      <c r="Z232" s="118">
        <f t="shared" si="375"/>
        <v>-960.66666666666663</v>
      </c>
      <c r="AA232" s="118">
        <f t="shared" si="375"/>
        <v>-960.66666666666663</v>
      </c>
      <c r="AB232" s="118">
        <f t="shared" si="375"/>
        <v>-960.66666666666663</v>
      </c>
      <c r="AC232" s="118">
        <f t="shared" si="375"/>
        <v>-960.66666666666663</v>
      </c>
      <c r="AD232" s="118">
        <f t="shared" si="375"/>
        <v>-960.66666666666663</v>
      </c>
      <c r="AE232" s="118">
        <f t="shared" si="375"/>
        <v>-960.66666666666663</v>
      </c>
      <c r="AF232" s="118">
        <f t="shared" si="375"/>
        <v>-960.66666666666663</v>
      </c>
      <c r="AG232" s="118">
        <f t="shared" si="375"/>
        <v>-960.66666666666663</v>
      </c>
      <c r="AH232" s="7"/>
      <c r="AI232" s="8">
        <f t="shared" ref="AI232:AJ232" si="376">SUMIF($J$37:$AG$37,AI$37,$J232:$AG232)</f>
        <v>-4803.333333333333</v>
      </c>
      <c r="AJ232" s="8">
        <f t="shared" si="376"/>
        <v>-11527.999999999998</v>
      </c>
      <c r="AK232" s="118">
        <f t="shared" ref="AK232:AS232" si="377">-AK471</f>
        <v>-11528</v>
      </c>
      <c r="AL232" s="118">
        <f t="shared" si="377"/>
        <v>-11528</v>
      </c>
      <c r="AM232" s="118">
        <f t="shared" si="377"/>
        <v>-11528</v>
      </c>
      <c r="AN232" s="118">
        <f t="shared" si="377"/>
        <v>-6724.6666666666715</v>
      </c>
      <c r="AO232" s="118">
        <f t="shared" si="377"/>
        <v>0</v>
      </c>
      <c r="AP232" s="118">
        <f t="shared" si="377"/>
        <v>0</v>
      </c>
      <c r="AQ232" s="118">
        <f t="shared" si="377"/>
        <v>0</v>
      </c>
      <c r="AR232" s="118">
        <f t="shared" si="377"/>
        <v>0</v>
      </c>
      <c r="AS232" s="118">
        <f t="shared" si="377"/>
        <v>0</v>
      </c>
      <c r="AT232" s="118">
        <f t="shared" ref="AT232" si="378">-AT471</f>
        <v>0</v>
      </c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</row>
    <row r="233" spans="1:66" ht="14.25" customHeight="1" x14ac:dyDescent="0.3">
      <c r="A233" s="7"/>
      <c r="B233" s="7"/>
      <c r="C233" s="15" t="s">
        <v>240</v>
      </c>
      <c r="D233" s="15" t="s">
        <v>4</v>
      </c>
      <c r="E233" s="120"/>
      <c r="F233" s="7"/>
      <c r="G233" s="7"/>
      <c r="H233" s="7"/>
      <c r="I233" s="7"/>
      <c r="J233" s="8">
        <f t="shared" ref="J233:AG233" si="379">-J457</f>
        <v>-1020.1047730833334</v>
      </c>
      <c r="K233" s="8">
        <f t="shared" si="379"/>
        <v>-1020.1047730833334</v>
      </c>
      <c r="L233" s="8">
        <f t="shared" si="379"/>
        <v>-1020.1047730833334</v>
      </c>
      <c r="M233" s="8">
        <f t="shared" si="379"/>
        <v>-1020.1047730833334</v>
      </c>
      <c r="N233" s="8">
        <f t="shared" si="379"/>
        <v>-1020.1047730833334</v>
      </c>
      <c r="O233" s="8">
        <f t="shared" si="379"/>
        <v>-1020.1047730833334</v>
      </c>
      <c r="P233" s="8">
        <f t="shared" si="379"/>
        <v>-1020.1047730833334</v>
      </c>
      <c r="Q233" s="8">
        <f t="shared" si="379"/>
        <v>-1020.1047730833334</v>
      </c>
      <c r="R233" s="8">
        <f t="shared" si="379"/>
        <v>-1020.1047730833334</v>
      </c>
      <c r="S233" s="8">
        <f t="shared" si="379"/>
        <v>-1020.1047730833334</v>
      </c>
      <c r="T233" s="8">
        <f t="shared" si="379"/>
        <v>-1020.1047730833334</v>
      </c>
      <c r="U233" s="8">
        <f t="shared" si="379"/>
        <v>-1020.1047730833334</v>
      </c>
      <c r="V233" s="8">
        <f t="shared" si="379"/>
        <v>-1020.1047730833334</v>
      </c>
      <c r="W233" s="8">
        <f t="shared" si="379"/>
        <v>-1020.1047730833334</v>
      </c>
      <c r="X233" s="8">
        <f t="shared" si="379"/>
        <v>-1020.1047730833334</v>
      </c>
      <c r="Y233" s="8">
        <f t="shared" si="379"/>
        <v>-1020.1047730833334</v>
      </c>
      <c r="Z233" s="8">
        <f t="shared" si="379"/>
        <v>-1020.1047730833334</v>
      </c>
      <c r="AA233" s="8">
        <f t="shared" si="379"/>
        <v>-1020.1047730833334</v>
      </c>
      <c r="AB233" s="8">
        <f t="shared" si="379"/>
        <v>-1020.1047730833334</v>
      </c>
      <c r="AC233" s="8">
        <f t="shared" si="379"/>
        <v>-1020.1047730833334</v>
      </c>
      <c r="AD233" s="8">
        <f t="shared" si="379"/>
        <v>-1020.1047730833334</v>
      </c>
      <c r="AE233" s="8">
        <f t="shared" si="379"/>
        <v>-1020.1047730833334</v>
      </c>
      <c r="AF233" s="8">
        <f t="shared" si="379"/>
        <v>-1020.1047730833334</v>
      </c>
      <c r="AG233" s="8">
        <f t="shared" si="379"/>
        <v>-1020.1047730833334</v>
      </c>
      <c r="AH233" s="7"/>
      <c r="AI233" s="8">
        <f t="shared" ref="AI233:AJ233" si="380">SUMIF($J$37:$AG$37,AI$37,$J233:$AG233)</f>
        <v>-5100.5238654166669</v>
      </c>
      <c r="AJ233" s="8">
        <f t="shared" si="380"/>
        <v>-12241.257277000004</v>
      </c>
      <c r="AK233" s="8">
        <f t="shared" ref="AK233:AS233" si="381">-AK457</f>
        <v>-12241.257277000001</v>
      </c>
      <c r="AL233" s="8">
        <f t="shared" si="381"/>
        <v>-12241.257277000001</v>
      </c>
      <c r="AM233" s="8">
        <f t="shared" si="381"/>
        <v>-12241.257277000001</v>
      </c>
      <c r="AN233" s="8">
        <f t="shared" si="381"/>
        <v>-12241.257277000001</v>
      </c>
      <c r="AO233" s="8">
        <f t="shared" si="381"/>
        <v>-12241.257277000001</v>
      </c>
      <c r="AP233" s="8">
        <f t="shared" si="381"/>
        <v>-12241.257277000001</v>
      </c>
      <c r="AQ233" s="8">
        <f t="shared" si="381"/>
        <v>-12241.257277000001</v>
      </c>
      <c r="AR233" s="8">
        <f t="shared" si="381"/>
        <v>-12241.257277000001</v>
      </c>
      <c r="AS233" s="8">
        <f t="shared" si="381"/>
        <v>-12241.257277000001</v>
      </c>
      <c r="AT233" s="8">
        <f t="shared" ref="AT233" si="382">-AT457</f>
        <v>-12241.257277000001</v>
      </c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</row>
    <row r="234" spans="1:66" ht="14.25" customHeight="1" x14ac:dyDescent="0.3">
      <c r="A234" s="7"/>
      <c r="B234" s="5" t="s">
        <v>241</v>
      </c>
      <c r="C234" s="7"/>
      <c r="D234" s="14" t="s">
        <v>4</v>
      </c>
      <c r="E234" s="7"/>
      <c r="F234" s="7"/>
      <c r="G234" s="7"/>
      <c r="H234" s="7"/>
      <c r="I234" s="7"/>
      <c r="J234" s="12">
        <f t="shared" ref="J234:AG234" ca="1" si="383">J231+SUM(J232:J233)</f>
        <v>50597.884420250004</v>
      </c>
      <c r="K234" s="12">
        <f t="shared" ca="1" si="383"/>
        <v>-5041.7486630833337</v>
      </c>
      <c r="L234" s="12">
        <f t="shared" ca="1" si="383"/>
        <v>-5043.0065608124996</v>
      </c>
      <c r="M234" s="12">
        <f t="shared" ca="1" si="383"/>
        <v>-6437.0289566078118</v>
      </c>
      <c r="N234" s="12">
        <f t="shared" ca="1" si="383"/>
        <v>-6481.948426200026</v>
      </c>
      <c r="O234" s="12">
        <f t="shared" ca="1" si="383"/>
        <v>-6937.7054255322528</v>
      </c>
      <c r="P234" s="12">
        <f t="shared" ca="1" si="383"/>
        <v>-6774.5223081535423</v>
      </c>
      <c r="Q234" s="12">
        <f t="shared" ca="1" si="383"/>
        <v>-6930.1682428730037</v>
      </c>
      <c r="R234" s="12">
        <f t="shared" ca="1" si="383"/>
        <v>-8852.4347262765496</v>
      </c>
      <c r="S234" s="12">
        <f t="shared" ca="1" si="383"/>
        <v>-5337.4891881999356</v>
      </c>
      <c r="T234" s="12">
        <f t="shared" ca="1" si="383"/>
        <v>-5335.2343358731478</v>
      </c>
      <c r="U234" s="12">
        <f t="shared" ca="1" si="383"/>
        <v>-5336.338354461288</v>
      </c>
      <c r="V234" s="12">
        <f t="shared" ca="1" si="383"/>
        <v>-5335.76509450501</v>
      </c>
      <c r="W234" s="12">
        <f t="shared" ca="1" si="383"/>
        <v>-5333.5262722473744</v>
      </c>
      <c r="X234" s="12">
        <f t="shared" ca="1" si="383"/>
        <v>29304.879341805165</v>
      </c>
      <c r="Y234" s="12">
        <f t="shared" ca="1" si="383"/>
        <v>-8588.8323302719018</v>
      </c>
      <c r="Z234" s="12">
        <f t="shared" ca="1" si="383"/>
        <v>-8691.7581414570559</v>
      </c>
      <c r="AA234" s="12">
        <f t="shared" ca="1" si="383"/>
        <v>-9207.4925873535885</v>
      </c>
      <c r="AB234" s="12">
        <f t="shared" ca="1" si="383"/>
        <v>-9104.354198149229</v>
      </c>
      <c r="AC234" s="12">
        <f t="shared" ca="1" si="383"/>
        <v>-9498.525297033897</v>
      </c>
      <c r="AD234" s="12">
        <f t="shared" ca="1" si="383"/>
        <v>-9434.6161565207403</v>
      </c>
      <c r="AE234" s="12">
        <f t="shared" ca="1" si="383"/>
        <v>-5755.2495449402231</v>
      </c>
      <c r="AF234" s="12">
        <f t="shared" ca="1" si="383"/>
        <v>-5747.7253572887712</v>
      </c>
      <c r="AG234" s="12">
        <f t="shared" ca="1" si="383"/>
        <v>-5749.794407233604</v>
      </c>
      <c r="AH234" s="7"/>
      <c r="AI234" s="12">
        <f t="shared" ref="AI234:AS234" ca="1" si="384">AI231+SUM(AI232:AI233)</f>
        <v>23205.732488427577</v>
      </c>
      <c r="AJ234" s="12">
        <f ca="1">AJ231+SUM(AJ232:AJ233)</f>
        <v>-48180.775544009659</v>
      </c>
      <c r="AK234" s="12">
        <f t="shared" ca="1" si="384"/>
        <v>6581.8985399623889</v>
      </c>
      <c r="AL234" s="12">
        <f t="shared" ca="1" si="384"/>
        <v>28926.343162420304</v>
      </c>
      <c r="AM234" s="12">
        <f t="shared" ca="1" si="384"/>
        <v>65233.981559817388</v>
      </c>
      <c r="AN234" s="12">
        <f t="shared" ca="1" si="384"/>
        <v>179695.33102977541</v>
      </c>
      <c r="AO234" s="12">
        <f t="shared" ca="1" si="384"/>
        <v>208441.79469867388</v>
      </c>
      <c r="AP234" s="12">
        <f t="shared" ca="1" si="384"/>
        <v>223889.47541324713</v>
      </c>
      <c r="AQ234" s="12">
        <f t="shared" ca="1" si="384"/>
        <v>239197.06195019637</v>
      </c>
      <c r="AR234" s="12">
        <f t="shared" ca="1" si="384"/>
        <v>254212.7317910124</v>
      </c>
      <c r="AS234" s="12">
        <f t="shared" ca="1" si="384"/>
        <v>267470.32443186041</v>
      </c>
      <c r="AT234" s="12">
        <f t="shared" ref="AT234" ca="1" si="385">AT231+SUM(AT232:AT233)</f>
        <v>281358.55638503685</v>
      </c>
      <c r="AU234" s="55">
        <f ca="1">AS234/20</f>
        <v>13373.516221593021</v>
      </c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</row>
    <row r="235" spans="1:66" ht="14.25" customHeight="1" x14ac:dyDescent="0.3">
      <c r="A235" s="7"/>
      <c r="B235" s="5"/>
      <c r="C235" s="7" t="s">
        <v>242</v>
      </c>
      <c r="D235" s="15" t="s">
        <v>4</v>
      </c>
      <c r="E235" s="7"/>
      <c r="F235" s="7"/>
      <c r="G235" s="7"/>
      <c r="H235" s="7"/>
      <c r="I235" s="7"/>
      <c r="J235" s="8">
        <f t="shared" ref="J235:AG235" ca="1" si="386">-J305-J286</f>
        <v>-1538.3280073980141</v>
      </c>
      <c r="K235" s="8">
        <f t="shared" ca="1" si="386"/>
        <v>-1541.972332398014</v>
      </c>
      <c r="L235" s="8">
        <f t="shared" ca="1" si="386"/>
        <v>-1545.6159840855141</v>
      </c>
      <c r="M235" s="8">
        <f t="shared" ca="1" si="386"/>
        <v>-1598.3453167066723</v>
      </c>
      <c r="N235" s="8">
        <f t="shared" ca="1" si="386"/>
        <v>-1552.9012742519308</v>
      </c>
      <c r="O235" s="8">
        <f t="shared" ca="1" si="386"/>
        <v>-1606.0116410401238</v>
      </c>
      <c r="P235" s="8">
        <f t="shared" ca="1" si="386"/>
        <v>-1515.8345527687864</v>
      </c>
      <c r="Q235" s="8">
        <f t="shared" ca="1" si="386"/>
        <v>-1470.770743076594</v>
      </c>
      <c r="R235" s="8">
        <f t="shared" ca="1" si="386"/>
        <v>-1622.0516107162323</v>
      </c>
      <c r="S235" s="8">
        <f t="shared" ca="1" si="386"/>
        <v>-1576.9863370169858</v>
      </c>
      <c r="T235" s="8">
        <f t="shared" ca="1" si="386"/>
        <v>-1630.093039183834</v>
      </c>
      <c r="U235" s="8">
        <f t="shared" ca="1" si="386"/>
        <v>-1585.0263087884184</v>
      </c>
      <c r="V235" s="8">
        <f t="shared" ca="1" si="386"/>
        <v>-1751.1183070246914</v>
      </c>
      <c r="W235" s="8">
        <f t="shared" ca="1" si="386"/>
        <v>-1755.1364797703602</v>
      </c>
      <c r="X235" s="8">
        <f t="shared" ca="1" si="386"/>
        <v>-1710.1975369443389</v>
      </c>
      <c r="Y235" s="8">
        <f t="shared" ca="1" si="386"/>
        <v>-1763.2574087064468</v>
      </c>
      <c r="Z235" s="8">
        <f t="shared" ca="1" si="386"/>
        <v>-1718.1439649823024</v>
      </c>
      <c r="AA235" s="8">
        <f t="shared" ca="1" si="386"/>
        <v>-1771.6184944247289</v>
      </c>
      <c r="AB235" s="8">
        <f t="shared" ca="1" si="386"/>
        <v>-1781.9297445759755</v>
      </c>
      <c r="AC235" s="8">
        <f t="shared" ca="1" si="386"/>
        <v>-1688.143881912358</v>
      </c>
      <c r="AD235" s="8">
        <f t="shared" ca="1" si="386"/>
        <v>-1790.7027647925297</v>
      </c>
      <c r="AE235" s="8">
        <f t="shared" ca="1" si="386"/>
        <v>-1746.0019269381226</v>
      </c>
      <c r="AF235" s="8">
        <f t="shared" ca="1" si="386"/>
        <v>-1799.4731328211356</v>
      </c>
      <c r="AG235" s="8">
        <f t="shared" ca="1" si="386"/>
        <v>-1754.7709738435317</v>
      </c>
      <c r="AH235" s="7"/>
      <c r="AI235" s="8">
        <f ca="1">-AI305-AI287-AI297</f>
        <v>-365.12367784576071</v>
      </c>
      <c r="AJ235" s="8">
        <f ca="1">-AJ305-AJ287-AJ297</f>
        <v>-1886.2819496948646</v>
      </c>
      <c r="AK235" s="8">
        <f ca="1">-AK305-AK287-AK297</f>
        <v>-8318.6341769499995</v>
      </c>
      <c r="AL235" s="8">
        <f t="shared" ref="AL235:AT235" ca="1" si="387">-AL305-AL287-AL297</f>
        <v>-27770.13050930691</v>
      </c>
      <c r="AM235" s="8">
        <f t="shared" ca="1" si="387"/>
        <v>-29893.31313061581</v>
      </c>
      <c r="AN235" s="8">
        <f t="shared" ca="1" si="387"/>
        <v>-29437.674392433884</v>
      </c>
      <c r="AO235" s="8">
        <f t="shared" ca="1" si="387"/>
        <v>-28582.14667253755</v>
      </c>
      <c r="AP235" s="8">
        <f t="shared" ca="1" si="387"/>
        <v>-27645.355796101663</v>
      </c>
      <c r="AQ235" s="8">
        <f t="shared" ca="1" si="387"/>
        <v>-18122.102676985978</v>
      </c>
      <c r="AR235" s="8">
        <f t="shared" ca="1" si="387"/>
        <v>-8085.8857768992057</v>
      </c>
      <c r="AS235" s="8">
        <f t="shared" ca="1" si="387"/>
        <v>-6120.959083807249</v>
      </c>
      <c r="AT235" s="8">
        <f t="shared" ca="1" si="387"/>
        <v>0</v>
      </c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</row>
    <row r="236" spans="1:66" ht="14.25" customHeight="1" x14ac:dyDescent="0.3">
      <c r="A236" s="7"/>
      <c r="B236" s="5" t="s">
        <v>243</v>
      </c>
      <c r="C236" s="7"/>
      <c r="D236" s="15" t="s">
        <v>4</v>
      </c>
      <c r="E236" s="7"/>
      <c r="F236" s="7"/>
      <c r="G236" s="7"/>
      <c r="H236" s="7"/>
      <c r="I236" s="7"/>
      <c r="J236" s="12">
        <f t="shared" ref="J236:AG236" ca="1" si="388">J234+J235</f>
        <v>49059.556412851991</v>
      </c>
      <c r="K236" s="12">
        <f t="shared" ca="1" si="388"/>
        <v>-6583.7209954813479</v>
      </c>
      <c r="L236" s="12">
        <f t="shared" ca="1" si="388"/>
        <v>-6588.622544898014</v>
      </c>
      <c r="M236" s="12">
        <f t="shared" ca="1" si="388"/>
        <v>-8035.3742733144845</v>
      </c>
      <c r="N236" s="12">
        <f t="shared" ca="1" si="388"/>
        <v>-8034.8497004519568</v>
      </c>
      <c r="O236" s="12">
        <f t="shared" ca="1" si="388"/>
        <v>-8543.717066572377</v>
      </c>
      <c r="P236" s="12">
        <f t="shared" ca="1" si="388"/>
        <v>-8290.3568609223294</v>
      </c>
      <c r="Q236" s="12">
        <f t="shared" ca="1" si="388"/>
        <v>-8400.9389859495968</v>
      </c>
      <c r="R236" s="12">
        <f t="shared" ca="1" si="388"/>
        <v>-10474.486336992783</v>
      </c>
      <c r="S236" s="12">
        <f t="shared" ca="1" si="388"/>
        <v>-6914.4755252169216</v>
      </c>
      <c r="T236" s="12">
        <f t="shared" ca="1" si="388"/>
        <v>-6965.3273750569815</v>
      </c>
      <c r="U236" s="12">
        <f t="shared" ca="1" si="388"/>
        <v>-6921.3646632497066</v>
      </c>
      <c r="V236" s="12">
        <f t="shared" ca="1" si="388"/>
        <v>-7086.8834015297016</v>
      </c>
      <c r="W236" s="12">
        <f t="shared" ca="1" si="388"/>
        <v>-7088.6627520177344</v>
      </c>
      <c r="X236" s="12">
        <f t="shared" ca="1" si="388"/>
        <v>27594.681804860826</v>
      </c>
      <c r="Y236" s="12">
        <f t="shared" ca="1" si="388"/>
        <v>-10352.089738978349</v>
      </c>
      <c r="Z236" s="12">
        <f t="shared" ca="1" si="388"/>
        <v>-10409.902106439358</v>
      </c>
      <c r="AA236" s="12">
        <f t="shared" ca="1" si="388"/>
        <v>-10979.111081778317</v>
      </c>
      <c r="AB236" s="12">
        <f t="shared" ca="1" si="388"/>
        <v>-10886.283942725204</v>
      </c>
      <c r="AC236" s="12">
        <f t="shared" ca="1" si="388"/>
        <v>-11186.669178946255</v>
      </c>
      <c r="AD236" s="12">
        <f t="shared" ca="1" si="388"/>
        <v>-11225.31892131327</v>
      </c>
      <c r="AE236" s="12">
        <f t="shared" ca="1" si="388"/>
        <v>-7501.2514718783459</v>
      </c>
      <c r="AF236" s="12">
        <f t="shared" ca="1" si="388"/>
        <v>-7547.1984901099067</v>
      </c>
      <c r="AG236" s="12">
        <f t="shared" ca="1" si="388"/>
        <v>-7504.5653810771355</v>
      </c>
      <c r="AH236" s="7"/>
      <c r="AI236" s="12">
        <f t="shared" ref="AI236:AS236" ca="1" si="389">AI234+AI235</f>
        <v>22840.608810581816</v>
      </c>
      <c r="AJ236" s="12">
        <f t="shared" ca="1" si="389"/>
        <v>-50067.057493704524</v>
      </c>
      <c r="AK236" s="12">
        <f t="shared" ca="1" si="389"/>
        <v>-1736.7356369876106</v>
      </c>
      <c r="AL236" s="12">
        <f t="shared" ca="1" si="389"/>
        <v>1156.2126531133945</v>
      </c>
      <c r="AM236" s="12">
        <f t="shared" ca="1" si="389"/>
        <v>35340.668429201578</v>
      </c>
      <c r="AN236" s="12">
        <f t="shared" ca="1" si="389"/>
        <v>150257.65663734151</v>
      </c>
      <c r="AO236" s="12">
        <f t="shared" ca="1" si="389"/>
        <v>179859.64802613633</v>
      </c>
      <c r="AP236" s="12">
        <f t="shared" ca="1" si="389"/>
        <v>196244.11961714545</v>
      </c>
      <c r="AQ236" s="12">
        <f t="shared" ca="1" si="389"/>
        <v>221074.95927321038</v>
      </c>
      <c r="AR236" s="12">
        <f t="shared" ca="1" si="389"/>
        <v>246126.84601411319</v>
      </c>
      <c r="AS236" s="12">
        <f t="shared" ca="1" si="389"/>
        <v>261349.36534805316</v>
      </c>
      <c r="AT236" s="12">
        <f t="shared" ref="AT236" ca="1" si="390">AT234+AT235</f>
        <v>281358.55638503685</v>
      </c>
      <c r="AU236" s="55">
        <f ca="1">AS236/20</f>
        <v>13067.468267402659</v>
      </c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</row>
    <row r="237" spans="1:66" ht="14.2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49">
        <f t="shared" ref="AM237:AT237" ca="1" si="391">AM231/AM188</f>
        <v>0.47847262591160228</v>
      </c>
      <c r="AN237" s="49">
        <f t="shared" ca="1" si="391"/>
        <v>0.65199991378674271</v>
      </c>
      <c r="AO237" s="49">
        <f t="shared" ca="1" si="391"/>
        <v>0.65910569905921679</v>
      </c>
      <c r="AP237" s="49">
        <f t="shared" ca="1" si="391"/>
        <v>0.6600250397433377</v>
      </c>
      <c r="AQ237" s="49">
        <f t="shared" ca="1" si="391"/>
        <v>0.6608230538820824</v>
      </c>
      <c r="AR237" s="49">
        <f t="shared" ca="1" si="391"/>
        <v>0.66152048333561975</v>
      </c>
      <c r="AS237" s="49">
        <f t="shared" ca="1" si="391"/>
        <v>0.66212093513712622</v>
      </c>
      <c r="AT237" s="49">
        <f t="shared" ca="1" si="391"/>
        <v>0.66266935077536071</v>
      </c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</row>
    <row r="238" spans="1:66" ht="14.25" customHeight="1" x14ac:dyDescent="0.3">
      <c r="A238" s="7"/>
      <c r="B238" s="7"/>
      <c r="C238" s="7" t="s">
        <v>244</v>
      </c>
      <c r="D238" s="15" t="s">
        <v>4</v>
      </c>
      <c r="E238" s="97">
        <v>0.2</v>
      </c>
      <c r="F238" s="7"/>
      <c r="G238" s="7"/>
      <c r="H238" s="7"/>
      <c r="I238" s="7"/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f ca="1">AI238</f>
        <v>-4568.1217621163632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f ca="1">AJ238</f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7"/>
      <c r="AI238" s="8">
        <f t="shared" ref="AI238:AT238" ca="1" si="392">-IF(AI236*$E$238&gt;0,AI236*$E$238,0)</f>
        <v>-4568.1217621163632</v>
      </c>
      <c r="AJ238" s="8">
        <f t="shared" ca="1" si="392"/>
        <v>0</v>
      </c>
      <c r="AK238" s="8">
        <f t="shared" ca="1" si="392"/>
        <v>0</v>
      </c>
      <c r="AL238" s="8">
        <f t="shared" ca="1" si="392"/>
        <v>-231.24253062267891</v>
      </c>
      <c r="AM238" s="8">
        <f t="shared" ca="1" si="392"/>
        <v>-7068.1336858403156</v>
      </c>
      <c r="AN238" s="8">
        <f t="shared" ca="1" si="392"/>
        <v>-30051.531327468303</v>
      </c>
      <c r="AO238" s="8">
        <f t="shared" ca="1" si="392"/>
        <v>-35971.929605227269</v>
      </c>
      <c r="AP238" s="8">
        <f t="shared" ca="1" si="392"/>
        <v>-39248.823923429089</v>
      </c>
      <c r="AQ238" s="8">
        <f t="shared" ca="1" si="392"/>
        <v>-44214.991854642081</v>
      </c>
      <c r="AR238" s="8">
        <f t="shared" ca="1" si="392"/>
        <v>-49225.369202822643</v>
      </c>
      <c r="AS238" s="8">
        <f t="shared" ca="1" si="392"/>
        <v>-52269.873069610636</v>
      </c>
      <c r="AT238" s="8">
        <f t="shared" ca="1" si="392"/>
        <v>-56271.711277007373</v>
      </c>
      <c r="AU238" s="55">
        <f ca="1">AS238/20</f>
        <v>-2613.493653480532</v>
      </c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</row>
    <row r="239" spans="1:66" ht="14.2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</row>
    <row r="240" spans="1:66" ht="14.25" customHeight="1" x14ac:dyDescent="0.3">
      <c r="A240" s="7"/>
      <c r="B240" s="5" t="s">
        <v>69</v>
      </c>
      <c r="C240" s="7"/>
      <c r="D240" s="14" t="s">
        <v>4</v>
      </c>
      <c r="E240" s="7"/>
      <c r="F240" s="7"/>
      <c r="G240" s="7"/>
      <c r="H240" s="7"/>
      <c r="I240" s="7"/>
      <c r="J240" s="12">
        <f t="shared" ref="J240:AG240" ca="1" si="393">J236+J238</f>
        <v>49059.556412851991</v>
      </c>
      <c r="K240" s="121">
        <f t="shared" ca="1" si="393"/>
        <v>-6583.7209954813479</v>
      </c>
      <c r="L240" s="12">
        <f t="shared" ca="1" si="393"/>
        <v>-6588.622544898014</v>
      </c>
      <c r="M240" s="12">
        <f t="shared" ca="1" si="393"/>
        <v>-8035.3742733144845</v>
      </c>
      <c r="N240" s="12">
        <f t="shared" ca="1" si="393"/>
        <v>-8034.8497004519568</v>
      </c>
      <c r="O240" s="12">
        <f t="shared" ca="1" si="393"/>
        <v>-13111.83882868874</v>
      </c>
      <c r="P240" s="12">
        <f t="shared" ca="1" si="393"/>
        <v>-8290.3568609223294</v>
      </c>
      <c r="Q240" s="12">
        <f t="shared" ca="1" si="393"/>
        <v>-8400.9389859495968</v>
      </c>
      <c r="R240" s="12">
        <f t="shared" ca="1" si="393"/>
        <v>-10474.486336992783</v>
      </c>
      <c r="S240" s="12">
        <f t="shared" ca="1" si="393"/>
        <v>-6914.4755252169216</v>
      </c>
      <c r="T240" s="12">
        <f t="shared" ca="1" si="393"/>
        <v>-6965.3273750569815</v>
      </c>
      <c r="U240" s="12">
        <f t="shared" ca="1" si="393"/>
        <v>-6921.3646632497066</v>
      </c>
      <c r="V240" s="12">
        <f t="shared" ca="1" si="393"/>
        <v>-7086.8834015297016</v>
      </c>
      <c r="W240" s="12">
        <f t="shared" ca="1" si="393"/>
        <v>-7088.6627520177344</v>
      </c>
      <c r="X240" s="12">
        <f t="shared" ca="1" si="393"/>
        <v>27594.681804860826</v>
      </c>
      <c r="Y240" s="12">
        <f t="shared" ca="1" si="393"/>
        <v>-10352.089738978349</v>
      </c>
      <c r="Z240" s="12">
        <f t="shared" ca="1" si="393"/>
        <v>-10409.902106439358</v>
      </c>
      <c r="AA240" s="12">
        <f t="shared" ca="1" si="393"/>
        <v>-10979.111081778317</v>
      </c>
      <c r="AB240" s="12">
        <f t="shared" ca="1" si="393"/>
        <v>-10886.283942725204</v>
      </c>
      <c r="AC240" s="12">
        <f t="shared" ca="1" si="393"/>
        <v>-11186.669178946255</v>
      </c>
      <c r="AD240" s="12">
        <f t="shared" ca="1" si="393"/>
        <v>-11225.31892131327</v>
      </c>
      <c r="AE240" s="12">
        <f t="shared" ca="1" si="393"/>
        <v>-7501.2514718783459</v>
      </c>
      <c r="AF240" s="12">
        <f t="shared" ca="1" si="393"/>
        <v>-7547.1984901099067</v>
      </c>
      <c r="AG240" s="12">
        <f t="shared" ca="1" si="393"/>
        <v>-7504.5653810771355</v>
      </c>
      <c r="AH240" s="7"/>
      <c r="AI240" s="12">
        <f ca="1">AI236+AI238</f>
        <v>18272.487048465453</v>
      </c>
      <c r="AJ240" s="12">
        <f t="shared" ref="AJ240:AS240" ca="1" si="394">AJ236+AJ238</f>
        <v>-50067.057493704524</v>
      </c>
      <c r="AK240" s="12">
        <f t="shared" ca="1" si="394"/>
        <v>-1736.7356369876106</v>
      </c>
      <c r="AL240" s="12">
        <f t="shared" ca="1" si="394"/>
        <v>924.97012249071554</v>
      </c>
      <c r="AM240" s="12">
        <f t="shared" ca="1" si="394"/>
        <v>28272.534743361262</v>
      </c>
      <c r="AN240" s="12">
        <f t="shared" ca="1" si="394"/>
        <v>120206.12530987321</v>
      </c>
      <c r="AO240" s="12">
        <f t="shared" ca="1" si="394"/>
        <v>143887.71842090908</v>
      </c>
      <c r="AP240" s="12">
        <f t="shared" ca="1" si="394"/>
        <v>156995.29569371635</v>
      </c>
      <c r="AQ240" s="12">
        <f t="shared" ca="1" si="394"/>
        <v>176859.9674185683</v>
      </c>
      <c r="AR240" s="12">
        <f t="shared" ca="1" si="394"/>
        <v>196901.47681129054</v>
      </c>
      <c r="AS240" s="12">
        <f t="shared" ca="1" si="394"/>
        <v>209079.49227844254</v>
      </c>
      <c r="AT240" s="12">
        <f t="shared" ref="AT240" ca="1" si="395">AT236+AT238</f>
        <v>225086.84510802949</v>
      </c>
      <c r="AU240" s="55">
        <f ca="1">AS240/20</f>
        <v>10453.974613922128</v>
      </c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</row>
    <row r="241" spans="1:66" ht="14.2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7"/>
      <c r="AI241" s="100">
        <f t="shared" ref="AI241:AU241" ca="1" si="396">AI240/AI188</f>
        <v>0.32840559037500816</v>
      </c>
      <c r="AJ241" s="100">
        <f t="shared" ca="1" si="396"/>
        <v>-1.4446978391325915</v>
      </c>
      <c r="AK241" s="100">
        <f t="shared" ca="1" si="396"/>
        <v>-1.6241677551711586E-2</v>
      </c>
      <c r="AL241" s="100">
        <f t="shared" ca="1" si="396"/>
        <v>6.8461321899841877E-3</v>
      </c>
      <c r="AM241" s="100">
        <f t="shared" ca="1" si="396"/>
        <v>0.15199035581879503</v>
      </c>
      <c r="AN241" s="100">
        <f t="shared" ca="1" si="396"/>
        <v>0.39451267610865115</v>
      </c>
      <c r="AO241" s="100">
        <f t="shared" ca="1" si="396"/>
        <v>0.4297439897935752</v>
      </c>
      <c r="AP241" s="100">
        <f t="shared" ca="1" si="396"/>
        <v>0.43882820799819605</v>
      </c>
      <c r="AQ241" s="100">
        <f t="shared" ca="1" si="396"/>
        <v>0.46481834645664671</v>
      </c>
      <c r="AR241" s="100">
        <f t="shared" ca="1" si="396"/>
        <v>0.48884372332085752</v>
      </c>
      <c r="AS241" s="100">
        <f t="shared" ca="1" si="396"/>
        <v>0.49492376432767754</v>
      </c>
      <c r="AT241" s="100">
        <f t="shared" ca="1" si="396"/>
        <v>0.50803218045467924</v>
      </c>
      <c r="AU241" s="100">
        <f t="shared" ca="1" si="396"/>
        <v>0.4949237643276776</v>
      </c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</row>
    <row r="242" spans="1:66" ht="14.2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7"/>
      <c r="AI242" s="100"/>
      <c r="AJ242" s="100"/>
      <c r="AK242" s="100"/>
      <c r="AL242" s="100"/>
      <c r="AM242" s="100"/>
      <c r="AN242" s="100"/>
      <c r="AO242" s="100"/>
      <c r="AP242" s="100"/>
      <c r="AQ242" s="100"/>
      <c r="AR242" s="100"/>
      <c r="AS242" s="100"/>
      <c r="AT242" s="100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</row>
    <row r="243" spans="1:66" ht="14.25" customHeight="1" x14ac:dyDescent="0.3">
      <c r="A243" s="7"/>
      <c r="B243" s="5" t="s">
        <v>245</v>
      </c>
      <c r="C243" s="7"/>
      <c r="D243" s="14" t="s">
        <v>4</v>
      </c>
      <c r="E243" s="7"/>
      <c r="F243" s="7"/>
      <c r="G243" s="7"/>
      <c r="H243" s="7"/>
      <c r="I243" s="7"/>
      <c r="J243" s="12">
        <f ca="1">J231-J229</f>
        <v>52578.655860000006</v>
      </c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7"/>
      <c r="AI243" s="12">
        <f t="shared" ref="AI243:AS243" ca="1" si="397">AI231-AI229</f>
        <v>33109.589687177577</v>
      </c>
      <c r="AJ243" s="12">
        <f t="shared" ca="1" si="397"/>
        <v>-24411.518267009655</v>
      </c>
      <c r="AK243" s="12">
        <f ca="1">AK231-AK229</f>
        <v>30351.15581696239</v>
      </c>
      <c r="AL243" s="12">
        <f t="shared" ca="1" si="397"/>
        <v>52695.600439420305</v>
      </c>
      <c r="AM243" s="12">
        <f t="shared" ca="1" si="397"/>
        <v>89003.238836817385</v>
      </c>
      <c r="AN243" s="12">
        <f t="shared" ca="1" si="397"/>
        <v>198661.25497344209</v>
      </c>
      <c r="AO243" s="12">
        <f t="shared" ca="1" si="397"/>
        <v>220683.05197567388</v>
      </c>
      <c r="AP243" s="12">
        <f t="shared" ca="1" si="397"/>
        <v>236130.73269024712</v>
      </c>
      <c r="AQ243" s="12">
        <f t="shared" ca="1" si="397"/>
        <v>251438.31922719636</v>
      </c>
      <c r="AR243" s="12">
        <f t="shared" ca="1" si="397"/>
        <v>266453.98906801239</v>
      </c>
      <c r="AS243" s="12">
        <f t="shared" ca="1" si="397"/>
        <v>279711.58170886041</v>
      </c>
      <c r="AT243" s="12">
        <f t="shared" ref="AT243" ca="1" si="398">AT231-AT229</f>
        <v>293599.81366203685</v>
      </c>
      <c r="AU243" s="55">
        <f ca="1">AS243/20</f>
        <v>13985.57908544302</v>
      </c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</row>
    <row r="244" spans="1:66" ht="14.2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7"/>
      <c r="AI244" s="100">
        <f t="shared" ref="AI244:AT244" ca="1" si="399">AI243/AI188</f>
        <v>0.59506811084071853</v>
      </c>
      <c r="AJ244" s="100">
        <f t="shared" ca="1" si="399"/>
        <v>-0.70440064696690374</v>
      </c>
      <c r="AK244" s="100">
        <f t="shared" ca="1" si="399"/>
        <v>0.28383921859051203</v>
      </c>
      <c r="AL244" s="100">
        <f t="shared" ca="1" si="399"/>
        <v>0.39002453989261843</v>
      </c>
      <c r="AM244" s="100">
        <f t="shared" ca="1" si="399"/>
        <v>0.47847262591160228</v>
      </c>
      <c r="AN244" s="100">
        <f t="shared" ca="1" si="399"/>
        <v>0.65199991378674271</v>
      </c>
      <c r="AO244" s="100">
        <f t="shared" ca="1" si="399"/>
        <v>0.65910569905921679</v>
      </c>
      <c r="AP244" s="100">
        <f t="shared" ca="1" si="399"/>
        <v>0.6600250397433377</v>
      </c>
      <c r="AQ244" s="100">
        <f t="shared" ca="1" si="399"/>
        <v>0.6608230538820824</v>
      </c>
      <c r="AR244" s="100">
        <f t="shared" ca="1" si="399"/>
        <v>0.66152048333561975</v>
      </c>
      <c r="AS244" s="100">
        <f t="shared" ca="1" si="399"/>
        <v>0.66212093513712622</v>
      </c>
      <c r="AT244" s="100">
        <f t="shared" ca="1" si="399"/>
        <v>0.66266935077536071</v>
      </c>
      <c r="AU244" s="10" t="e">
        <f ca="1">AU243/AU191</f>
        <v>#DIV/0!</v>
      </c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</row>
    <row r="245" spans="1:66" ht="14.2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7"/>
      <c r="AI245" s="100"/>
      <c r="AJ245" s="100"/>
      <c r="AK245" s="100"/>
      <c r="AL245" s="100"/>
      <c r="AM245" s="100"/>
      <c r="AN245" s="100"/>
      <c r="AO245" s="100"/>
      <c r="AP245" s="100"/>
      <c r="AQ245" s="100"/>
      <c r="AR245" s="100"/>
      <c r="AS245" s="100"/>
      <c r="AT245" s="100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</row>
    <row r="246" spans="1:66" ht="14.25" customHeight="1" x14ac:dyDescent="0.3">
      <c r="A246" s="7"/>
      <c r="B246" s="5" t="s">
        <v>246</v>
      </c>
      <c r="C246" s="7"/>
      <c r="D246" s="14" t="s">
        <v>4</v>
      </c>
      <c r="E246" s="7"/>
      <c r="F246" s="7"/>
      <c r="G246" s="7"/>
      <c r="H246" s="7"/>
      <c r="I246" s="7"/>
      <c r="J246" s="12">
        <f t="shared" ref="J246:AG246" ca="1" si="400">J231-SUM(J194:J198)+J238</f>
        <v>-3061.3441399999938</v>
      </c>
      <c r="K246" s="12">
        <f t="shared" ca="1" si="400"/>
        <v>-3060.9772233333333</v>
      </c>
      <c r="L246" s="12">
        <f t="shared" ca="1" si="400"/>
        <v>-3062.2351210624997</v>
      </c>
      <c r="M246" s="12">
        <f t="shared" ca="1" si="400"/>
        <v>-4456.2575168578123</v>
      </c>
      <c r="N246" s="12">
        <f t="shared" ca="1" si="400"/>
        <v>-4501.1769864500257</v>
      </c>
      <c r="O246" s="12">
        <f t="shared" ca="1" si="400"/>
        <v>-9525.0557478986157</v>
      </c>
      <c r="P246" s="12">
        <f t="shared" ca="1" si="400"/>
        <v>-4793.750868403542</v>
      </c>
      <c r="Q246" s="12">
        <f t="shared" ca="1" si="400"/>
        <v>-4949.3968031230042</v>
      </c>
      <c r="R246" s="12">
        <f t="shared" ca="1" si="400"/>
        <v>-6871.6632865265501</v>
      </c>
      <c r="S246" s="12">
        <f t="shared" ca="1" si="400"/>
        <v>-3356.7177484499362</v>
      </c>
      <c r="T246" s="12">
        <f t="shared" ca="1" si="400"/>
        <v>-3354.4628961231479</v>
      </c>
      <c r="U246" s="12">
        <f t="shared" ca="1" si="400"/>
        <v>-3355.5669147112881</v>
      </c>
      <c r="V246" s="12">
        <f t="shared" ca="1" si="400"/>
        <v>-3354.9936547550096</v>
      </c>
      <c r="W246" s="12">
        <f t="shared" ca="1" si="400"/>
        <v>-3352.7548324973741</v>
      </c>
      <c r="X246" s="12">
        <f t="shared" ca="1" si="400"/>
        <v>31285.650781555163</v>
      </c>
      <c r="Y246" s="12">
        <f t="shared" ca="1" si="400"/>
        <v>-6608.0608905219024</v>
      </c>
      <c r="Z246" s="12">
        <f t="shared" ca="1" si="400"/>
        <v>-6710.9867017070555</v>
      </c>
      <c r="AA246" s="12">
        <f t="shared" ca="1" si="400"/>
        <v>-7226.7211476035891</v>
      </c>
      <c r="AB246" s="12">
        <f t="shared" ca="1" si="400"/>
        <v>-7123.5827583992295</v>
      </c>
      <c r="AC246" s="12">
        <f t="shared" ca="1" si="400"/>
        <v>-7517.7538572838976</v>
      </c>
      <c r="AD246" s="12">
        <f t="shared" ca="1" si="400"/>
        <v>-7453.84471677074</v>
      </c>
      <c r="AE246" s="12">
        <f t="shared" ca="1" si="400"/>
        <v>-3774.4781051902232</v>
      </c>
      <c r="AF246" s="12">
        <f t="shared" ca="1" si="400"/>
        <v>-3766.9539175387713</v>
      </c>
      <c r="AG246" s="12">
        <f t="shared" ca="1" si="400"/>
        <v>-3769.0229674836041</v>
      </c>
      <c r="AH246" s="7"/>
      <c r="AI246" s="12">
        <f t="shared" ref="AI246:AT246" ca="1" si="401">AI243-SUM(AI194:AI198)+AI238</f>
        <v>-27098.532074938787</v>
      </c>
      <c r="AJ246" s="12">
        <f t="shared" ca="1" si="401"/>
        <v>-24411.518267009655</v>
      </c>
      <c r="AK246" s="12">
        <f t="shared" ca="1" si="401"/>
        <v>21445.325705454277</v>
      </c>
      <c r="AL246" s="12">
        <f t="shared" ca="1" si="401"/>
        <v>41682.480362969705</v>
      </c>
      <c r="AM246" s="12">
        <f t="shared" ca="1" si="401"/>
        <v>67729.33871857202</v>
      </c>
      <c r="AN246" s="12">
        <f t="shared" ca="1" si="401"/>
        <v>150310.77452514454</v>
      </c>
      <c r="AO246" s="12">
        <f t="shared" ca="1" si="401"/>
        <v>164729.60950794659</v>
      </c>
      <c r="AP246" s="12">
        <f t="shared" ca="1" si="401"/>
        <v>176000.90657931802</v>
      </c>
      <c r="AQ246" s="12">
        <f t="shared" ca="1" si="401"/>
        <v>185507.08509755429</v>
      </c>
      <c r="AR246" s="12">
        <f t="shared" ca="1" si="401"/>
        <v>194741.38674018974</v>
      </c>
      <c r="AS246" s="12">
        <f t="shared" ca="1" si="401"/>
        <v>204311.98313924979</v>
      </c>
      <c r="AT246" s="12">
        <f t="shared" ca="1" si="401"/>
        <v>213555.88451002946</v>
      </c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</row>
    <row r="247" spans="1:66" ht="14.2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7"/>
      <c r="AI247" s="100"/>
      <c r="AJ247" s="100"/>
      <c r="AK247" s="100"/>
      <c r="AL247" s="100"/>
      <c r="AM247" s="100"/>
      <c r="AN247" s="100"/>
      <c r="AO247" s="100"/>
      <c r="AP247" s="100"/>
      <c r="AQ247" s="100"/>
      <c r="AR247" s="100"/>
      <c r="AS247" s="100"/>
      <c r="AT247" s="100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</row>
    <row r="248" spans="1:66" ht="14.2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7"/>
      <c r="AI248" s="100"/>
      <c r="AJ248" s="100"/>
      <c r="AK248" s="100"/>
      <c r="AL248" s="123"/>
      <c r="AM248" s="100">
        <v>0</v>
      </c>
      <c r="AN248" s="100">
        <v>0</v>
      </c>
      <c r="AO248" s="100">
        <v>0</v>
      </c>
      <c r="AP248" s="100">
        <v>0</v>
      </c>
      <c r="AQ248" s="100">
        <v>0</v>
      </c>
      <c r="AR248" s="100">
        <v>0</v>
      </c>
      <c r="AS248" s="100">
        <v>0</v>
      </c>
      <c r="AT248" s="100">
        <v>0</v>
      </c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</row>
    <row r="249" spans="1:66" ht="13.5" customHeight="1" x14ac:dyDescent="0.3">
      <c r="A249" s="3" t="s">
        <v>0</v>
      </c>
      <c r="B249" s="3" t="s">
        <v>247</v>
      </c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  <c r="AO249" s="122"/>
      <c r="AP249" s="122"/>
      <c r="AQ249" s="122"/>
      <c r="AR249" s="122"/>
      <c r="AS249" s="122"/>
      <c r="AT249" s="122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</row>
    <row r="250" spans="1:66" ht="14.2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7"/>
      <c r="AI250" s="110">
        <f t="shared" ref="AI250:AT250" si="402">SUM(AI258:AI260)*10%/12*AI35</f>
        <v>4962.5</v>
      </c>
      <c r="AJ250" s="110">
        <f t="shared" ca="1" si="402"/>
        <v>11910</v>
      </c>
      <c r="AK250" s="110">
        <f t="shared" ca="1" si="402"/>
        <v>11910</v>
      </c>
      <c r="AL250" s="110">
        <f t="shared" ca="1" si="402"/>
        <v>11910</v>
      </c>
      <c r="AM250" s="110">
        <f t="shared" ca="1" si="402"/>
        <v>11909.999999999995</v>
      </c>
      <c r="AN250" s="110">
        <f t="shared" ca="1" si="402"/>
        <v>11909.999999999995</v>
      </c>
      <c r="AO250" s="110">
        <f t="shared" ca="1" si="402"/>
        <v>11909.999999999995</v>
      </c>
      <c r="AP250" s="110">
        <f t="shared" ca="1" si="402"/>
        <v>11910</v>
      </c>
      <c r="AQ250" s="110">
        <f t="shared" ca="1" si="402"/>
        <v>11909.999999999989</v>
      </c>
      <c r="AR250" s="110">
        <f t="shared" ca="1" si="402"/>
        <v>11910</v>
      </c>
      <c r="AS250" s="110">
        <f t="shared" ca="1" si="402"/>
        <v>11909.999999999989</v>
      </c>
      <c r="AT250" s="110">
        <f t="shared" ca="1" si="402"/>
        <v>11909.999999999989</v>
      </c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</row>
    <row r="251" spans="1:66" ht="14.2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7"/>
      <c r="AI251" s="110"/>
      <c r="AJ251" s="110"/>
      <c r="AK251" s="110"/>
      <c r="AL251" s="110"/>
      <c r="AM251" s="110"/>
      <c r="AN251" s="110"/>
      <c r="AO251" s="110"/>
      <c r="AP251" s="110"/>
      <c r="AQ251" s="110"/>
      <c r="AR251" s="110"/>
      <c r="AS251" s="110"/>
      <c r="AT251" s="110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</row>
    <row r="252" spans="1:66" ht="14.25" customHeight="1" x14ac:dyDescent="0.3">
      <c r="A252" s="7"/>
      <c r="B252" s="5" t="s">
        <v>72</v>
      </c>
      <c r="C252" s="7"/>
      <c r="D252" s="7"/>
      <c r="E252" s="7"/>
      <c r="F252" s="7"/>
      <c r="G252" s="7"/>
      <c r="H252" s="7"/>
      <c r="I252" s="7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7"/>
      <c r="AI252" s="100"/>
      <c r="AJ252" s="100"/>
      <c r="AK252" s="100"/>
      <c r="AL252" s="100"/>
      <c r="AM252" s="100"/>
      <c r="AN252" s="100"/>
      <c r="AO252" s="100"/>
      <c r="AP252" s="100"/>
      <c r="AQ252" s="100"/>
      <c r="AR252" s="100"/>
      <c r="AS252" s="100"/>
      <c r="AT252" s="100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</row>
    <row r="253" spans="1:66" ht="14.25" customHeight="1" x14ac:dyDescent="0.3">
      <c r="A253" s="7"/>
      <c r="B253" s="7" t="s">
        <v>248</v>
      </c>
      <c r="D253" s="15" t="s">
        <v>4</v>
      </c>
      <c r="E253" s="7"/>
      <c r="F253" s="7"/>
      <c r="G253" s="7"/>
      <c r="H253" s="7"/>
      <c r="I253" s="7"/>
      <c r="J253" s="55">
        <f ca="1">J348</f>
        <v>92118.585129601939</v>
      </c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7"/>
      <c r="AI253" s="8">
        <f ca="1">AI348</f>
        <v>34683.594534919139</v>
      </c>
      <c r="AJ253" s="8">
        <f t="shared" ref="AJ253:AS253" ca="1" si="403">AJ348</f>
        <v>35004.147753126927</v>
      </c>
      <c r="AK253" s="8">
        <f t="shared" ca="1" si="403"/>
        <v>17543.26270860765</v>
      </c>
      <c r="AL253" s="8">
        <f t="shared" ca="1" si="403"/>
        <v>9283.2010030312485</v>
      </c>
      <c r="AM253" s="8">
        <f t="shared" ca="1" si="403"/>
        <v>73876.511617586468</v>
      </c>
      <c r="AN253" s="8">
        <f t="shared" ca="1" si="403"/>
        <v>189897.68800609239</v>
      </c>
      <c r="AO253" s="8">
        <f t="shared" ca="1" si="403"/>
        <v>315597.82630668173</v>
      </c>
      <c r="AP253" s="8">
        <f t="shared" ca="1" si="403"/>
        <v>454560.55075987044</v>
      </c>
      <c r="AQ253" s="8">
        <f t="shared" ca="1" si="403"/>
        <v>469907.72281637718</v>
      </c>
      <c r="AR253" s="8">
        <f t="shared" ca="1" si="403"/>
        <v>496916.52004642738</v>
      </c>
      <c r="AS253" s="8">
        <f t="shared" ca="1" si="403"/>
        <v>667931.23860104987</v>
      </c>
      <c r="AT253" s="8">
        <f t="shared" ref="AT253" ca="1" si="404">AT348</f>
        <v>897604.48102178972</v>
      </c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</row>
    <row r="254" spans="1:66" ht="14.25" customHeight="1" x14ac:dyDescent="0.3">
      <c r="A254" s="7"/>
      <c r="B254" s="7" t="s">
        <v>249</v>
      </c>
      <c r="D254" s="15" t="s">
        <v>4</v>
      </c>
      <c r="E254" s="7"/>
      <c r="F254" s="7"/>
      <c r="G254" s="7"/>
      <c r="H254" s="7"/>
      <c r="I254" s="7"/>
      <c r="J254" s="55">
        <v>0</v>
      </c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7"/>
      <c r="AI254" s="94">
        <v>0</v>
      </c>
      <c r="AJ254" s="94">
        <v>0</v>
      </c>
      <c r="AK254" s="94">
        <v>0</v>
      </c>
      <c r="AL254" s="94">
        <v>0</v>
      </c>
      <c r="AM254" s="94">
        <v>0</v>
      </c>
      <c r="AN254" s="94">
        <v>0</v>
      </c>
      <c r="AO254" s="94">
        <v>0</v>
      </c>
      <c r="AP254" s="94">
        <v>0</v>
      </c>
      <c r="AQ254" s="94">
        <v>0</v>
      </c>
      <c r="AR254" s="94">
        <v>0</v>
      </c>
      <c r="AS254" s="94">
        <v>0</v>
      </c>
      <c r="AT254" s="94">
        <v>0</v>
      </c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</row>
    <row r="255" spans="1:66" ht="14.25" customHeight="1" x14ac:dyDescent="0.3">
      <c r="A255" s="7"/>
      <c r="B255" s="7" t="s">
        <v>250</v>
      </c>
      <c r="D255" s="15" t="s">
        <v>4</v>
      </c>
      <c r="E255" s="7"/>
      <c r="F255" s="7"/>
      <c r="G255" s="7"/>
      <c r="H255" s="7"/>
      <c r="I255" s="7"/>
      <c r="J255" s="55">
        <f t="shared" ref="J255:J256" ca="1" si="405">J374</f>
        <v>12418.486102342509</v>
      </c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7"/>
      <c r="AI255" s="8">
        <f ca="1">AI374</f>
        <v>8825.8891854222002</v>
      </c>
      <c r="AJ255" s="8">
        <f ca="1">AJ374</f>
        <v>15256.073896584201</v>
      </c>
      <c r="AK255" s="8">
        <f t="shared" ref="AK255:AS255" ca="1" si="406">AK374</f>
        <v>28765.859672980969</v>
      </c>
      <c r="AL255" s="8">
        <f t="shared" ca="1" si="406"/>
        <v>79493.470802333526</v>
      </c>
      <c r="AM255" s="8">
        <f t="shared" ca="1" si="406"/>
        <v>94396.607826884429</v>
      </c>
      <c r="AN255" s="8">
        <f t="shared" ca="1" si="406"/>
        <v>102146.72157090026</v>
      </c>
      <c r="AO255" s="8">
        <f t="shared" ca="1" si="406"/>
        <v>110116.70703182787</v>
      </c>
      <c r="AP255" s="8">
        <f t="shared" ca="1" si="406"/>
        <v>117563.59668248046</v>
      </c>
      <c r="AQ255" s="8">
        <f t="shared" ca="1" si="406"/>
        <v>124932.01312928698</v>
      </c>
      <c r="AR255" s="8">
        <f t="shared" ca="1" si="406"/>
        <v>132149.50443335771</v>
      </c>
      <c r="AS255" s="8">
        <f t="shared" ca="1" si="406"/>
        <v>138504.77903574434</v>
      </c>
      <c r="AT255" s="8">
        <f t="shared" ref="AT255" ca="1" si="407">AT374</f>
        <v>145161.00399363157</v>
      </c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</row>
    <row r="256" spans="1:66" ht="14.25" customHeight="1" x14ac:dyDescent="0.3">
      <c r="A256" s="7"/>
      <c r="B256" s="7" t="s">
        <v>251</v>
      </c>
      <c r="D256" s="15" t="s">
        <v>4</v>
      </c>
      <c r="E256" s="7"/>
      <c r="F256" s="7"/>
      <c r="G256" s="7"/>
      <c r="H256" s="7"/>
      <c r="I256" s="7"/>
      <c r="J256" s="55">
        <f t="shared" ca="1" si="405"/>
        <v>729</v>
      </c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7"/>
      <c r="AI256" s="8">
        <f ca="1">AI375</f>
        <v>729</v>
      </c>
      <c r="AJ256" s="8">
        <f t="shared" ref="AJ256:AS256" ca="1" si="408">AJ375</f>
        <v>729</v>
      </c>
      <c r="AK256" s="8">
        <f t="shared" ca="1" si="408"/>
        <v>10744.730476016233</v>
      </c>
      <c r="AL256" s="8">
        <f t="shared" ca="1" si="408"/>
        <v>11984.979048847632</v>
      </c>
      <c r="AM256" s="8">
        <f t="shared" ca="1" si="408"/>
        <v>13347.310267252755</v>
      </c>
      <c r="AN256" s="8">
        <f t="shared" ca="1" si="408"/>
        <v>14584.700233907159</v>
      </c>
      <c r="AO256" s="8">
        <f t="shared" ca="1" si="408"/>
        <v>15757.227363441891</v>
      </c>
      <c r="AP256" s="8">
        <f t="shared" ca="1" si="408"/>
        <v>16859.734062307452</v>
      </c>
      <c r="AQ256" s="8">
        <f t="shared" ca="1" si="408"/>
        <v>17955.094751302746</v>
      </c>
      <c r="AR256" s="8">
        <f t="shared" ca="1" si="408"/>
        <v>19031.868452694409</v>
      </c>
      <c r="AS256" s="8">
        <f t="shared" ca="1" si="408"/>
        <v>19982.980006047881</v>
      </c>
      <c r="AT256" s="8">
        <f t="shared" ref="AT256" ca="1" si="409">AT375</f>
        <v>20981.615012450278</v>
      </c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</row>
    <row r="257" spans="1:66" ht="14.25" customHeight="1" x14ac:dyDescent="0.3">
      <c r="A257" s="7"/>
      <c r="B257" s="7" t="s">
        <v>252</v>
      </c>
      <c r="D257" s="15" t="s">
        <v>4</v>
      </c>
      <c r="E257" s="7"/>
      <c r="F257" s="7"/>
      <c r="G257" s="7"/>
      <c r="H257" s="7"/>
      <c r="I257" s="7"/>
      <c r="J257" s="55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7"/>
      <c r="AI257" s="8">
        <f>AI445+AI459-AI473</f>
        <v>292561.28834124998</v>
      </c>
      <c r="AJ257" s="8">
        <f t="shared" ref="AJ257:AT257" si="410">AI257-AJ473</f>
        <v>268792.03106424998</v>
      </c>
      <c r="AK257" s="8">
        <f t="shared" si="410"/>
        <v>245022.77378724999</v>
      </c>
      <c r="AL257" s="8">
        <f t="shared" si="410"/>
        <v>221253.51651024999</v>
      </c>
      <c r="AM257" s="8">
        <f t="shared" si="410"/>
        <v>197484.25923324999</v>
      </c>
      <c r="AN257" s="8">
        <f t="shared" si="410"/>
        <v>178518.33528958331</v>
      </c>
      <c r="AO257" s="8">
        <f t="shared" si="410"/>
        <v>166277.07801258331</v>
      </c>
      <c r="AP257" s="8">
        <f t="shared" si="410"/>
        <v>154035.82073558331</v>
      </c>
      <c r="AQ257" s="8">
        <f t="shared" si="410"/>
        <v>141794.56345858332</v>
      </c>
      <c r="AR257" s="8">
        <f t="shared" si="410"/>
        <v>129553.30618158332</v>
      </c>
      <c r="AS257" s="8">
        <f t="shared" si="410"/>
        <v>117312.04890458332</v>
      </c>
      <c r="AT257" s="8">
        <f t="shared" si="410"/>
        <v>105070.79162758333</v>
      </c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</row>
    <row r="258" spans="1:66" ht="14.25" customHeight="1" x14ac:dyDescent="0.3">
      <c r="A258" s="7"/>
      <c r="B258" s="7" t="s">
        <v>73</v>
      </c>
      <c r="C258" s="7"/>
      <c r="D258" s="15" t="s">
        <v>4</v>
      </c>
      <c r="E258" s="7"/>
      <c r="F258" s="7"/>
      <c r="G258" s="7"/>
      <c r="H258" s="7"/>
      <c r="I258" s="7"/>
      <c r="J258" s="55">
        <f>J108</f>
        <v>0</v>
      </c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7"/>
      <c r="AI258" s="8">
        <f t="shared" ref="AI258:AT258" si="411">SUM(AI127:AI130)</f>
        <v>119100</v>
      </c>
      <c r="AJ258" s="8">
        <f t="shared" ca="1" si="411"/>
        <v>236948.0865084375</v>
      </c>
      <c r="AK258" s="8">
        <f t="shared" ca="1" si="411"/>
        <v>220352.57098613499</v>
      </c>
      <c r="AL258" s="8">
        <f t="shared" ca="1" si="411"/>
        <v>285911.07181282237</v>
      </c>
      <c r="AM258" s="8">
        <f t="shared" ca="1" si="411"/>
        <v>385783.74047427863</v>
      </c>
      <c r="AN258" s="8">
        <f t="shared" ca="1" si="411"/>
        <v>509605.60173818888</v>
      </c>
      <c r="AO258" s="8">
        <f t="shared" ca="1" si="411"/>
        <v>561944.64188362507</v>
      </c>
      <c r="AP258" s="8">
        <f t="shared" ca="1" si="411"/>
        <v>606900.21323431516</v>
      </c>
      <c r="AQ258" s="8">
        <f t="shared" ca="1" si="411"/>
        <v>649383.22816071718</v>
      </c>
      <c r="AR258" s="8">
        <f t="shared" ca="1" si="411"/>
        <v>691593.13799116388</v>
      </c>
      <c r="AS258" s="8">
        <f t="shared" ca="1" si="411"/>
        <v>733088.72627063352</v>
      </c>
      <c r="AT258" s="8">
        <f t="shared" ca="1" si="411"/>
        <v>769743.16258416534</v>
      </c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</row>
    <row r="259" spans="1:66" ht="14.25" customHeight="1" x14ac:dyDescent="0.3">
      <c r="A259" s="7"/>
      <c r="B259" s="7" t="s">
        <v>722</v>
      </c>
      <c r="C259" s="7"/>
      <c r="D259" s="15" t="s">
        <v>4</v>
      </c>
      <c r="E259" s="7"/>
      <c r="F259" s="7"/>
      <c r="G259" s="7"/>
      <c r="H259" s="7"/>
      <c r="I259" s="7"/>
      <c r="J259" s="55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7"/>
      <c r="AI259" s="8">
        <v>0</v>
      </c>
      <c r="AJ259" s="8">
        <v>0</v>
      </c>
      <c r="AK259" s="8">
        <v>0</v>
      </c>
      <c r="AL259" s="8">
        <v>0</v>
      </c>
      <c r="AM259" s="8">
        <v>0</v>
      </c>
      <c r="AN259" s="8">
        <v>0</v>
      </c>
      <c r="AO259" s="8">
        <v>0</v>
      </c>
      <c r="AP259" s="8">
        <v>0</v>
      </c>
      <c r="AQ259" s="8">
        <v>0</v>
      </c>
      <c r="AR259" s="8">
        <v>0</v>
      </c>
      <c r="AS259" s="8">
        <v>0</v>
      </c>
      <c r="AT259" s="8">
        <v>0</v>
      </c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</row>
    <row r="260" spans="1:66" ht="14.25" customHeight="1" x14ac:dyDescent="0.3">
      <c r="A260" s="7"/>
      <c r="B260" s="7" t="s">
        <v>253</v>
      </c>
      <c r="C260" s="7"/>
      <c r="D260" s="15" t="s">
        <v>4</v>
      </c>
      <c r="E260" s="7"/>
      <c r="F260" s="7"/>
      <c r="G260" s="7"/>
      <c r="H260" s="7"/>
      <c r="I260" s="7"/>
      <c r="J260" s="55">
        <f ca="1">(J274+J268)-J261</f>
        <v>315271.34499225003</v>
      </c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7"/>
      <c r="AI260" s="8">
        <f>IF(Input!$F$11=1,0,AI131)</f>
        <v>0</v>
      </c>
      <c r="AJ260" s="8">
        <f ca="1">IF(Input!$F$11=1,AI260-AI131,AJ131)</f>
        <v>-117848.0865084375</v>
      </c>
      <c r="AK260" s="8">
        <f ca="1">IF(Input!$F$11=1,AJ260-AJ131,AK131)</f>
        <v>-101252.57098613499</v>
      </c>
      <c r="AL260" s="8">
        <f ca="1">IF(Input!$F$11=1,AK260-AK131,AL131)</f>
        <v>-166811.07181282237</v>
      </c>
      <c r="AM260" s="8">
        <f ca="1">IF(Input!$F$11=1,AL260-AL131,AM131)</f>
        <v>-266683.74047427869</v>
      </c>
      <c r="AN260" s="8">
        <f ca="1">IF(Input!$F$11=1,AM260-AM131,AN131)</f>
        <v>-390505.60173818894</v>
      </c>
      <c r="AO260" s="8">
        <f ca="1">IF(Input!$F$11=1,AN260-AN131,AO131)</f>
        <v>-442844.64188362513</v>
      </c>
      <c r="AP260" s="8">
        <f ca="1">IF(Input!$F$11=1,AO260-AO131,AP131)</f>
        <v>-487800.21323431516</v>
      </c>
      <c r="AQ260" s="8">
        <f ca="1">IF(Input!$F$11=1,AP260-AP131,AQ131)</f>
        <v>-530283.22816071729</v>
      </c>
      <c r="AR260" s="8">
        <f ca="1">IF(Input!$F$11=1,AQ260-AQ131,AR131)</f>
        <v>-572493.13799116388</v>
      </c>
      <c r="AS260" s="8">
        <f ca="1">IF(Input!$F$11=1,AR260-AR131,AS131)</f>
        <v>-613988.72627063363</v>
      </c>
      <c r="AT260" s="8">
        <f ca="1">IF(Input!$F$11=1,AS260-AS131,AT131)</f>
        <v>-650643.16258416546</v>
      </c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</row>
    <row r="261" spans="1:66" ht="14.25" customHeight="1" x14ac:dyDescent="0.3">
      <c r="A261" s="7"/>
      <c r="B261" s="5" t="s">
        <v>254</v>
      </c>
      <c r="C261" s="7"/>
      <c r="D261" s="14" t="s">
        <v>4</v>
      </c>
      <c r="E261" s="7"/>
      <c r="F261" s="7"/>
      <c r="G261" s="7"/>
      <c r="H261" s="7"/>
      <c r="I261" s="7"/>
      <c r="J261" s="104">
        <f ca="1">SUM(J253:J258)</f>
        <v>105266.07123194444</v>
      </c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7"/>
      <c r="AI261" s="12">
        <f t="shared" ref="AI261:AS261" ca="1" si="412">SUM(AI253:AI260)</f>
        <v>455899.77206159133</v>
      </c>
      <c r="AJ261" s="12">
        <f ca="1">SUM(AJ253:AJ260)</f>
        <v>438881.25271396106</v>
      </c>
      <c r="AK261" s="12">
        <f t="shared" ca="1" si="412"/>
        <v>421176.62664485484</v>
      </c>
      <c r="AL261" s="12">
        <f t="shared" ca="1" si="412"/>
        <v>441115.1673644624</v>
      </c>
      <c r="AM261" s="12">
        <f t="shared" ca="1" si="412"/>
        <v>498204.68894497363</v>
      </c>
      <c r="AN261" s="12">
        <f t="shared" ca="1" si="412"/>
        <v>604247.44510048302</v>
      </c>
      <c r="AO261" s="12">
        <f t="shared" ca="1" si="412"/>
        <v>726848.83871453488</v>
      </c>
      <c r="AP261" s="12">
        <f t="shared" ca="1" si="412"/>
        <v>862119.70224024169</v>
      </c>
      <c r="AQ261" s="12">
        <f t="shared" ca="1" si="412"/>
        <v>873689.39415555005</v>
      </c>
      <c r="AR261" s="12">
        <f t="shared" ca="1" si="412"/>
        <v>896751.19911406282</v>
      </c>
      <c r="AS261" s="12">
        <f t="shared" ca="1" si="412"/>
        <v>1062831.0465474254</v>
      </c>
      <c r="AT261" s="12">
        <f t="shared" ref="AT261" ca="1" si="413">SUM(AT253:AT260)</f>
        <v>1287917.8916554549</v>
      </c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</row>
    <row r="262" spans="1:66" ht="14.2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7"/>
      <c r="AI262" s="100"/>
      <c r="AJ262" s="101"/>
      <c r="AK262" s="101"/>
      <c r="AL262" s="101"/>
      <c r="AM262" s="101"/>
      <c r="AN262" s="100"/>
      <c r="AO262" s="100"/>
      <c r="AP262" s="100"/>
      <c r="AQ262" s="100"/>
      <c r="AR262" s="100"/>
      <c r="AS262" s="100"/>
      <c r="AT262" s="100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</row>
    <row r="263" spans="1:66" ht="14.25" customHeight="1" x14ac:dyDescent="0.3">
      <c r="A263" s="7"/>
      <c r="B263" s="5" t="s">
        <v>74</v>
      </c>
      <c r="C263" s="7"/>
      <c r="D263" s="7"/>
      <c r="E263" s="7"/>
      <c r="F263" s="7"/>
      <c r="G263" s="7"/>
      <c r="H263" s="7"/>
      <c r="I263" s="7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7"/>
      <c r="AI263" s="100"/>
      <c r="AJ263" s="100"/>
      <c r="AK263" s="100"/>
      <c r="AL263" s="100"/>
      <c r="AM263" s="100"/>
      <c r="AN263" s="100"/>
      <c r="AO263" s="100"/>
      <c r="AP263" s="100"/>
      <c r="AQ263" s="100"/>
      <c r="AR263" s="100"/>
      <c r="AS263" s="100"/>
      <c r="AT263" s="100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</row>
    <row r="264" spans="1:66" ht="14.25" customHeight="1" x14ac:dyDescent="0.3">
      <c r="A264" s="7"/>
      <c r="B264" s="7" t="s">
        <v>255</v>
      </c>
      <c r="C264" s="7"/>
      <c r="D264" s="15" t="s">
        <v>4</v>
      </c>
      <c r="E264" s="7"/>
      <c r="F264" s="7"/>
      <c r="G264" s="7"/>
      <c r="H264" s="7"/>
      <c r="I264" s="7"/>
      <c r="J264" s="55">
        <v>0</v>
      </c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7"/>
      <c r="AI264" s="8">
        <v>0</v>
      </c>
      <c r="AJ264" s="8">
        <v>0</v>
      </c>
      <c r="AK264" s="8">
        <v>0</v>
      </c>
      <c r="AL264" s="8">
        <v>0</v>
      </c>
      <c r="AM264" s="8">
        <v>0</v>
      </c>
      <c r="AN264" s="8">
        <v>0</v>
      </c>
      <c r="AO264" s="8">
        <v>0</v>
      </c>
      <c r="AP264" s="8">
        <v>0</v>
      </c>
      <c r="AQ264" s="8">
        <v>0</v>
      </c>
      <c r="AR264" s="8">
        <v>0</v>
      </c>
      <c r="AS264" s="8">
        <v>0</v>
      </c>
      <c r="AT264" s="8">
        <v>0</v>
      </c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</row>
    <row r="265" spans="1:66" ht="14.25" customHeight="1" x14ac:dyDescent="0.3">
      <c r="A265" s="7"/>
      <c r="B265" s="7" t="s">
        <v>256</v>
      </c>
      <c r="C265" s="7"/>
      <c r="D265" s="15" t="s">
        <v>4</v>
      </c>
      <c r="E265" s="7"/>
      <c r="F265" s="7"/>
      <c r="G265" s="7"/>
      <c r="H265" s="7"/>
      <c r="I265" s="7"/>
      <c r="J265" s="55">
        <v>0</v>
      </c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7"/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</row>
    <row r="266" spans="1:66" ht="14.25" customHeight="1" x14ac:dyDescent="0.3">
      <c r="A266" s="7"/>
      <c r="B266" s="7" t="s">
        <v>257</v>
      </c>
      <c r="C266" s="7"/>
      <c r="D266" s="15" t="s">
        <v>4</v>
      </c>
      <c r="E266" s="7"/>
      <c r="F266" s="7"/>
      <c r="G266" s="7"/>
      <c r="H266" s="7"/>
      <c r="I266" s="7"/>
      <c r="J266" s="55">
        <f ca="1">J314</f>
        <v>13147.486102342509</v>
      </c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7"/>
      <c r="AI266" s="8">
        <f t="shared" ref="AI266:AS266" ca="1" si="414">AI314</f>
        <v>16062.139473125866</v>
      </c>
      <c r="AJ266" s="8">
        <f t="shared" ca="1" si="414"/>
        <v>49110.677619200171</v>
      </c>
      <c r="AK266" s="8">
        <f t="shared" ca="1" si="414"/>
        <v>72559.12829507151</v>
      </c>
      <c r="AL266" s="8">
        <f t="shared" ca="1" si="414"/>
        <v>130989.04000017836</v>
      </c>
      <c r="AM266" s="8">
        <f t="shared" ca="1" si="414"/>
        <v>199222.36794531834</v>
      </c>
      <c r="AN266" s="8">
        <f t="shared" ca="1" si="414"/>
        <v>224475.33989894463</v>
      </c>
      <c r="AO266" s="8">
        <f t="shared" ca="1" si="414"/>
        <v>242605.35620007719</v>
      </c>
      <c r="AP266" s="8">
        <f t="shared" ca="1" si="414"/>
        <v>260297.26514005766</v>
      </c>
      <c r="AQ266" s="8">
        <f t="shared" ca="1" si="414"/>
        <v>134423.33074478788</v>
      </c>
      <c r="AR266" s="8">
        <f t="shared" ca="1" si="414"/>
        <v>0</v>
      </c>
      <c r="AS266" s="8">
        <f t="shared" ca="1" si="414"/>
        <v>0</v>
      </c>
      <c r="AT266" s="8">
        <f t="shared" ref="AT266" ca="1" si="415">AT314</f>
        <v>0</v>
      </c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</row>
    <row r="267" spans="1:66" ht="14.25" customHeight="1" x14ac:dyDescent="0.3">
      <c r="A267" s="7"/>
      <c r="B267" s="7" t="s">
        <v>720</v>
      </c>
      <c r="C267" s="7"/>
      <c r="D267" s="15" t="s">
        <v>4</v>
      </c>
      <c r="E267" s="7"/>
      <c r="F267" s="7"/>
      <c r="G267" s="7"/>
      <c r="H267" s="7"/>
      <c r="I267" s="7"/>
      <c r="J267" s="55">
        <f>J290</f>
        <v>358330.37370900001</v>
      </c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7"/>
      <c r="AI267" s="8">
        <f t="shared" ref="AI267:AT267" si="416">AI290+AI300</f>
        <v>358330.37370900001</v>
      </c>
      <c r="AJ267" s="8">
        <f t="shared" si="416"/>
        <v>358330.37370900001</v>
      </c>
      <c r="AK267" s="8">
        <f t="shared" si="416"/>
        <v>318914.03260101</v>
      </c>
      <c r="AL267" s="8">
        <f t="shared" si="416"/>
        <v>279497.69149301999</v>
      </c>
      <c r="AM267" s="8">
        <f t="shared" si="416"/>
        <v>240081.35038502997</v>
      </c>
      <c r="AN267" s="8">
        <f t="shared" si="416"/>
        <v>200665.00927703996</v>
      </c>
      <c r="AO267" s="8">
        <f t="shared" si="416"/>
        <v>161248.66816904995</v>
      </c>
      <c r="AP267" s="8">
        <f t="shared" si="416"/>
        <v>121832.32706105994</v>
      </c>
      <c r="AQ267" s="8">
        <f t="shared" si="416"/>
        <v>82415.985953069932</v>
      </c>
      <c r="AR267" s="8">
        <f t="shared" si="416"/>
        <v>42999.644845079929</v>
      </c>
      <c r="AS267" s="8">
        <f t="shared" si="416"/>
        <v>-7.2759576141834259E-11</v>
      </c>
      <c r="AT267" s="8">
        <f t="shared" si="416"/>
        <v>-7.2759576141834259E-11</v>
      </c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</row>
    <row r="268" spans="1:66" ht="14.25" customHeight="1" x14ac:dyDescent="0.3">
      <c r="A268" s="7"/>
      <c r="B268" s="5" t="s">
        <v>258</v>
      </c>
      <c r="C268" s="7"/>
      <c r="D268" s="14" t="s">
        <v>4</v>
      </c>
      <c r="E268" s="7"/>
      <c r="F268" s="7"/>
      <c r="G268" s="7"/>
      <c r="H268" s="7"/>
      <c r="I268" s="7"/>
      <c r="J268" s="104">
        <f ca="1">SUM(J264:J267)</f>
        <v>371477.8598113425</v>
      </c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7"/>
      <c r="AI268" s="12">
        <f t="shared" ref="AI268:AS268" ca="1" si="417">SUM(AI264:AI267)</f>
        <v>374392.51318212587</v>
      </c>
      <c r="AJ268" s="12">
        <f t="shared" ca="1" si="417"/>
        <v>407441.05132820015</v>
      </c>
      <c r="AK268" s="12">
        <f t="shared" ca="1" si="417"/>
        <v>391473.16089608148</v>
      </c>
      <c r="AL268" s="12">
        <f t="shared" ca="1" si="417"/>
        <v>410486.73149319831</v>
      </c>
      <c r="AM268" s="12">
        <f t="shared" ca="1" si="417"/>
        <v>439303.71833034832</v>
      </c>
      <c r="AN268" s="12">
        <f t="shared" ca="1" si="417"/>
        <v>425140.34917598462</v>
      </c>
      <c r="AO268" s="12">
        <f t="shared" ca="1" si="417"/>
        <v>403854.02436912712</v>
      </c>
      <c r="AP268" s="12">
        <f t="shared" ca="1" si="417"/>
        <v>382129.5922011176</v>
      </c>
      <c r="AQ268" s="12">
        <f t="shared" ca="1" si="417"/>
        <v>216839.31669785781</v>
      </c>
      <c r="AR268" s="12">
        <f t="shared" ca="1" si="417"/>
        <v>42999.644845079929</v>
      </c>
      <c r="AS268" s="12">
        <f t="shared" ca="1" si="417"/>
        <v>-7.2759576141834259E-11</v>
      </c>
      <c r="AT268" s="12">
        <f t="shared" ref="AT268" ca="1" si="418">SUM(AT264:AT267)</f>
        <v>-7.2759576141834259E-11</v>
      </c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</row>
    <row r="269" spans="1:66" ht="14.2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7"/>
      <c r="AI269" s="100"/>
      <c r="AJ269" s="101"/>
      <c r="AK269" s="100"/>
      <c r="AL269" s="100"/>
      <c r="AM269" s="100"/>
      <c r="AN269" s="100"/>
      <c r="AO269" s="100"/>
      <c r="AP269" s="100"/>
      <c r="AQ269" s="100"/>
      <c r="AR269" s="100"/>
      <c r="AS269" s="100"/>
      <c r="AT269" s="100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</row>
    <row r="270" spans="1:66" ht="14.25" customHeight="1" x14ac:dyDescent="0.3">
      <c r="A270" s="7"/>
      <c r="B270" s="5" t="s">
        <v>259</v>
      </c>
      <c r="C270" s="7"/>
      <c r="D270" s="7"/>
      <c r="E270" s="7"/>
      <c r="F270" s="7"/>
      <c r="G270" s="7"/>
      <c r="H270" s="7"/>
      <c r="I270" s="7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7"/>
      <c r="AI270" s="100"/>
      <c r="AJ270" s="100"/>
      <c r="AK270" s="100"/>
      <c r="AL270" s="100"/>
      <c r="AM270" s="100"/>
      <c r="AN270" s="100"/>
      <c r="AO270" s="100"/>
      <c r="AP270" s="100"/>
      <c r="AQ270" s="100"/>
      <c r="AR270" s="100"/>
      <c r="AS270" s="100"/>
      <c r="AT270" s="100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</row>
    <row r="271" spans="1:66" ht="14.25" customHeight="1" x14ac:dyDescent="0.3">
      <c r="A271" s="7"/>
      <c r="B271" s="7" t="s">
        <v>260</v>
      </c>
      <c r="C271" s="7"/>
      <c r="D271" s="15" t="s">
        <v>4</v>
      </c>
      <c r="E271" s="7"/>
      <c r="F271" s="7"/>
      <c r="G271" s="7"/>
      <c r="H271" s="7"/>
      <c r="I271" s="7"/>
      <c r="J271" s="68">
        <f>M10+M11</f>
        <v>0</v>
      </c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7"/>
      <c r="AI271" s="88">
        <f>Input!F39</f>
        <v>63234.771830999998</v>
      </c>
      <c r="AJ271" s="88">
        <f t="shared" ref="AJ271:AT271" si="419">AI271</f>
        <v>63234.771830999998</v>
      </c>
      <c r="AK271" s="88">
        <f t="shared" si="419"/>
        <v>63234.771830999998</v>
      </c>
      <c r="AL271" s="88">
        <f t="shared" si="419"/>
        <v>63234.771830999998</v>
      </c>
      <c r="AM271" s="88">
        <f t="shared" si="419"/>
        <v>63234.771830999998</v>
      </c>
      <c r="AN271" s="88">
        <f t="shared" si="419"/>
        <v>63234.771830999998</v>
      </c>
      <c r="AO271" s="88">
        <f t="shared" si="419"/>
        <v>63234.771830999998</v>
      </c>
      <c r="AP271" s="88">
        <f t="shared" si="419"/>
        <v>63234.771830999998</v>
      </c>
      <c r="AQ271" s="88">
        <f t="shared" si="419"/>
        <v>63234.771830999998</v>
      </c>
      <c r="AR271" s="88">
        <f t="shared" si="419"/>
        <v>63234.771830999998</v>
      </c>
      <c r="AS271" s="88">
        <f t="shared" si="419"/>
        <v>63234.771830999998</v>
      </c>
      <c r="AT271" s="88">
        <f t="shared" si="419"/>
        <v>63234.771830999998</v>
      </c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</row>
    <row r="272" spans="1:66" ht="14.25" customHeight="1" x14ac:dyDescent="0.3">
      <c r="A272" s="7"/>
      <c r="B272" s="7" t="s">
        <v>261</v>
      </c>
      <c r="C272" s="7"/>
      <c r="D272" s="15" t="s">
        <v>4</v>
      </c>
      <c r="E272" s="7"/>
      <c r="F272" s="7"/>
      <c r="G272" s="7"/>
      <c r="H272" s="7"/>
      <c r="I272" s="7"/>
      <c r="J272" s="68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7"/>
      <c r="AI272" s="88">
        <f t="shared" ref="AI272:AT272" ca="1" si="420">AI240</f>
        <v>18272.487048465453</v>
      </c>
      <c r="AJ272" s="88">
        <f t="shared" ca="1" si="420"/>
        <v>-50067.057493704524</v>
      </c>
      <c r="AK272" s="88">
        <f t="shared" ca="1" si="420"/>
        <v>-1736.7356369876106</v>
      </c>
      <c r="AL272" s="88">
        <f t="shared" ca="1" si="420"/>
        <v>924.97012249071554</v>
      </c>
      <c r="AM272" s="88">
        <f t="shared" ca="1" si="420"/>
        <v>28272.534743361262</v>
      </c>
      <c r="AN272" s="88">
        <f t="shared" ca="1" si="420"/>
        <v>120206.12530987321</v>
      </c>
      <c r="AO272" s="88">
        <f t="shared" ca="1" si="420"/>
        <v>143887.71842090908</v>
      </c>
      <c r="AP272" s="88">
        <f t="shared" ca="1" si="420"/>
        <v>156995.29569371635</v>
      </c>
      <c r="AQ272" s="88">
        <f t="shared" ca="1" si="420"/>
        <v>176859.9674185683</v>
      </c>
      <c r="AR272" s="88">
        <f t="shared" ca="1" si="420"/>
        <v>196901.47681129054</v>
      </c>
      <c r="AS272" s="88">
        <f t="shared" ca="1" si="420"/>
        <v>209079.49227844254</v>
      </c>
      <c r="AT272" s="88">
        <f t="shared" ca="1" si="420"/>
        <v>225086.84510802949</v>
      </c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</row>
    <row r="273" spans="1:66" ht="14.25" customHeight="1" x14ac:dyDescent="0.3">
      <c r="A273" s="7"/>
      <c r="B273" s="7" t="s">
        <v>262</v>
      </c>
      <c r="C273" s="7"/>
      <c r="D273" s="15" t="s">
        <v>4</v>
      </c>
      <c r="E273" s="7"/>
      <c r="F273" s="7"/>
      <c r="G273" s="7"/>
      <c r="H273" s="7"/>
      <c r="I273" s="7"/>
      <c r="J273" s="55">
        <f ca="1">J240</f>
        <v>49059.556412851991</v>
      </c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55"/>
      <c r="AI273" s="8">
        <v>0</v>
      </c>
      <c r="AJ273" s="8">
        <f ca="1">AI272</f>
        <v>18272.487048465453</v>
      </c>
      <c r="AK273" s="8">
        <f ca="1">AJ272+AJ273</f>
        <v>-31794.570445239071</v>
      </c>
      <c r="AL273" s="8">
        <f t="shared" ref="AL273:AT273" ca="1" si="421">AK272+AK273</f>
        <v>-33531.306082226685</v>
      </c>
      <c r="AM273" s="8">
        <f t="shared" ca="1" si="421"/>
        <v>-32606.33595973597</v>
      </c>
      <c r="AN273" s="8">
        <f t="shared" ca="1" si="421"/>
        <v>-4333.801216374708</v>
      </c>
      <c r="AO273" s="8">
        <f t="shared" ca="1" si="421"/>
        <v>115872.32409349851</v>
      </c>
      <c r="AP273" s="8">
        <f t="shared" ca="1" si="421"/>
        <v>259760.0425144076</v>
      </c>
      <c r="AQ273" s="8">
        <f t="shared" ca="1" si="421"/>
        <v>416755.33820812393</v>
      </c>
      <c r="AR273" s="8">
        <f t="shared" ca="1" si="421"/>
        <v>593615.30562669225</v>
      </c>
      <c r="AS273" s="8">
        <f t="shared" ca="1" si="421"/>
        <v>790516.78243798274</v>
      </c>
      <c r="AT273" s="8">
        <f t="shared" ca="1" si="421"/>
        <v>999596.27471642522</v>
      </c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</row>
    <row r="274" spans="1:66" ht="13.5" customHeight="1" x14ac:dyDescent="0.3">
      <c r="A274" s="7"/>
      <c r="B274" s="5" t="s">
        <v>264</v>
      </c>
      <c r="C274" s="7"/>
      <c r="D274" s="14" t="s">
        <v>4</v>
      </c>
      <c r="E274" s="7"/>
      <c r="F274" s="7"/>
      <c r="G274" s="7"/>
      <c r="H274" s="7"/>
      <c r="I274" s="7"/>
      <c r="J274" s="70">
        <f ca="1">SUM(J271:J273)</f>
        <v>49059.556412851991</v>
      </c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7"/>
      <c r="AI274" s="124">
        <f t="shared" ref="AI274:AT274" ca="1" si="422">SUM(AI271:AI273)</f>
        <v>81507.258879465458</v>
      </c>
      <c r="AJ274" s="124">
        <f t="shared" ca="1" si="422"/>
        <v>31440.201385760927</v>
      </c>
      <c r="AK274" s="124">
        <f t="shared" ca="1" si="422"/>
        <v>29703.465748773313</v>
      </c>
      <c r="AL274" s="124">
        <f t="shared" ca="1" si="422"/>
        <v>30628.435871264031</v>
      </c>
      <c r="AM274" s="124">
        <f t="shared" ca="1" si="422"/>
        <v>58900.970614625287</v>
      </c>
      <c r="AN274" s="124">
        <f t="shared" ca="1" si="422"/>
        <v>179107.09592449851</v>
      </c>
      <c r="AO274" s="124">
        <f t="shared" ca="1" si="422"/>
        <v>322994.81434540759</v>
      </c>
      <c r="AP274" s="124">
        <f t="shared" ca="1" si="422"/>
        <v>479990.11003912392</v>
      </c>
      <c r="AQ274" s="124">
        <f t="shared" ca="1" si="422"/>
        <v>656850.07745769224</v>
      </c>
      <c r="AR274" s="124">
        <f t="shared" ca="1" si="422"/>
        <v>853751.55426898273</v>
      </c>
      <c r="AS274" s="124">
        <f t="shared" ca="1" si="422"/>
        <v>1062831.0465474252</v>
      </c>
      <c r="AT274" s="124">
        <f t="shared" ca="1" si="422"/>
        <v>1287917.8916554546</v>
      </c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</row>
    <row r="275" spans="1:66" ht="14.25" customHeight="1" x14ac:dyDescent="0.3">
      <c r="A275" s="7"/>
      <c r="B275" s="5" t="s">
        <v>265</v>
      </c>
      <c r="C275" s="5"/>
      <c r="D275" s="14" t="s">
        <v>4</v>
      </c>
      <c r="E275" s="5"/>
      <c r="F275" s="5"/>
      <c r="G275" s="5"/>
      <c r="H275" s="5"/>
      <c r="I275" s="5"/>
      <c r="J275" s="104">
        <f ca="1">J268+J274</f>
        <v>420537.41622419446</v>
      </c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5"/>
      <c r="AI275" s="12">
        <f t="shared" ref="AI275:AT275" ca="1" si="423">AI268+AI274</f>
        <v>455899.77206159133</v>
      </c>
      <c r="AJ275" s="12">
        <f t="shared" ca="1" si="423"/>
        <v>438881.25271396106</v>
      </c>
      <c r="AK275" s="12">
        <f t="shared" ca="1" si="423"/>
        <v>421176.62664485478</v>
      </c>
      <c r="AL275" s="12">
        <f t="shared" ca="1" si="423"/>
        <v>441115.16736446234</v>
      </c>
      <c r="AM275" s="12">
        <f t="shared" ca="1" si="423"/>
        <v>498204.68894497363</v>
      </c>
      <c r="AN275" s="12">
        <f t="shared" ca="1" si="423"/>
        <v>604247.44510048314</v>
      </c>
      <c r="AO275" s="12">
        <f t="shared" ca="1" si="423"/>
        <v>726848.83871453465</v>
      </c>
      <c r="AP275" s="12">
        <f t="shared" ca="1" si="423"/>
        <v>862119.70224024146</v>
      </c>
      <c r="AQ275" s="12">
        <f t="shared" ca="1" si="423"/>
        <v>873689.39415555005</v>
      </c>
      <c r="AR275" s="12">
        <f t="shared" ca="1" si="423"/>
        <v>896751.19911406271</v>
      </c>
      <c r="AS275" s="12">
        <f t="shared" ca="1" si="423"/>
        <v>1062831.0465474252</v>
      </c>
      <c r="AT275" s="12">
        <f t="shared" ca="1" si="423"/>
        <v>1287917.8916554546</v>
      </c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</row>
    <row r="276" spans="1:66" ht="14.2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7"/>
      <c r="AI276" s="101"/>
      <c r="AJ276" s="100"/>
      <c r="AK276" s="100"/>
      <c r="AL276" s="100"/>
      <c r="AM276" s="100"/>
      <c r="AN276" s="100"/>
      <c r="AO276" s="100"/>
      <c r="AP276" s="100"/>
      <c r="AQ276" s="100"/>
      <c r="AR276" s="100"/>
      <c r="AS276" s="100"/>
      <c r="AT276" s="100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</row>
    <row r="277" spans="1:66" ht="14.25" customHeight="1" x14ac:dyDescent="0.3">
      <c r="A277" s="10"/>
      <c r="B277" s="10" t="s">
        <v>266</v>
      </c>
      <c r="C277" s="10"/>
      <c r="D277" s="10"/>
      <c r="E277" s="10"/>
      <c r="F277" s="10"/>
      <c r="G277" s="10"/>
      <c r="H277" s="10"/>
      <c r="I277" s="10"/>
      <c r="J277" s="101">
        <f ca="1">J261-J275</f>
        <v>-315271.34499225003</v>
      </c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"/>
      <c r="AI277" s="101">
        <f t="shared" ref="AI277:AT277" ca="1" si="424">AI261-AI275</f>
        <v>0</v>
      </c>
      <c r="AJ277" s="101">
        <f t="shared" ca="1" si="424"/>
        <v>0</v>
      </c>
      <c r="AK277" s="101">
        <f t="shared" ca="1" si="424"/>
        <v>0</v>
      </c>
      <c r="AL277" s="101">
        <f t="shared" ca="1" si="424"/>
        <v>0</v>
      </c>
      <c r="AM277" s="101">
        <f t="shared" ca="1" si="424"/>
        <v>0</v>
      </c>
      <c r="AN277" s="101">
        <f t="shared" ca="1" si="424"/>
        <v>0</v>
      </c>
      <c r="AO277" s="101">
        <f t="shared" ca="1" si="424"/>
        <v>0</v>
      </c>
      <c r="AP277" s="101">
        <f t="shared" ca="1" si="424"/>
        <v>0</v>
      </c>
      <c r="AQ277" s="101">
        <f t="shared" ca="1" si="424"/>
        <v>0</v>
      </c>
      <c r="AR277" s="101">
        <f t="shared" ca="1" si="424"/>
        <v>0</v>
      </c>
      <c r="AS277" s="101">
        <f t="shared" ca="1" si="424"/>
        <v>0</v>
      </c>
      <c r="AT277" s="101">
        <f t="shared" ca="1" si="424"/>
        <v>0</v>
      </c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</row>
    <row r="278" spans="1:66" ht="14.2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7"/>
      <c r="AI278" s="100"/>
      <c r="AJ278" s="100"/>
      <c r="AK278" s="100"/>
      <c r="AL278" s="100"/>
      <c r="AM278" s="100"/>
      <c r="AN278" s="100"/>
      <c r="AO278" s="100"/>
      <c r="AP278" s="100"/>
      <c r="AQ278" s="100"/>
      <c r="AR278" s="100"/>
      <c r="AS278" s="100"/>
      <c r="AT278" s="100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</row>
    <row r="279" spans="1:66" ht="13.5" customHeight="1" x14ac:dyDescent="0.3">
      <c r="A279" s="3" t="s">
        <v>0</v>
      </c>
      <c r="B279" s="3" t="s">
        <v>267</v>
      </c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  <c r="AO279" s="122"/>
      <c r="AP279" s="122"/>
      <c r="AQ279" s="122"/>
      <c r="AR279" s="122"/>
      <c r="AS279" s="122"/>
      <c r="AT279" s="122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</row>
    <row r="280" spans="1:66" ht="15.75" customHeight="1" x14ac:dyDescent="0.3">
      <c r="A280" s="7"/>
      <c r="B280" s="5" t="s">
        <v>268</v>
      </c>
      <c r="C280" s="7"/>
      <c r="D280" s="7"/>
      <c r="E280" s="7"/>
      <c r="F280" s="7"/>
      <c r="G280" s="7"/>
      <c r="H280" s="7"/>
      <c r="I280" s="7"/>
      <c r="J280" s="83">
        <f t="shared" ref="J280:AG280" si="425">J173</f>
        <v>46265</v>
      </c>
      <c r="K280" s="83">
        <f t="shared" si="425"/>
        <v>46295</v>
      </c>
      <c r="L280" s="83">
        <f t="shared" si="425"/>
        <v>46325</v>
      </c>
      <c r="M280" s="83">
        <f t="shared" si="425"/>
        <v>46356</v>
      </c>
      <c r="N280" s="83">
        <f t="shared" si="425"/>
        <v>46386</v>
      </c>
      <c r="O280" s="83">
        <f t="shared" si="425"/>
        <v>46417</v>
      </c>
      <c r="P280" s="83">
        <f t="shared" si="425"/>
        <v>46446</v>
      </c>
      <c r="Q280" s="83">
        <f t="shared" si="425"/>
        <v>46474</v>
      </c>
      <c r="R280" s="83">
        <f t="shared" si="425"/>
        <v>46505</v>
      </c>
      <c r="S280" s="83">
        <f t="shared" si="425"/>
        <v>46535</v>
      </c>
      <c r="T280" s="83">
        <f t="shared" si="425"/>
        <v>46566</v>
      </c>
      <c r="U280" s="83">
        <f t="shared" si="425"/>
        <v>46596</v>
      </c>
      <c r="V280" s="83">
        <f t="shared" si="425"/>
        <v>46627</v>
      </c>
      <c r="W280" s="83">
        <f t="shared" si="425"/>
        <v>46658</v>
      </c>
      <c r="X280" s="83">
        <f t="shared" si="425"/>
        <v>46688</v>
      </c>
      <c r="Y280" s="83">
        <f t="shared" si="425"/>
        <v>46719</v>
      </c>
      <c r="Z280" s="83">
        <f t="shared" si="425"/>
        <v>46749</v>
      </c>
      <c r="AA280" s="83">
        <f t="shared" si="425"/>
        <v>46780</v>
      </c>
      <c r="AB280" s="83">
        <f t="shared" si="425"/>
        <v>46811</v>
      </c>
      <c r="AC280" s="83">
        <f t="shared" si="425"/>
        <v>46840</v>
      </c>
      <c r="AD280" s="83">
        <f t="shared" si="425"/>
        <v>46871</v>
      </c>
      <c r="AE280" s="83">
        <f t="shared" si="425"/>
        <v>46901</v>
      </c>
      <c r="AF280" s="83">
        <f t="shared" si="425"/>
        <v>46932</v>
      </c>
      <c r="AG280" s="83">
        <f t="shared" si="425"/>
        <v>46962</v>
      </c>
      <c r="AH280" s="7"/>
      <c r="AI280" s="6">
        <f>AI173</f>
        <v>2026</v>
      </c>
      <c r="AJ280" s="6">
        <f t="shared" ref="AJ280:AT280" si="426">AI280+1</f>
        <v>2027</v>
      </c>
      <c r="AK280" s="6">
        <f t="shared" si="426"/>
        <v>2028</v>
      </c>
      <c r="AL280" s="6">
        <f t="shared" si="426"/>
        <v>2029</v>
      </c>
      <c r="AM280" s="6">
        <f t="shared" si="426"/>
        <v>2030</v>
      </c>
      <c r="AN280" s="6">
        <f t="shared" si="426"/>
        <v>2031</v>
      </c>
      <c r="AO280" s="6">
        <f t="shared" si="426"/>
        <v>2032</v>
      </c>
      <c r="AP280" s="6">
        <f t="shared" si="426"/>
        <v>2033</v>
      </c>
      <c r="AQ280" s="6">
        <f t="shared" si="426"/>
        <v>2034</v>
      </c>
      <c r="AR280" s="6">
        <f t="shared" si="426"/>
        <v>2035</v>
      </c>
      <c r="AS280" s="6">
        <f t="shared" si="426"/>
        <v>2036</v>
      </c>
      <c r="AT280" s="6">
        <f t="shared" si="426"/>
        <v>2037</v>
      </c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</row>
    <row r="281" spans="1:66" ht="14.25" customHeight="1" x14ac:dyDescent="0.3">
      <c r="A281" s="7"/>
      <c r="B281" s="15" t="s">
        <v>269</v>
      </c>
      <c r="C281" s="7"/>
      <c r="D281" s="15" t="s">
        <v>4</v>
      </c>
      <c r="E281" s="7"/>
      <c r="F281" s="7"/>
      <c r="G281" s="7"/>
      <c r="H281" s="7"/>
      <c r="I281" s="7"/>
      <c r="J281" s="125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7"/>
      <c r="AI281" s="8">
        <f t="shared" ref="AI281:AT281" ca="1" si="427">AI231+AI238</f>
        <v>28541.467925061213</v>
      </c>
      <c r="AJ281" s="8">
        <f t="shared" ca="1" si="427"/>
        <v>-24411.518267009655</v>
      </c>
      <c r="AK281" s="8">
        <f t="shared" ca="1" si="427"/>
        <v>30351.15581696239</v>
      </c>
      <c r="AL281" s="8">
        <f t="shared" ca="1" si="427"/>
        <v>52464.357908797625</v>
      </c>
      <c r="AM281" s="8">
        <f t="shared" ca="1" si="427"/>
        <v>81935.105150977062</v>
      </c>
      <c r="AN281" s="8">
        <f t="shared" ca="1" si="427"/>
        <v>168609.72364597378</v>
      </c>
      <c r="AO281" s="8">
        <f t="shared" ca="1" si="427"/>
        <v>184711.12237044662</v>
      </c>
      <c r="AP281" s="8">
        <f t="shared" ca="1" si="427"/>
        <v>196881.90876681803</v>
      </c>
      <c r="AQ281" s="8">
        <f t="shared" ca="1" si="427"/>
        <v>207223.32737255428</v>
      </c>
      <c r="AR281" s="8">
        <f t="shared" ca="1" si="427"/>
        <v>217228.61986518974</v>
      </c>
      <c r="AS281" s="8">
        <f t="shared" ca="1" si="427"/>
        <v>227441.70863924979</v>
      </c>
      <c r="AT281" s="8">
        <f t="shared" ca="1" si="427"/>
        <v>237328.10238502949</v>
      </c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</row>
    <row r="282" spans="1:66" ht="14.25" customHeight="1" x14ac:dyDescent="0.3">
      <c r="A282" s="7"/>
      <c r="B282" s="15" t="s">
        <v>270</v>
      </c>
      <c r="C282" s="7"/>
      <c r="D282" s="15" t="s">
        <v>4</v>
      </c>
      <c r="E282" s="7"/>
      <c r="F282" s="7"/>
      <c r="G282" s="7"/>
      <c r="H282" s="7"/>
      <c r="I282" s="7"/>
      <c r="J282" s="8">
        <f>$AL$9</f>
        <v>379408.630986</v>
      </c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7"/>
      <c r="AI282" s="8">
        <f>Input!$G$56</f>
        <v>358330.37370900001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s="8">
        <v>0</v>
      </c>
      <c r="AS282" s="8">
        <v>0</v>
      </c>
      <c r="AT282" s="8">
        <v>0</v>
      </c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</row>
    <row r="283" spans="1:66" ht="14.25" customHeight="1" x14ac:dyDescent="0.3">
      <c r="A283" s="7"/>
      <c r="B283" s="15" t="s">
        <v>271</v>
      </c>
      <c r="C283" s="7"/>
      <c r="D283" s="15" t="s">
        <v>10</v>
      </c>
      <c r="E283" s="127">
        <f>Output!D190</f>
        <v>0.05</v>
      </c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</row>
    <row r="284" spans="1:66" ht="14.2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55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</row>
    <row r="285" spans="1:66" ht="14.25" customHeight="1" x14ac:dyDescent="0.3">
      <c r="A285" s="7"/>
      <c r="B285" s="15" t="s">
        <v>272</v>
      </c>
      <c r="C285" s="7"/>
      <c r="D285" s="15" t="s">
        <v>4</v>
      </c>
      <c r="E285" s="19"/>
      <c r="F285" s="7"/>
      <c r="G285" s="7"/>
      <c r="H285" s="7"/>
      <c r="I285" s="7"/>
      <c r="J285" s="8">
        <f>Loans!J31</f>
        <v>358330.37370900001</v>
      </c>
      <c r="K285" s="8">
        <f>Loans!K31</f>
        <v>358330.37370900001</v>
      </c>
      <c r="L285" s="8">
        <f>Loans!L31</f>
        <v>358330.37370900001</v>
      </c>
      <c r="M285" s="8">
        <f>Loans!M31</f>
        <v>358330.37370900001</v>
      </c>
      <c r="N285" s="8">
        <f>Loans!N31</f>
        <v>358330.37370900001</v>
      </c>
      <c r="O285" s="8">
        <f>Loans!O31</f>
        <v>358330.37370900001</v>
      </c>
      <c r="P285" s="8">
        <f>Loans!P31</f>
        <v>358330.37370900001</v>
      </c>
      <c r="Q285" s="8">
        <f>Loans!Q31</f>
        <v>358330.37370900001</v>
      </c>
      <c r="R285" s="8">
        <f>Loans!R31</f>
        <v>358330.37370900001</v>
      </c>
      <c r="S285" s="8">
        <f>Loans!S31</f>
        <v>358330.37370900001</v>
      </c>
      <c r="T285" s="8">
        <f>Loans!T31</f>
        <v>358330.37370900001</v>
      </c>
      <c r="U285" s="8">
        <f>Loans!U31</f>
        <v>358330.37370900001</v>
      </c>
      <c r="V285" s="8">
        <f>Loans!V31</f>
        <v>358330.37370900001</v>
      </c>
      <c r="W285" s="8">
        <f>Loans!W31</f>
        <v>358330.37370900001</v>
      </c>
      <c r="X285" s="8">
        <f>Loans!X31</f>
        <v>358330.37370900001</v>
      </c>
      <c r="Y285" s="8">
        <f>Loans!Y31</f>
        <v>358330.37370900001</v>
      </c>
      <c r="Z285" s="8">
        <f>Loans!Z31</f>
        <v>358330.37370900001</v>
      </c>
      <c r="AA285" s="8">
        <f>Loans!AA31</f>
        <v>358330.37370900001</v>
      </c>
      <c r="AB285" s="8">
        <f>Loans!AB31</f>
        <v>358330.37370900001</v>
      </c>
      <c r="AC285" s="8">
        <f>Loans!AC31</f>
        <v>358330.37370900001</v>
      </c>
      <c r="AD285" s="8">
        <f>Loans!AD31</f>
        <v>358330.37370900001</v>
      </c>
      <c r="AE285" s="8">
        <f>Loans!AE31</f>
        <v>358330.37370900001</v>
      </c>
      <c r="AF285" s="8">
        <f>Loans!AF31</f>
        <v>358330.37370900001</v>
      </c>
      <c r="AG285" s="8">
        <f>Loans!AG31</f>
        <v>358330.37370900001</v>
      </c>
      <c r="AH285" s="7"/>
      <c r="AI285" s="8">
        <f>AI282</f>
        <v>358330.37370900001</v>
      </c>
      <c r="AJ285" s="8">
        <f>AI290</f>
        <v>358330.37370900001</v>
      </c>
      <c r="AK285" s="8">
        <f t="shared" ref="AK285:AT285" si="428">AJ290</f>
        <v>358330.37370900001</v>
      </c>
      <c r="AL285" s="8">
        <f t="shared" si="428"/>
        <v>318914.03260101</v>
      </c>
      <c r="AM285" s="8">
        <f t="shared" si="428"/>
        <v>279497.69149301999</v>
      </c>
      <c r="AN285" s="8">
        <f t="shared" si="428"/>
        <v>240081.35038502997</v>
      </c>
      <c r="AO285" s="8">
        <f t="shared" si="428"/>
        <v>200665.00927703996</v>
      </c>
      <c r="AP285" s="8">
        <f t="shared" si="428"/>
        <v>161248.66816904995</v>
      </c>
      <c r="AQ285" s="8">
        <f t="shared" si="428"/>
        <v>121832.32706105994</v>
      </c>
      <c r="AR285" s="8">
        <f t="shared" si="428"/>
        <v>82415.985953069932</v>
      </c>
      <c r="AS285" s="8">
        <f t="shared" si="428"/>
        <v>42999.644845079929</v>
      </c>
      <c r="AT285" s="8">
        <f t="shared" si="428"/>
        <v>-7.2759576141834259E-11</v>
      </c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</row>
    <row r="286" spans="1:66" ht="14.25" customHeight="1" x14ac:dyDescent="0.3">
      <c r="A286" s="7"/>
      <c r="B286" s="15" t="s">
        <v>273</v>
      </c>
      <c r="C286" s="7"/>
      <c r="D286" s="15" t="s">
        <v>4</v>
      </c>
      <c r="E286" s="7"/>
      <c r="F286" s="7"/>
      <c r="G286" s="7"/>
      <c r="H286" s="7"/>
      <c r="I286" s="7"/>
      <c r="J286" s="8">
        <f>Loans!J32</f>
        <v>1472.5905768863015</v>
      </c>
      <c r="K286" s="8">
        <f>Loans!K32</f>
        <v>1472.5905768863015</v>
      </c>
      <c r="L286" s="8">
        <f>Loans!L32</f>
        <v>1472.5905768863015</v>
      </c>
      <c r="M286" s="8">
        <f>Loans!M32</f>
        <v>1521.6769294491785</v>
      </c>
      <c r="N286" s="8">
        <f>Loans!N32</f>
        <v>1472.5905768863015</v>
      </c>
      <c r="O286" s="8">
        <f>Loans!O32</f>
        <v>1521.6769294491785</v>
      </c>
      <c r="P286" s="8">
        <f>Loans!P32</f>
        <v>1423.504224323425</v>
      </c>
      <c r="Q286" s="8">
        <f>Loans!Q32</f>
        <v>1374.417871760548</v>
      </c>
      <c r="R286" s="8">
        <f>Loans!R32</f>
        <v>1521.6769294491785</v>
      </c>
      <c r="S286" s="8">
        <f>Loans!S32</f>
        <v>1472.5905768863015</v>
      </c>
      <c r="T286" s="8">
        <f>Loans!T32</f>
        <v>1521.6769294491785</v>
      </c>
      <c r="U286" s="8">
        <f>Loans!U32</f>
        <v>1472.5905768863015</v>
      </c>
      <c r="V286" s="8">
        <f>Loans!V32</f>
        <v>1521.6769294491785</v>
      </c>
      <c r="W286" s="8">
        <f>Loans!W32</f>
        <v>1521.6769294491785</v>
      </c>
      <c r="X286" s="8">
        <f>Loans!X32</f>
        <v>1472.5905768863015</v>
      </c>
      <c r="Y286" s="8">
        <f>Loans!Y32</f>
        <v>1521.6769294491785</v>
      </c>
      <c r="Z286" s="8">
        <f>Loans!Z32</f>
        <v>1472.5905768863015</v>
      </c>
      <c r="AA286" s="8">
        <f>Loans!AA32</f>
        <v>1521.6769294491785</v>
      </c>
      <c r="AB286" s="8">
        <f>Loans!AB32</f>
        <v>1521.6769294491785</v>
      </c>
      <c r="AC286" s="8">
        <f>Loans!AC32</f>
        <v>1423.504224323425</v>
      </c>
      <c r="AD286" s="8">
        <f>Loans!AD32</f>
        <v>1521.6769294491785</v>
      </c>
      <c r="AE286" s="8">
        <f>Loans!AE32</f>
        <v>1472.5905768863015</v>
      </c>
      <c r="AF286" s="8">
        <f>Loans!AF32</f>
        <v>1521.6769294491785</v>
      </c>
      <c r="AG286" s="8">
        <f>Loans!AG32</f>
        <v>1472.5905768863015</v>
      </c>
      <c r="AH286" s="7"/>
      <c r="AI286" s="8">
        <f>SUMIF(Loans!$J$23:$DY$23,AI$37,Loans!$J$32:$DY$32)</f>
        <v>7412.0392369943847</v>
      </c>
      <c r="AJ286" s="8">
        <f>SUMIF(Loans!$J$23:$DY$23,AJ$37,Loans!$J$32:$DY$32)</f>
        <v>17818.345980324251</v>
      </c>
      <c r="AK286" s="8">
        <f>SUMIF(Loans!$J$23:$DY$23,AK$37,Loans!$J$32:$DY$32)</f>
        <v>17139.481724379664</v>
      </c>
      <c r="AL286" s="8">
        <f>SUMIF(Loans!$J$23:$DY$23,AL$37,Loans!$J$32:$DY$32)</f>
        <v>15119.578316417286</v>
      </c>
      <c r="AM286" s="8">
        <f>SUMIF(Loans!$J$23:$DY$23,AM$37,Loans!$J$32:$DY$32)</f>
        <v>13148.761261017786</v>
      </c>
      <c r="AN286" s="8">
        <f>SUMIF(Loans!$J$23:$DY$23,AN$37,Loans!$J$32:$DY$32)</f>
        <v>11177.944205618283</v>
      </c>
      <c r="AO286" s="8">
        <f>SUMIF(Loans!$J$23:$DY$23,AO$37,Loans!$J$32:$DY$32)</f>
        <v>9234.6155076539944</v>
      </c>
      <c r="AP286" s="8">
        <f>SUMIF(Loans!$J$23:$DY$23,AP$37,Loans!$J$32:$DY$32)</f>
        <v>7236.3100948192823</v>
      </c>
      <c r="AQ286" s="8">
        <f>SUMIF(Loans!$J$23:$DY$23,AQ$37,Loans!$J$32:$DY$32)</f>
        <v>5265.4930394197827</v>
      </c>
      <c r="AR286" s="8">
        <f>SUMIF(Loans!$J$23:$DY$23,AR$37,Loans!$J$32:$DY$32)</f>
        <v>3294.6759840202822</v>
      </c>
      <c r="AS286" s="8">
        <f>SUMIF(Loans!$J$23:$DY$23,AS$37,Loans!$J$32:$DY$32)</f>
        <v>1254.6471715071268</v>
      </c>
      <c r="AT286" s="8">
        <f>SUMIF(Loans!$J$23:$DY$23,AT$37,Loans!$J$32:$DY$32)</f>
        <v>0</v>
      </c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</row>
    <row r="287" spans="1:66" ht="14.25" customHeight="1" x14ac:dyDescent="0.3">
      <c r="A287" s="7"/>
      <c r="B287" s="15" t="s">
        <v>274</v>
      </c>
      <c r="C287" s="7"/>
      <c r="D287" s="15" t="s">
        <v>4</v>
      </c>
      <c r="E287" s="7"/>
      <c r="F287" s="7"/>
      <c r="G287" s="7"/>
      <c r="H287" s="7"/>
      <c r="I287" s="7"/>
      <c r="J287" s="8">
        <f>Loans!J33</f>
        <v>0</v>
      </c>
      <c r="K287" s="8">
        <f>Loans!K33</f>
        <v>0</v>
      </c>
      <c r="L287" s="8">
        <f>Loans!L33</f>
        <v>0</v>
      </c>
      <c r="M287" s="8">
        <f>Loans!M33</f>
        <v>0</v>
      </c>
      <c r="N287" s="8">
        <f>Loans!N33</f>
        <v>0</v>
      </c>
      <c r="O287" s="8">
        <f>Loans!O33</f>
        <v>0</v>
      </c>
      <c r="P287" s="8">
        <f>Loans!P33</f>
        <v>0</v>
      </c>
      <c r="Q287" s="8">
        <f>Loans!Q33</f>
        <v>0</v>
      </c>
      <c r="R287" s="8">
        <f>Loans!R33</f>
        <v>0</v>
      </c>
      <c r="S287" s="8">
        <f>Loans!S33</f>
        <v>0</v>
      </c>
      <c r="T287" s="8">
        <f>Loans!T33</f>
        <v>0</v>
      </c>
      <c r="U287" s="8">
        <f>Loans!U33</f>
        <v>0</v>
      </c>
      <c r="V287" s="8">
        <f>Loans!V33</f>
        <v>0</v>
      </c>
      <c r="W287" s="8">
        <f>Loans!W33</f>
        <v>0</v>
      </c>
      <c r="X287" s="8">
        <f>Loans!X33</f>
        <v>0</v>
      </c>
      <c r="Y287" s="8">
        <f>Loans!Y33</f>
        <v>0</v>
      </c>
      <c r="Z287" s="8">
        <f>Loans!Z33</f>
        <v>0</v>
      </c>
      <c r="AA287" s="8">
        <f>Loans!AA33</f>
        <v>0</v>
      </c>
      <c r="AB287" s="8">
        <f>Loans!AB33</f>
        <v>0</v>
      </c>
      <c r="AC287" s="8">
        <f>Loans!AC33</f>
        <v>0</v>
      </c>
      <c r="AD287" s="8">
        <f>Loans!AD33</f>
        <v>0</v>
      </c>
      <c r="AE287" s="8">
        <f>Loans!AE33</f>
        <v>0</v>
      </c>
      <c r="AF287" s="8">
        <f>Loans!AF33</f>
        <v>0</v>
      </c>
      <c r="AG287" s="8">
        <f>Loans!AG33</f>
        <v>3965.0864792457082</v>
      </c>
      <c r="AH287" s="7"/>
      <c r="AI287" s="8">
        <f>SUMIF(Loans!$J$23:$DY$23,AI$37,Loans!$J$33:$DY$33)</f>
        <v>0</v>
      </c>
      <c r="AJ287" s="8">
        <f>SUMIF(Loans!$J$23:$DY$23,AJ$37,Loans!$J$33:$DY$33)</f>
        <v>0</v>
      </c>
      <c r="AK287" s="8">
        <f>SUMIF(Loans!$J$23:$DY$23,AK$37,Loans!$J$33:$DY$33)</f>
        <v>3965.0864792457082</v>
      </c>
      <c r="AL287" s="8">
        <f>SUMIF(Loans!$J$23:$DY$23,AL$37,Loans!$J$33:$DY$33)</f>
        <v>19910.788109296209</v>
      </c>
      <c r="AM287" s="8">
        <f>SUMIF(Loans!$J$23:$DY$23,AM$37,Loans!$J$33:$DY$33)</f>
        <v>17939.971053896708</v>
      </c>
      <c r="AN287" s="8">
        <f>SUMIF(Loans!$J$23:$DY$23,AN$37,Loans!$J$33:$DY$33)</f>
        <v>15969.153998497208</v>
      </c>
      <c r="AO287" s="8">
        <f>SUMIF(Loans!$J$23:$DY$23,AO$37,Loans!$J$33:$DY$33)</f>
        <v>14025.825300532917</v>
      </c>
      <c r="AP287" s="8">
        <f>SUMIF(Loans!$J$23:$DY$23,AP$37,Loans!$J$33:$DY$33)</f>
        <v>12027.519887698205</v>
      </c>
      <c r="AQ287" s="8">
        <f>SUMIF(Loans!$J$23:$DY$23,AQ$37,Loans!$J$33:$DY$33)</f>
        <v>10056.702832298706</v>
      </c>
      <c r="AR287" s="8">
        <f>SUMIF(Loans!$J$23:$DY$23,AR$37,Loans!$J$33:$DY$33)</f>
        <v>8085.8857768992057</v>
      </c>
      <c r="AS287" s="8">
        <f>SUMIF(Loans!$J$23:$DY$23,AS$37,Loans!$J$33:$DY$33)</f>
        <v>6120.959083807249</v>
      </c>
      <c r="AT287" s="8">
        <f>SUMIF(Loans!$J$23:$DY$23,AT$37,Loans!$J$33:$DY$33)</f>
        <v>0</v>
      </c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</row>
    <row r="288" spans="1:66" ht="14.25" customHeight="1" x14ac:dyDescent="0.3">
      <c r="A288" s="7"/>
      <c r="B288" s="15" t="s">
        <v>275</v>
      </c>
      <c r="C288" s="7"/>
      <c r="D288" s="15" t="s">
        <v>4</v>
      </c>
      <c r="E288" s="7"/>
      <c r="F288" s="7"/>
      <c r="G288" s="7"/>
      <c r="H288" s="7"/>
      <c r="I288" s="7"/>
      <c r="J288" s="8">
        <f>Loans!J35</f>
        <v>1472.5905768863015</v>
      </c>
      <c r="K288" s="8">
        <f>Loans!K35</f>
        <v>2945.181153772603</v>
      </c>
      <c r="L288" s="8">
        <f>Loans!L35</f>
        <v>4417.7717306589047</v>
      </c>
      <c r="M288" s="8">
        <f>Loans!M35</f>
        <v>5939.4486601080835</v>
      </c>
      <c r="N288" s="8">
        <f>Loans!N35</f>
        <v>7412.0392369943847</v>
      </c>
      <c r="O288" s="8">
        <f>Loans!O35</f>
        <v>8933.7161664435625</v>
      </c>
      <c r="P288" s="8">
        <f>Loans!P35</f>
        <v>10357.220390766988</v>
      </c>
      <c r="Q288" s="8">
        <f>Loans!Q35</f>
        <v>11731.638262527536</v>
      </c>
      <c r="R288" s="8">
        <f>Loans!R35</f>
        <v>13253.315191976715</v>
      </c>
      <c r="S288" s="8">
        <f>Loans!S35</f>
        <v>14725.905768863016</v>
      </c>
      <c r="T288" s="8">
        <f>Loans!T35</f>
        <v>16247.582698312195</v>
      </c>
      <c r="U288" s="8">
        <f>Loans!U35</f>
        <v>17720.173275198496</v>
      </c>
      <c r="V288" s="8">
        <f>Loans!V35</f>
        <v>19241.850204647675</v>
      </c>
      <c r="W288" s="8">
        <f>Loans!W35</f>
        <v>20763.527134096854</v>
      </c>
      <c r="X288" s="8">
        <f>Loans!X35</f>
        <v>22236.117710983155</v>
      </c>
      <c r="Y288" s="8">
        <f>Loans!Y35</f>
        <v>23757.794640432334</v>
      </c>
      <c r="Z288" s="8">
        <f>Loans!Z35</f>
        <v>25230.385217318635</v>
      </c>
      <c r="AA288" s="8">
        <f>Loans!AA35</f>
        <v>26752.062146767814</v>
      </c>
      <c r="AB288" s="8">
        <f>Loans!AB35</f>
        <v>28273.739076216993</v>
      </c>
      <c r="AC288" s="8">
        <f>Loans!AC35</f>
        <v>29697.243300540416</v>
      </c>
      <c r="AD288" s="8">
        <f>Loans!AD35</f>
        <v>31218.920229989595</v>
      </c>
      <c r="AE288" s="8">
        <f>Loans!AE35</f>
        <v>32691.510806875896</v>
      </c>
      <c r="AF288" s="8">
        <f>Loans!AF35</f>
        <v>34213.187736325075</v>
      </c>
      <c r="AG288" s="8">
        <f>Loans!AG35</f>
        <v>31720.69183396567</v>
      </c>
      <c r="AH288" s="7"/>
      <c r="AI288" s="8">
        <f>AI286-AI287</f>
        <v>7412.0392369943847</v>
      </c>
      <c r="AJ288" s="8">
        <f>AJ286-AJ287+AI288</f>
        <v>25230.385217318635</v>
      </c>
      <c r="AK288" s="8">
        <f t="shared" ref="AK288:AT288" si="429">AK286-AK287+AJ288</f>
        <v>38404.780462452589</v>
      </c>
      <c r="AL288" s="8">
        <f t="shared" si="429"/>
        <v>33613.570669573666</v>
      </c>
      <c r="AM288" s="8">
        <f t="shared" si="429"/>
        <v>28822.360876694744</v>
      </c>
      <c r="AN288" s="8">
        <f t="shared" si="429"/>
        <v>24031.151083815821</v>
      </c>
      <c r="AO288" s="8">
        <f t="shared" si="429"/>
        <v>19239.941290936898</v>
      </c>
      <c r="AP288" s="8">
        <f t="shared" si="429"/>
        <v>14448.731498057976</v>
      </c>
      <c r="AQ288" s="8">
        <f t="shared" si="429"/>
        <v>9657.5217051790532</v>
      </c>
      <c r="AR288" s="8">
        <f t="shared" si="429"/>
        <v>4866.3119123001297</v>
      </c>
      <c r="AS288" s="8">
        <f t="shared" si="429"/>
        <v>7.2759576141834259E-12</v>
      </c>
      <c r="AT288" s="8">
        <f t="shared" si="429"/>
        <v>7.2759576141834259E-12</v>
      </c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</row>
    <row r="289" spans="1:66" ht="14.25" customHeight="1" x14ac:dyDescent="0.3">
      <c r="A289" s="7"/>
      <c r="B289" s="7" t="s">
        <v>276</v>
      </c>
      <c r="C289" s="7"/>
      <c r="D289" s="15" t="s">
        <v>4</v>
      </c>
      <c r="E289" s="7"/>
      <c r="F289" s="7"/>
      <c r="G289" s="7"/>
      <c r="H289" s="7"/>
      <c r="I289" s="7"/>
      <c r="J289" s="8">
        <f>Loans!J36</f>
        <v>0</v>
      </c>
      <c r="K289" s="8">
        <f>Loans!K36</f>
        <v>0</v>
      </c>
      <c r="L289" s="8">
        <f>Loans!L36</f>
        <v>0</v>
      </c>
      <c r="M289" s="8">
        <f>Loans!M36</f>
        <v>0</v>
      </c>
      <c r="N289" s="8">
        <f>Loans!N36</f>
        <v>0</v>
      </c>
      <c r="O289" s="8">
        <f>Loans!O36</f>
        <v>0</v>
      </c>
      <c r="P289" s="8">
        <f>Loans!P36</f>
        <v>0</v>
      </c>
      <c r="Q289" s="8">
        <f>Loans!Q36</f>
        <v>0</v>
      </c>
      <c r="R289" s="8">
        <f>Loans!R36</f>
        <v>0</v>
      </c>
      <c r="S289" s="8">
        <f>Loans!S36</f>
        <v>0</v>
      </c>
      <c r="T289" s="8">
        <f>Loans!T36</f>
        <v>0</v>
      </c>
      <c r="U289" s="8">
        <f>Loans!U36</f>
        <v>0</v>
      </c>
      <c r="V289" s="8">
        <f>Loans!V36</f>
        <v>0</v>
      </c>
      <c r="W289" s="8">
        <f>Loans!W36</f>
        <v>0</v>
      </c>
      <c r="X289" s="8">
        <f>Loans!X36</f>
        <v>0</v>
      </c>
      <c r="Y289" s="8">
        <f>Loans!Y36</f>
        <v>0</v>
      </c>
      <c r="Z289" s="8">
        <f>Loans!Z36</f>
        <v>0</v>
      </c>
      <c r="AA289" s="8">
        <f>Loans!AA36</f>
        <v>0</v>
      </c>
      <c r="AB289" s="8">
        <f>Loans!AB36</f>
        <v>0</v>
      </c>
      <c r="AC289" s="8">
        <f>Loans!AC36</f>
        <v>0</v>
      </c>
      <c r="AD289" s="8">
        <f>Loans!AD36</f>
        <v>0</v>
      </c>
      <c r="AE289" s="8">
        <f>Loans!AE36</f>
        <v>0</v>
      </c>
      <c r="AF289" s="8">
        <f>Loans!AF36</f>
        <v>0</v>
      </c>
      <c r="AG289" s="8">
        <f>-Loans!AG36</f>
        <v>-39416.341107990003</v>
      </c>
      <c r="AH289" s="7"/>
      <c r="AI289" s="8">
        <f>-SUMIF(Loans!$J$23:$DY$23,AI$37,Loans!$J$36:$DY$36)</f>
        <v>0</v>
      </c>
      <c r="AJ289" s="8">
        <f>-SUMIF(Loans!$J$23:$DY$23,AJ$37,Loans!$J$36:$DY$36)</f>
        <v>0</v>
      </c>
      <c r="AK289" s="8">
        <f>-SUMIF(Loans!$J$23:$DY$23,AK$37,Loans!$J$36:$DY$36)</f>
        <v>-39416.341107990003</v>
      </c>
      <c r="AL289" s="8">
        <f>-SUMIF(Loans!$J$23:$DY$23,AL$37,Loans!$J$36:$DY$36)</f>
        <v>-39416.341107990003</v>
      </c>
      <c r="AM289" s="8">
        <f>-SUMIF(Loans!$J$23:$DY$23,AM$37,Loans!$J$36:$DY$36)</f>
        <v>-39416.341107990003</v>
      </c>
      <c r="AN289" s="8">
        <f>-SUMIF(Loans!$J$23:$DY$23,AN$37,Loans!$J$36:$DY$36)</f>
        <v>-39416.341107990003</v>
      </c>
      <c r="AO289" s="8">
        <f>-SUMIF(Loans!$J$23:$DY$23,AO$37,Loans!$J$36:$DY$36)</f>
        <v>-39416.341107990003</v>
      </c>
      <c r="AP289" s="8">
        <f>-SUMIF(Loans!$J$23:$DY$23,AP$37,Loans!$J$36:$DY$36)</f>
        <v>-39416.341107990003</v>
      </c>
      <c r="AQ289" s="8">
        <f>-SUMIF(Loans!$J$23:$DY$23,AQ$37,Loans!$J$36:$DY$36)</f>
        <v>-39416.341107990003</v>
      </c>
      <c r="AR289" s="8">
        <f>-SUMIF(Loans!$J$23:$DY$23,AR$37,Loans!$J$36:$DY$36)</f>
        <v>-39416.341107990003</v>
      </c>
      <c r="AS289" s="8">
        <f>-SUMIF(Loans!$J$23:$DY$23,AS$37,Loans!$J$36:$DY$36)</f>
        <v>-42999.644845080002</v>
      </c>
      <c r="AT289" s="8">
        <f>-SUMIF(Loans!$J$23:$DY$23,AT$37,Loans!$J$36:$DY$36)</f>
        <v>0</v>
      </c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</row>
    <row r="290" spans="1:66" ht="14.25" customHeight="1" x14ac:dyDescent="0.3">
      <c r="A290" s="7"/>
      <c r="B290" s="15" t="s">
        <v>277</v>
      </c>
      <c r="C290" s="7"/>
      <c r="D290" s="15" t="s">
        <v>4</v>
      </c>
      <c r="E290" s="7"/>
      <c r="F290" s="7"/>
      <c r="G290" s="7"/>
      <c r="H290" s="7"/>
      <c r="I290" s="7"/>
      <c r="J290" s="8">
        <f>Loans!J37</f>
        <v>358330.37370900001</v>
      </c>
      <c r="K290" s="8">
        <f>Loans!K37</f>
        <v>358330.37370900001</v>
      </c>
      <c r="L290" s="8">
        <f>Loans!L37</f>
        <v>358330.37370900001</v>
      </c>
      <c r="M290" s="8">
        <f>Loans!M37</f>
        <v>358330.37370900001</v>
      </c>
      <c r="N290" s="8">
        <f>Loans!N37</f>
        <v>358330.37370900001</v>
      </c>
      <c r="O290" s="8">
        <f>Loans!O37</f>
        <v>358330.37370900001</v>
      </c>
      <c r="P290" s="8">
        <f>Loans!P37</f>
        <v>358330.37370900001</v>
      </c>
      <c r="Q290" s="8">
        <f>Loans!Q37</f>
        <v>358330.37370900001</v>
      </c>
      <c r="R290" s="8">
        <f>Loans!R37</f>
        <v>358330.37370900001</v>
      </c>
      <c r="S290" s="8">
        <f>Loans!S37</f>
        <v>358330.37370900001</v>
      </c>
      <c r="T290" s="8">
        <f>Loans!T37</f>
        <v>358330.37370900001</v>
      </c>
      <c r="U290" s="8">
        <f>Loans!U37</f>
        <v>358330.37370900001</v>
      </c>
      <c r="V290" s="8">
        <f>Loans!V37</f>
        <v>358330.37370900001</v>
      </c>
      <c r="W290" s="8">
        <f>Loans!W37</f>
        <v>358330.37370900001</v>
      </c>
      <c r="X290" s="8">
        <f>Loans!X37</f>
        <v>358330.37370900001</v>
      </c>
      <c r="Y290" s="8">
        <f>Loans!Y37</f>
        <v>358330.37370900001</v>
      </c>
      <c r="Z290" s="8">
        <f>Loans!Z37</f>
        <v>358330.37370900001</v>
      </c>
      <c r="AA290" s="8">
        <f>Loans!AA37</f>
        <v>358330.37370900001</v>
      </c>
      <c r="AB290" s="8">
        <f>Loans!AB37</f>
        <v>358330.37370900001</v>
      </c>
      <c r="AC290" s="8">
        <f>Loans!AC37</f>
        <v>358330.37370900001</v>
      </c>
      <c r="AD290" s="8">
        <f>Loans!AD37</f>
        <v>358330.37370900001</v>
      </c>
      <c r="AE290" s="8">
        <f>Loans!AE37</f>
        <v>358330.37370900001</v>
      </c>
      <c r="AF290" s="8">
        <f>Loans!AF37</f>
        <v>358330.37370900001</v>
      </c>
      <c r="AG290" s="8">
        <f>Loans!AG37</f>
        <v>318914.03260101</v>
      </c>
      <c r="AH290" s="7"/>
      <c r="AI290" s="8">
        <f t="shared" ref="AI290:AS290" si="430">AI285+AI289</f>
        <v>358330.37370900001</v>
      </c>
      <c r="AJ290" s="8">
        <f t="shared" si="430"/>
        <v>358330.37370900001</v>
      </c>
      <c r="AK290" s="8">
        <f t="shared" si="430"/>
        <v>318914.03260101</v>
      </c>
      <c r="AL290" s="8">
        <f t="shared" si="430"/>
        <v>279497.69149301999</v>
      </c>
      <c r="AM290" s="8">
        <f t="shared" si="430"/>
        <v>240081.35038502997</v>
      </c>
      <c r="AN290" s="8">
        <f t="shared" si="430"/>
        <v>200665.00927703996</v>
      </c>
      <c r="AO290" s="8">
        <f t="shared" si="430"/>
        <v>161248.66816904995</v>
      </c>
      <c r="AP290" s="8">
        <f t="shared" si="430"/>
        <v>121832.32706105994</v>
      </c>
      <c r="AQ290" s="8">
        <f t="shared" si="430"/>
        <v>82415.985953069932</v>
      </c>
      <c r="AR290" s="8">
        <f t="shared" si="430"/>
        <v>42999.644845079929</v>
      </c>
      <c r="AS290" s="8">
        <f t="shared" si="430"/>
        <v>-7.2759576141834259E-11</v>
      </c>
      <c r="AT290" s="8">
        <f t="shared" ref="AT290" si="431">AT285+AT289</f>
        <v>-7.2759576141834259E-11</v>
      </c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</row>
    <row r="291" spans="1:66" ht="14.2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</row>
    <row r="292" spans="1:66" ht="14.25" customHeight="1" x14ac:dyDescent="0.3">
      <c r="A292" s="7"/>
      <c r="B292" s="15" t="s">
        <v>270</v>
      </c>
      <c r="C292" s="7"/>
      <c r="D292" s="15" t="s">
        <v>4</v>
      </c>
      <c r="E292" s="7"/>
      <c r="F292" s="7"/>
      <c r="G292" s="7"/>
      <c r="H292" s="7"/>
      <c r="I292" s="7"/>
      <c r="J292" s="126"/>
      <c r="K292" s="126"/>
      <c r="L292" s="126"/>
      <c r="M292" s="126"/>
      <c r="N292" s="126"/>
      <c r="O292" s="126"/>
      <c r="P292" s="126"/>
      <c r="Q292" s="126"/>
      <c r="R292" s="126"/>
      <c r="S292" s="338">
        <f>$AM$9</f>
        <v>0</v>
      </c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7"/>
      <c r="AI292" s="8">
        <v>0</v>
      </c>
      <c r="AJ292" s="8">
        <f>Input!$K$56</f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</row>
    <row r="293" spans="1:66" ht="14.25" customHeight="1" x14ac:dyDescent="0.3">
      <c r="A293" s="7"/>
      <c r="B293" s="15" t="s">
        <v>271</v>
      </c>
      <c r="C293" s="7"/>
      <c r="D293" s="15" t="s">
        <v>10</v>
      </c>
      <c r="E293" s="127">
        <f>Output!D190</f>
        <v>0.05</v>
      </c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</row>
    <row r="294" spans="1:66" ht="14.2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55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</row>
    <row r="295" spans="1:66" ht="14.25" customHeight="1" x14ac:dyDescent="0.3">
      <c r="A295" s="7"/>
      <c r="B295" s="15" t="s">
        <v>272</v>
      </c>
      <c r="C295" s="7"/>
      <c r="D295" s="15" t="s">
        <v>4</v>
      </c>
      <c r="E295" s="19"/>
      <c r="F295" s="7"/>
      <c r="G295" s="7"/>
      <c r="H295" s="7"/>
      <c r="I295" s="7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7"/>
      <c r="AI295" s="8"/>
      <c r="AJ295" s="8">
        <f>AJ292</f>
        <v>0</v>
      </c>
      <c r="AK295" s="8">
        <f t="shared" ref="AK295" si="432">AJ300</f>
        <v>0</v>
      </c>
      <c r="AL295" s="8">
        <f t="shared" ref="AL295" si="433">AK300</f>
        <v>0</v>
      </c>
      <c r="AM295" s="8">
        <f t="shared" ref="AM295" si="434">AL300</f>
        <v>0</v>
      </c>
      <c r="AN295" s="8">
        <f t="shared" ref="AN295" si="435">AM300</f>
        <v>0</v>
      </c>
      <c r="AO295" s="8">
        <f t="shared" ref="AO295" si="436">AN300</f>
        <v>0</v>
      </c>
      <c r="AP295" s="8">
        <f t="shared" ref="AP295" si="437">AO300</f>
        <v>0</v>
      </c>
      <c r="AQ295" s="8">
        <f t="shared" ref="AQ295" si="438">AP300</f>
        <v>0</v>
      </c>
      <c r="AR295" s="8">
        <f t="shared" ref="AR295" si="439">AQ300</f>
        <v>0</v>
      </c>
      <c r="AS295" s="8">
        <f t="shared" ref="AS295" si="440">AR300</f>
        <v>0</v>
      </c>
      <c r="AT295" s="8">
        <f t="shared" ref="AT295" si="441">AS300</f>
        <v>0</v>
      </c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</row>
    <row r="296" spans="1:66" ht="14.25" customHeight="1" x14ac:dyDescent="0.3">
      <c r="A296" s="7"/>
      <c r="B296" s="15" t="s">
        <v>273</v>
      </c>
      <c r="C296" s="7"/>
      <c r="D296" s="15" t="s">
        <v>4</v>
      </c>
      <c r="E296" s="7"/>
      <c r="F296" s="7"/>
      <c r="G296" s="7"/>
      <c r="H296" s="7"/>
      <c r="I296" s="7"/>
      <c r="J296" s="8">
        <f>Loans!J76</f>
        <v>0</v>
      </c>
      <c r="K296" s="8">
        <f>Loans!K76</f>
        <v>0</v>
      </c>
      <c r="L296" s="8">
        <f>Loans!L76</f>
        <v>0</v>
      </c>
      <c r="M296" s="8">
        <f>Loans!M76</f>
        <v>0</v>
      </c>
      <c r="N296" s="8">
        <f>Loans!N76</f>
        <v>0</v>
      </c>
      <c r="O296" s="8">
        <f>Loans!O76</f>
        <v>0</v>
      </c>
      <c r="P296" s="8">
        <f>Loans!P76</f>
        <v>0</v>
      </c>
      <c r="Q296" s="8">
        <f>Loans!Q76</f>
        <v>0</v>
      </c>
      <c r="R296" s="8">
        <f>Loans!R76</f>
        <v>0</v>
      </c>
      <c r="S296" s="8">
        <f>Loans!S76</f>
        <v>0</v>
      </c>
      <c r="T296" s="8">
        <f>Loans!T76</f>
        <v>0</v>
      </c>
      <c r="U296" s="8">
        <f>Loans!U76</f>
        <v>0</v>
      </c>
      <c r="V296" s="8">
        <f>Loans!V76</f>
        <v>0</v>
      </c>
      <c r="W296" s="8">
        <f>Loans!W76</f>
        <v>0</v>
      </c>
      <c r="X296" s="8">
        <f>Loans!X76</f>
        <v>0</v>
      </c>
      <c r="Y296" s="8">
        <f>Loans!Y76</f>
        <v>0</v>
      </c>
      <c r="Z296" s="8">
        <f>Loans!Z76</f>
        <v>0</v>
      </c>
      <c r="AA296" s="8">
        <f>Loans!AA76</f>
        <v>0</v>
      </c>
      <c r="AB296" s="8">
        <f>Loans!AB76</f>
        <v>0</v>
      </c>
      <c r="AC296" s="8">
        <f>Loans!AC76</f>
        <v>0</v>
      </c>
      <c r="AD296" s="8">
        <f>Loans!AD76</f>
        <v>0</v>
      </c>
      <c r="AE296" s="8">
        <f>Loans!AE76</f>
        <v>0</v>
      </c>
      <c r="AF296" s="8">
        <f>Loans!AF76</f>
        <v>0</v>
      </c>
      <c r="AG296" s="8">
        <f>Loans!AG76</f>
        <v>0</v>
      </c>
      <c r="AH296" s="7"/>
      <c r="AI296" s="8">
        <f>SUMIF(Loans!$J$23:$DY$23,AI$37,Loans!$J$76:$DY$76)</f>
        <v>0</v>
      </c>
      <c r="AJ296" s="8">
        <f>SUMIF(Loans!$J$23:$DY$23,AJ$37,Loans!$J$76:$DY$76)</f>
        <v>0</v>
      </c>
      <c r="AK296" s="8">
        <f>SUMIF(Loans!$J$23:$DY$23,AK$37,Loans!$J$76:$DY$76)</f>
        <v>0</v>
      </c>
      <c r="AL296" s="8">
        <f>SUMIF(Loans!$J$23:$DY$23,AL$37,Loans!$J$76:$DY$76)</f>
        <v>0</v>
      </c>
      <c r="AM296" s="8">
        <f>SUMIF(Loans!$J$23:$DY$23,AM$37,Loans!$J$76:$DY$76)</f>
        <v>0</v>
      </c>
      <c r="AN296" s="8">
        <f>SUMIF(Loans!$J$23:$DY$23,AN$37,Loans!$J$76:$DY$76)</f>
        <v>0</v>
      </c>
      <c r="AO296" s="8">
        <f>SUMIF(Loans!$J$23:$DY$23,AO$37,Loans!$J$76:$DY$76)</f>
        <v>0</v>
      </c>
      <c r="AP296" s="8">
        <f>SUMIF(Loans!$J$23:$DY$23,AP$37,Loans!$J$76:$DY$76)</f>
        <v>0</v>
      </c>
      <c r="AQ296" s="8">
        <f>SUMIF(Loans!$J$23:$DY$23,AQ$37,Loans!$J$76:$DY$76)</f>
        <v>0</v>
      </c>
      <c r="AR296" s="8">
        <f>SUMIF(Loans!$J$23:$DY$23,AR$37,Loans!$J$76:$DY$76)</f>
        <v>0</v>
      </c>
      <c r="AS296" s="8">
        <f>SUMIF(Loans!$J$23:$DY$23,AS$37,Loans!$J$76:$DY$76)</f>
        <v>0</v>
      </c>
      <c r="AT296" s="8">
        <f>SUMIF(Loans!$J$23:$DY$23,AT$37,Loans!$J$76:$DY$76)</f>
        <v>0</v>
      </c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</row>
    <row r="297" spans="1:66" ht="14.25" customHeight="1" x14ac:dyDescent="0.3">
      <c r="A297" s="7"/>
      <c r="B297" s="15" t="s">
        <v>274</v>
      </c>
      <c r="C297" s="7"/>
      <c r="D297" s="15" t="s">
        <v>4</v>
      </c>
      <c r="E297" s="7"/>
      <c r="F297" s="7"/>
      <c r="G297" s="7"/>
      <c r="H297" s="7"/>
      <c r="I297" s="7"/>
      <c r="J297" s="8">
        <f>Loans!J77</f>
        <v>0</v>
      </c>
      <c r="K297" s="8">
        <f>Loans!K77</f>
        <v>0</v>
      </c>
      <c r="L297" s="8">
        <f>Loans!L77</f>
        <v>0</v>
      </c>
      <c r="M297" s="8">
        <f>Loans!M77</f>
        <v>0</v>
      </c>
      <c r="N297" s="8">
        <f>Loans!N77</f>
        <v>0</v>
      </c>
      <c r="O297" s="8">
        <f>Loans!O77</f>
        <v>0</v>
      </c>
      <c r="P297" s="8">
        <f>Loans!P77</f>
        <v>0</v>
      </c>
      <c r="Q297" s="8">
        <f>Loans!Q77</f>
        <v>0</v>
      </c>
      <c r="R297" s="8">
        <f>Loans!R77</f>
        <v>0</v>
      </c>
      <c r="S297" s="8">
        <f>Loans!S77</f>
        <v>0</v>
      </c>
      <c r="T297" s="8">
        <f>Loans!T77</f>
        <v>0</v>
      </c>
      <c r="U297" s="8">
        <f>Loans!U77</f>
        <v>0</v>
      </c>
      <c r="V297" s="8">
        <f>Loans!V77</f>
        <v>0</v>
      </c>
      <c r="W297" s="8">
        <f>Loans!W77</f>
        <v>0</v>
      </c>
      <c r="X297" s="8">
        <f>Loans!X77</f>
        <v>0</v>
      </c>
      <c r="Y297" s="8">
        <f>Loans!Y77</f>
        <v>0</v>
      </c>
      <c r="Z297" s="8">
        <f>Loans!Z77</f>
        <v>0</v>
      </c>
      <c r="AA297" s="8">
        <f>Loans!AA77</f>
        <v>0</v>
      </c>
      <c r="AB297" s="8">
        <f>Loans!AB77</f>
        <v>0</v>
      </c>
      <c r="AC297" s="8">
        <f>Loans!AC77</f>
        <v>0</v>
      </c>
      <c r="AD297" s="8">
        <f>Loans!AD77</f>
        <v>0</v>
      </c>
      <c r="AE297" s="8">
        <f>Loans!AE77</f>
        <v>0</v>
      </c>
      <c r="AF297" s="8">
        <f>Loans!AF77</f>
        <v>0</v>
      </c>
      <c r="AG297" s="8">
        <f>Loans!AG77</f>
        <v>0</v>
      </c>
      <c r="AH297" s="7"/>
      <c r="AI297" s="8">
        <f>SUMIF(Loans!$J$23:$DY$23,AI$37,Loans!$J$77:$DY$77)</f>
        <v>0</v>
      </c>
      <c r="AJ297" s="8">
        <f>SUMIF(Loans!$J$23:$DY$23,AJ$37,Loans!$J$79:$DY$79)</f>
        <v>0</v>
      </c>
      <c r="AK297" s="8">
        <f>SUMIF(Loans!$J$23:$DY$23,AK$37,Loans!$J$77:$DY$77)</f>
        <v>0</v>
      </c>
      <c r="AL297" s="8">
        <f>SUMIF(Loans!$J$23:$DY$23,AL$37,Loans!$J$77:$DY$77)</f>
        <v>0</v>
      </c>
      <c r="AM297" s="8">
        <f>SUMIF(Loans!$J$23:$DY$23,AM$37,Loans!$J$77:$DY$77)</f>
        <v>0</v>
      </c>
      <c r="AN297" s="8">
        <f>SUMIF(Loans!$J$23:$DY$23,AN$37,Loans!$J$77:$DY$77)</f>
        <v>0</v>
      </c>
      <c r="AO297" s="8">
        <f>SUMIF(Loans!$J$23:$DY$23,AO$37,Loans!$J$77:$DY$77)</f>
        <v>0</v>
      </c>
      <c r="AP297" s="8">
        <f>SUMIF(Loans!$J$23:$DY$23,AP$37,Loans!$J$77:$DY$77)</f>
        <v>0</v>
      </c>
      <c r="AQ297" s="8">
        <f>SUMIF(Loans!$J$23:$DY$23,AQ$37,Loans!$J$77:$DY$77)</f>
        <v>0</v>
      </c>
      <c r="AR297" s="8">
        <f>SUMIF(Loans!$J$23:$DY$23,AR$37,Loans!$J$77:$DY$77)</f>
        <v>0</v>
      </c>
      <c r="AS297" s="8">
        <f>SUMIF(Loans!$J$23:$DY$23,AS$37,Loans!$J$77:$DY$77)</f>
        <v>0</v>
      </c>
      <c r="AT297" s="8">
        <f>SUMIF(Loans!$J$23:$DY$23,AT$37,Loans!$J$77:$DY$77)</f>
        <v>0</v>
      </c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</row>
    <row r="298" spans="1:66" ht="14.25" customHeight="1" x14ac:dyDescent="0.3">
      <c r="A298" s="7"/>
      <c r="B298" s="15" t="s">
        <v>275</v>
      </c>
      <c r="C298" s="7"/>
      <c r="D298" s="15" t="s">
        <v>4</v>
      </c>
      <c r="E298" s="7"/>
      <c r="F298" s="7"/>
      <c r="G298" s="7"/>
      <c r="H298" s="7"/>
      <c r="I298" s="7"/>
      <c r="J298" s="8">
        <f>Loans!J78</f>
        <v>0</v>
      </c>
      <c r="K298" s="8">
        <f>Loans!K78</f>
        <v>0</v>
      </c>
      <c r="L298" s="8">
        <f>Loans!L78</f>
        <v>0</v>
      </c>
      <c r="M298" s="8">
        <f>Loans!M78</f>
        <v>0</v>
      </c>
      <c r="N298" s="8">
        <f>Loans!N78</f>
        <v>0</v>
      </c>
      <c r="O298" s="8">
        <f>Loans!O78</f>
        <v>0</v>
      </c>
      <c r="P298" s="8">
        <f>Loans!P78</f>
        <v>0</v>
      </c>
      <c r="Q298" s="8">
        <f>Loans!Q78</f>
        <v>0</v>
      </c>
      <c r="R298" s="8">
        <f>Loans!R78</f>
        <v>0</v>
      </c>
      <c r="S298" s="8">
        <f>Loans!S78</f>
        <v>0</v>
      </c>
      <c r="T298" s="8">
        <f>Loans!T78</f>
        <v>0</v>
      </c>
      <c r="U298" s="8">
        <f>Loans!U78</f>
        <v>0</v>
      </c>
      <c r="V298" s="8">
        <f>Loans!V78</f>
        <v>0</v>
      </c>
      <c r="W298" s="8">
        <f>Loans!W78</f>
        <v>0</v>
      </c>
      <c r="X298" s="8">
        <f>Loans!X78</f>
        <v>0</v>
      </c>
      <c r="Y298" s="8">
        <f>Loans!Y78</f>
        <v>0</v>
      </c>
      <c r="Z298" s="8">
        <f>Loans!Z78</f>
        <v>0</v>
      </c>
      <c r="AA298" s="8">
        <f>Loans!AA78</f>
        <v>0</v>
      </c>
      <c r="AB298" s="8">
        <f>Loans!AB78</f>
        <v>0</v>
      </c>
      <c r="AC298" s="8">
        <f>Loans!AC78</f>
        <v>0</v>
      </c>
      <c r="AD298" s="8">
        <f>Loans!AD78</f>
        <v>0</v>
      </c>
      <c r="AE298" s="8">
        <f>Loans!AE78</f>
        <v>0</v>
      </c>
      <c r="AF298" s="8">
        <f>Loans!AF78</f>
        <v>0</v>
      </c>
      <c r="AG298" s="8">
        <f>Loans!AG78</f>
        <v>0</v>
      </c>
      <c r="AH298" s="7"/>
      <c r="AI298" s="8"/>
      <c r="AJ298" s="8">
        <f>AJ296-AJ297+AI298</f>
        <v>0</v>
      </c>
      <c r="AK298" s="8">
        <f t="shared" ref="AK298:AS298" si="442">AK296-AK297+AJ298</f>
        <v>0</v>
      </c>
      <c r="AL298" s="8">
        <f t="shared" si="442"/>
        <v>0</v>
      </c>
      <c r="AM298" s="8">
        <f t="shared" si="442"/>
        <v>0</v>
      </c>
      <c r="AN298" s="8">
        <f t="shared" si="442"/>
        <v>0</v>
      </c>
      <c r="AO298" s="8">
        <f t="shared" si="442"/>
        <v>0</v>
      </c>
      <c r="AP298" s="8">
        <f t="shared" si="442"/>
        <v>0</v>
      </c>
      <c r="AQ298" s="8">
        <f t="shared" si="442"/>
        <v>0</v>
      </c>
      <c r="AR298" s="8">
        <f t="shared" si="442"/>
        <v>0</v>
      </c>
      <c r="AS298" s="8">
        <f t="shared" si="442"/>
        <v>0</v>
      </c>
      <c r="AT298" s="8">
        <v>0</v>
      </c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</row>
    <row r="299" spans="1:66" ht="14.25" customHeight="1" x14ac:dyDescent="0.3">
      <c r="A299" s="7"/>
      <c r="B299" s="7" t="s">
        <v>276</v>
      </c>
      <c r="C299" s="7"/>
      <c r="D299" s="15" t="s">
        <v>4</v>
      </c>
      <c r="E299" s="7"/>
      <c r="F299" s="7"/>
      <c r="G299" s="7"/>
      <c r="H299" s="7"/>
      <c r="I299" s="7"/>
      <c r="J299" s="8">
        <f>Loans!J79</f>
        <v>0</v>
      </c>
      <c r="K299" s="8">
        <f>Loans!K79</f>
        <v>0</v>
      </c>
      <c r="L299" s="8">
        <f>Loans!L79</f>
        <v>0</v>
      </c>
      <c r="M299" s="8">
        <f>Loans!M79</f>
        <v>0</v>
      </c>
      <c r="N299" s="8">
        <f>Loans!N79</f>
        <v>0</v>
      </c>
      <c r="O299" s="8">
        <f>Loans!O79</f>
        <v>0</v>
      </c>
      <c r="P299" s="8">
        <f>Loans!P79</f>
        <v>0</v>
      </c>
      <c r="Q299" s="8">
        <f>Loans!Q79</f>
        <v>0</v>
      </c>
      <c r="R299" s="8">
        <f>Loans!R79</f>
        <v>0</v>
      </c>
      <c r="S299" s="8">
        <f>Loans!S79</f>
        <v>0</v>
      </c>
      <c r="T299" s="8">
        <f>Loans!T79</f>
        <v>0</v>
      </c>
      <c r="U299" s="8">
        <f>Loans!U79</f>
        <v>0</v>
      </c>
      <c r="V299" s="8">
        <f>Loans!V79</f>
        <v>0</v>
      </c>
      <c r="W299" s="8">
        <f>Loans!W79</f>
        <v>0</v>
      </c>
      <c r="X299" s="8">
        <f>Loans!X79</f>
        <v>0</v>
      </c>
      <c r="Y299" s="8">
        <f>Loans!Y79</f>
        <v>0</v>
      </c>
      <c r="Z299" s="8">
        <f>Loans!Z79</f>
        <v>0</v>
      </c>
      <c r="AA299" s="8">
        <f>Loans!AA79</f>
        <v>0</v>
      </c>
      <c r="AB299" s="8">
        <f>Loans!AB79</f>
        <v>0</v>
      </c>
      <c r="AC299" s="8">
        <f>Loans!AC79</f>
        <v>0</v>
      </c>
      <c r="AD299" s="8">
        <f>Loans!AD79</f>
        <v>0</v>
      </c>
      <c r="AE299" s="8">
        <f>Loans!AE79</f>
        <v>0</v>
      </c>
      <c r="AF299" s="8">
        <f>Loans!AF79</f>
        <v>0</v>
      </c>
      <c r="AG299" s="8">
        <f>Loans!AG79</f>
        <v>0</v>
      </c>
      <c r="AH299" s="7"/>
      <c r="AI299" s="8">
        <f>-SUMIF(Loans!$J$23:$DY$23,AI$37,Loans!$J$79:$DY$79)</f>
        <v>0</v>
      </c>
      <c r="AJ299" s="8">
        <f>-SUMIF(Loans!$J$23:$DY$23,AJ$37,Loans!$J$79:$DY$79)</f>
        <v>0</v>
      </c>
      <c r="AK299" s="8">
        <f>-SUMIF(Loans!$J$23:$DY$23,AK$37,Loans!$J$79:$DY$79)</f>
        <v>0</v>
      </c>
      <c r="AL299" s="8">
        <f>-SUMIF(Loans!$J$23:$DY$23,AL$37,Loans!$J$79:$DY$79)</f>
        <v>0</v>
      </c>
      <c r="AM299" s="8">
        <f>-SUMIF(Loans!$J$23:$DY$23,AM$37,Loans!$J$79:$DY$79)</f>
        <v>0</v>
      </c>
      <c r="AN299" s="8">
        <f>-SUMIF(Loans!$J$23:$DY$23,AN$37,Loans!$J$79:$DY$79)</f>
        <v>0</v>
      </c>
      <c r="AO299" s="8">
        <f>-SUMIF(Loans!$J$23:$DY$23,AO$37,Loans!$J$79:$DY$79)</f>
        <v>0</v>
      </c>
      <c r="AP299" s="8">
        <f>-SUMIF(Loans!$J$23:$DY$23,AP$37,Loans!$J$79:$DY$79)</f>
        <v>0</v>
      </c>
      <c r="AQ299" s="8">
        <f>-SUMIF(Loans!$J$23:$DY$23,AQ$37,Loans!$J$79:$DY$79)</f>
        <v>0</v>
      </c>
      <c r="AR299" s="8">
        <f>-SUMIF(Loans!$J$23:$DY$23,AR$37,Loans!$J$79:$DY$79)</f>
        <v>0</v>
      </c>
      <c r="AS299" s="8">
        <f>-SUMIF(Loans!$J$23:$DY$23,AS$37,Loans!$J$79:$DY$79)</f>
        <v>0</v>
      </c>
      <c r="AT299" s="8">
        <f>-SUMIF(Loans!$J$23:$DY$23,AT$37,Loans!$J$79:$DY$79)</f>
        <v>0</v>
      </c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</row>
    <row r="300" spans="1:66" ht="14.25" customHeight="1" x14ac:dyDescent="0.3">
      <c r="A300" s="7"/>
      <c r="B300" s="15" t="s">
        <v>277</v>
      </c>
      <c r="C300" s="7"/>
      <c r="D300" s="15" t="s">
        <v>4</v>
      </c>
      <c r="E300" s="7"/>
      <c r="F300" s="7"/>
      <c r="G300" s="7"/>
      <c r="H300" s="7"/>
      <c r="I300" s="7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7"/>
      <c r="AI300" s="8"/>
      <c r="AJ300" s="8">
        <f t="shared" ref="AJ300:AT300" si="443">AJ295+AJ299</f>
        <v>0</v>
      </c>
      <c r="AK300" s="8">
        <f t="shared" si="443"/>
        <v>0</v>
      </c>
      <c r="AL300" s="8">
        <f t="shared" si="443"/>
        <v>0</v>
      </c>
      <c r="AM300" s="8">
        <f t="shared" si="443"/>
        <v>0</v>
      </c>
      <c r="AN300" s="8">
        <f t="shared" si="443"/>
        <v>0</v>
      </c>
      <c r="AO300" s="8">
        <f t="shared" si="443"/>
        <v>0</v>
      </c>
      <c r="AP300" s="8">
        <f t="shared" si="443"/>
        <v>0</v>
      </c>
      <c r="AQ300" s="8">
        <f t="shared" si="443"/>
        <v>0</v>
      </c>
      <c r="AR300" s="8">
        <f t="shared" si="443"/>
        <v>0</v>
      </c>
      <c r="AS300" s="8">
        <f t="shared" si="443"/>
        <v>0</v>
      </c>
      <c r="AT300" s="8">
        <f t="shared" si="443"/>
        <v>0</v>
      </c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</row>
    <row r="301" spans="1:66" ht="14.2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</row>
    <row r="302" spans="1:66" ht="14.25" customHeight="1" x14ac:dyDescent="0.3">
      <c r="A302" s="7"/>
      <c r="B302" s="15" t="s">
        <v>278</v>
      </c>
      <c r="C302" s="7"/>
      <c r="D302" s="7" t="s">
        <v>279</v>
      </c>
      <c r="E302" s="7"/>
      <c r="F302" s="7"/>
      <c r="G302" s="7"/>
      <c r="H302" s="7"/>
      <c r="I302" s="7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7"/>
      <c r="AI302" s="128" t="str">
        <f t="shared" ref="AI302:AT302" ca="1" si="444">IFERROR(AI281/(AI287-AI289+AI297-AI299),"")</f>
        <v/>
      </c>
      <c r="AJ302" s="128" t="str">
        <f t="shared" ca="1" si="444"/>
        <v/>
      </c>
      <c r="AK302" s="128">
        <f t="shared" ca="1" si="444"/>
        <v>0.6996347862441652</v>
      </c>
      <c r="AL302" s="128">
        <f t="shared" ca="1" si="444"/>
        <v>0.8843232194270918</v>
      </c>
      <c r="AM302" s="128">
        <f t="shared" ca="1" si="444"/>
        <v>1.4285281264199368</v>
      </c>
      <c r="AN302" s="128">
        <f t="shared" ca="1" si="444"/>
        <v>3.0442938773372958</v>
      </c>
      <c r="AO302" s="128">
        <f t="shared" ca="1" si="444"/>
        <v>3.4562805885988377</v>
      </c>
      <c r="AP302" s="128">
        <f t="shared" ca="1" si="444"/>
        <v>3.8271215448490499</v>
      </c>
      <c r="AQ302" s="128">
        <f t="shared" ca="1" si="444"/>
        <v>4.1886108245666396</v>
      </c>
      <c r="AR302" s="128">
        <f t="shared" ca="1" si="444"/>
        <v>4.5730197110883593</v>
      </c>
      <c r="AS302" s="128">
        <f t="shared" ca="1" si="444"/>
        <v>4.6302710155705959</v>
      </c>
      <c r="AT302" s="128" t="str">
        <f t="shared" ca="1" si="444"/>
        <v/>
      </c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</row>
    <row r="303" spans="1:66" ht="13.5" customHeight="1" x14ac:dyDescent="0.3">
      <c r="A303" s="7"/>
      <c r="B303" s="5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129"/>
      <c r="AJ303" s="129"/>
      <c r="AK303" s="129"/>
      <c r="AL303" s="129"/>
      <c r="AM303" s="129"/>
      <c r="AN303" s="129"/>
      <c r="AO303" s="129"/>
      <c r="AP303" s="129"/>
      <c r="AQ303" s="129"/>
      <c r="AR303" s="129"/>
      <c r="AS303" s="129"/>
      <c r="AT303" s="129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</row>
    <row r="304" spans="1:66" ht="14.25" customHeight="1" x14ac:dyDescent="0.3">
      <c r="A304" s="7"/>
      <c r="B304" s="5" t="s">
        <v>280</v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</row>
    <row r="305" spans="1:66" ht="14.25" customHeight="1" x14ac:dyDescent="0.3">
      <c r="A305" s="7"/>
      <c r="B305" s="15" t="s">
        <v>281</v>
      </c>
      <c r="C305" s="7"/>
      <c r="D305" s="15" t="s">
        <v>4</v>
      </c>
      <c r="E305" s="127">
        <f>Output!D238</f>
        <v>0.06</v>
      </c>
      <c r="F305" s="7"/>
      <c r="G305" s="7"/>
      <c r="H305" s="7"/>
      <c r="I305" s="7"/>
      <c r="J305" s="8">
        <f t="shared" ref="J305:AG305" ca="1" si="445">J314*$E$305/12</f>
        <v>65.737430511712546</v>
      </c>
      <c r="K305" s="8">
        <f t="shared" ca="1" si="445"/>
        <v>69.381755511712541</v>
      </c>
      <c r="L305" s="8">
        <f t="shared" ca="1" si="445"/>
        <v>73.025407199212538</v>
      </c>
      <c r="M305" s="8">
        <f t="shared" ca="1" si="445"/>
        <v>76.668387257493791</v>
      </c>
      <c r="N305" s="8">
        <f t="shared" ca="1" si="445"/>
        <v>80.310697365629323</v>
      </c>
      <c r="O305" s="8">
        <f t="shared" ca="1" si="445"/>
        <v>84.334711590945389</v>
      </c>
      <c r="P305" s="8">
        <f t="shared" ca="1" si="445"/>
        <v>92.330328445361303</v>
      </c>
      <c r="Q305" s="8">
        <f t="shared" ca="1" si="445"/>
        <v>96.352871316045935</v>
      </c>
      <c r="R305" s="8">
        <f t="shared" ca="1" si="445"/>
        <v>100.37468126705386</v>
      </c>
      <c r="S305" s="8">
        <f t="shared" ca="1" si="445"/>
        <v>104.39576013068427</v>
      </c>
      <c r="T305" s="8">
        <f t="shared" ca="1" si="445"/>
        <v>108.41610973465559</v>
      </c>
      <c r="U305" s="8">
        <f t="shared" ca="1" si="445"/>
        <v>112.43573190211698</v>
      </c>
      <c r="V305" s="8">
        <f t="shared" ca="1" si="445"/>
        <v>229.44137757551289</v>
      </c>
      <c r="W305" s="8">
        <f t="shared" ca="1" si="445"/>
        <v>233.45955032118175</v>
      </c>
      <c r="X305" s="8">
        <f t="shared" ca="1" si="445"/>
        <v>237.60696005803746</v>
      </c>
      <c r="Y305" s="8">
        <f t="shared" ca="1" si="445"/>
        <v>241.58047925726825</v>
      </c>
      <c r="Z305" s="8">
        <f t="shared" ca="1" si="445"/>
        <v>245.55338809600087</v>
      </c>
      <c r="AA305" s="8">
        <f t="shared" ca="1" si="445"/>
        <v>249.94156497555034</v>
      </c>
      <c r="AB305" s="8">
        <f t="shared" ca="1" si="445"/>
        <v>260.25281512679697</v>
      </c>
      <c r="AC305" s="8">
        <f t="shared" ca="1" si="445"/>
        <v>264.63965758893306</v>
      </c>
      <c r="AD305" s="8">
        <f t="shared" ca="1" si="445"/>
        <v>269.02583534335128</v>
      </c>
      <c r="AE305" s="8">
        <f t="shared" ca="1" si="445"/>
        <v>273.41135005182099</v>
      </c>
      <c r="AF305" s="8">
        <f t="shared" ca="1" si="445"/>
        <v>277.79620337195701</v>
      </c>
      <c r="AG305" s="8">
        <f t="shared" ca="1" si="445"/>
        <v>282.18039695723019</v>
      </c>
      <c r="AH305" s="7"/>
      <c r="AI305" s="8">
        <f t="shared" ref="AI305:AJ305" ca="1" si="446">SUMIF($J$37:$AG$37,AI$37,$J305:$AG305)</f>
        <v>365.12367784576071</v>
      </c>
      <c r="AJ305" s="8">
        <f t="shared" ca="1" si="446"/>
        <v>1886.2819496948646</v>
      </c>
      <c r="AK305" s="8">
        <f t="shared" ref="AK305:AT305" ca="1" si="447">AK314*$E$305</f>
        <v>4353.5476977042908</v>
      </c>
      <c r="AL305" s="8">
        <f t="shared" ca="1" si="447"/>
        <v>7859.3424000107007</v>
      </c>
      <c r="AM305" s="8">
        <f t="shared" ca="1" si="447"/>
        <v>11953.3420767191</v>
      </c>
      <c r="AN305" s="8">
        <f t="shared" ca="1" si="447"/>
        <v>13468.520393936677</v>
      </c>
      <c r="AO305" s="8">
        <f t="shared" ca="1" si="447"/>
        <v>14556.321372004631</v>
      </c>
      <c r="AP305" s="8">
        <f t="shared" ca="1" si="447"/>
        <v>15617.835908403458</v>
      </c>
      <c r="AQ305" s="8">
        <f t="shared" ca="1" si="447"/>
        <v>8065.399844687272</v>
      </c>
      <c r="AR305" s="8">
        <f t="shared" ca="1" si="447"/>
        <v>0</v>
      </c>
      <c r="AS305" s="8">
        <f t="shared" ca="1" si="447"/>
        <v>0</v>
      </c>
      <c r="AT305" s="8">
        <f t="shared" ca="1" si="447"/>
        <v>0</v>
      </c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</row>
    <row r="306" spans="1:66" ht="14.25" customHeight="1" x14ac:dyDescent="0.3">
      <c r="A306" s="7"/>
      <c r="B306" s="15"/>
      <c r="C306" s="7"/>
      <c r="D306" s="7"/>
      <c r="E306" s="15"/>
      <c r="F306" s="130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</row>
    <row r="307" spans="1:66" ht="14.25" customHeight="1" x14ac:dyDescent="0.3">
      <c r="A307" s="131"/>
      <c r="B307" s="132" t="s">
        <v>282</v>
      </c>
      <c r="C307" s="131"/>
      <c r="D307" s="131"/>
      <c r="E307" s="133"/>
      <c r="F307" s="134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  <c r="AA307" s="131"/>
      <c r="AB307" s="131"/>
      <c r="AC307" s="131"/>
      <c r="AD307" s="131"/>
      <c r="AE307" s="131"/>
      <c r="AF307" s="131"/>
      <c r="AG307" s="131"/>
      <c r="AH307" s="131"/>
      <c r="AI307" s="135">
        <f t="shared" ref="AI307:AT307" ca="1" si="448">AI308/20</f>
        <v>803.10697365629335</v>
      </c>
      <c r="AJ307" s="135">
        <f t="shared" ca="1" si="448"/>
        <v>1652.4269073037153</v>
      </c>
      <c r="AK307" s="135">
        <f t="shared" ca="1" si="448"/>
        <v>1975.5295074498601</v>
      </c>
      <c r="AL307" s="135">
        <f t="shared" ca="1" si="448"/>
        <v>4573.9224925590579</v>
      </c>
      <c r="AM307" s="135">
        <f t="shared" ca="1" si="448"/>
        <v>5387.1959047068594</v>
      </c>
      <c r="AN307" s="135">
        <f t="shared" ca="1" si="448"/>
        <v>5836.5710902403716</v>
      </c>
      <c r="AO307" s="135">
        <f t="shared" ca="1" si="448"/>
        <v>6293.6967197634885</v>
      </c>
      <c r="AP307" s="135">
        <f t="shared" ca="1" si="448"/>
        <v>6721.1665372393954</v>
      </c>
      <c r="AQ307" s="135">
        <f t="shared" si="448"/>
        <v>0</v>
      </c>
      <c r="AR307" s="135">
        <f t="shared" si="448"/>
        <v>0</v>
      </c>
      <c r="AS307" s="135">
        <f t="shared" si="448"/>
        <v>0</v>
      </c>
      <c r="AT307" s="135">
        <f t="shared" si="448"/>
        <v>0</v>
      </c>
      <c r="AU307" s="131"/>
      <c r="AV307" s="131"/>
      <c r="AW307" s="131"/>
      <c r="AX307" s="131"/>
      <c r="AY307" s="131"/>
      <c r="AZ307" s="131"/>
      <c r="BA307" s="131"/>
      <c r="BB307" s="131"/>
      <c r="BC307" s="131"/>
      <c r="BD307" s="131"/>
      <c r="BE307" s="131"/>
      <c r="BF307" s="131"/>
      <c r="BG307" s="131"/>
      <c r="BH307" s="131"/>
      <c r="BI307" s="131"/>
      <c r="BJ307" s="131"/>
      <c r="BK307" s="131"/>
      <c r="BL307" s="131"/>
      <c r="BM307" s="131"/>
      <c r="BN307" s="131"/>
    </row>
    <row r="308" spans="1:66" ht="14.25" customHeight="1" x14ac:dyDescent="0.3">
      <c r="A308" s="15"/>
      <c r="B308" s="360" t="s">
        <v>283</v>
      </c>
      <c r="C308" s="361"/>
      <c r="D308" s="361" t="s">
        <v>4</v>
      </c>
      <c r="E308" s="15"/>
      <c r="F308" s="15"/>
      <c r="G308" s="15"/>
      <c r="H308" s="15"/>
      <c r="I308" s="15"/>
      <c r="J308" s="8">
        <f ca="1">-IF(Input!$F$10=1,SUM(J356,J362,J366),0)</f>
        <v>13147.486102342509</v>
      </c>
      <c r="K308" s="8">
        <f ca="1">-IF(Input!$F$10=1,SUM(K356,K362,K366),0)</f>
        <v>728.86500000000001</v>
      </c>
      <c r="L308" s="8">
        <f ca="1">-IF(Input!$F$10=1,SUM(L356,L362,L366),0)</f>
        <v>728.73033750000002</v>
      </c>
      <c r="M308" s="8">
        <f ca="1">-IF(Input!$F$10=1,SUM(M356,M362,M366),0)</f>
        <v>728.59601165624997</v>
      </c>
      <c r="N308" s="8">
        <f ca="1">-IF(Input!$F$10=1,SUM(N356,N362,N366),0)</f>
        <v>728.46202162710938</v>
      </c>
      <c r="O308" s="8">
        <f ca="1">-IF(Input!$F$10=1,SUM(O356,O362,O366),0)</f>
        <v>804.80284506321095</v>
      </c>
      <c r="P308" s="8">
        <f ca="1">-IF(Input!$F$10=1,SUM(P356,P362,P366),0)</f>
        <v>1599.123370883181</v>
      </c>
      <c r="Q308" s="8">
        <f ca="1">-IF(Input!$F$10=1,SUM(Q356,Q362,Q366),0)</f>
        <v>804.50857413692654</v>
      </c>
      <c r="R308" s="8">
        <f ca="1">-IF(Input!$F$10=1,SUM(R356,R362,R366),0)</f>
        <v>804.36199020158426</v>
      </c>
      <c r="S308" s="8">
        <f ca="1">-IF(Input!$F$10=1,SUM(S356,S362,S366),0)</f>
        <v>804.21577272608033</v>
      </c>
      <c r="T308" s="8">
        <f ca="1">-IF(Input!$F$10=1,SUM(T356,T362,T366),0)</f>
        <v>804.06992079426504</v>
      </c>
      <c r="U308" s="8">
        <f ca="1">-IF(Input!$F$10=1,SUM(U356,U362,U366),0)</f>
        <v>803.92443349227938</v>
      </c>
      <c r="V308" s="8">
        <f ca="1">-IF(Input!$F$10=1,SUM(V356,V362,V366),0)</f>
        <v>23401.12913467918</v>
      </c>
      <c r="W308" s="8">
        <f ca="1">-IF(Input!$F$10=1,SUM(W356,W362,W366),0)</f>
        <v>803.63454913377734</v>
      </c>
      <c r="X308" s="8">
        <f ca="1">-IF(Input!$F$10=1,SUM(X356,X362,X366),0)</f>
        <v>829.48194737114261</v>
      </c>
      <c r="Y308" s="8">
        <f ca="1">-IF(Input!$F$10=1,SUM(Y356,Y362,Y366),0)</f>
        <v>794.70383984614909</v>
      </c>
      <c r="Z308" s="8">
        <f ca="1">-IF(Input!$F$10=1,SUM(Z356,Z362,Z366),0)</f>
        <v>794.58176774653373</v>
      </c>
      <c r="AA308" s="8">
        <f ca="1">-IF(Input!$F$10=1,SUM(AA356,AA362,AA366),0)</f>
        <v>877.63537590988426</v>
      </c>
      <c r="AB308" s="8">
        <f ca="1">-IF(Input!$F$10=1,SUM(AB356,AB362,AB366),0)</f>
        <v>2062.2500302493372</v>
      </c>
      <c r="AC308" s="8">
        <f ca="1">-IF(Input!$F$10=1,SUM(AC356,AC362,AC366),0)</f>
        <v>877.36849242721541</v>
      </c>
      <c r="AD308" s="8">
        <f ca="1">-IF(Input!$F$10=1,SUM(AD356,AD362,AD366),0)</f>
        <v>877.23555088364742</v>
      </c>
      <c r="AE308" s="8">
        <f ca="1">-IF(Input!$F$10=1,SUM(AE356,AE362,AE366),0)</f>
        <v>877.10294169393819</v>
      </c>
      <c r="AF308" s="8">
        <f ca="1">-IF(Input!$F$10=1,SUM(AF356,AF362,AF366),0)</f>
        <v>876.97066402720338</v>
      </c>
      <c r="AG308" s="8">
        <f ca="1">-IF(Input!$F$10=1,SUM(AG356,AG362,AG366),0)</f>
        <v>876.83871705463548</v>
      </c>
      <c r="AH308" s="15"/>
      <c r="AI308" s="8">
        <f t="shared" ref="AI308:AJ308" ca="1" si="449">SUMIF($J$37:$AG$37,AI$37,$J308:$AG308)</f>
        <v>16062.139473125866</v>
      </c>
      <c r="AJ308" s="8">
        <f t="shared" ca="1" si="449"/>
        <v>33048.538146074308</v>
      </c>
      <c r="AK308" s="8">
        <f ca="1">IF(Input!$F$10=1,SUM(AK356,AK362,AK366),0)</f>
        <v>39510.590148997202</v>
      </c>
      <c r="AL308" s="8">
        <f ca="1">IF(Input!$F$10=1,SUM(AL356,AL362,AL366),0)</f>
        <v>91478.449851181154</v>
      </c>
      <c r="AM308" s="8">
        <f ca="1">IF(Input!$F$10=1,SUM(AM356,AM362,AM366),0)</f>
        <v>107743.91809413719</v>
      </c>
      <c r="AN308" s="8">
        <f ca="1">IF(Input!$F$10=1,SUM(AN356,AN362,AN366),0)</f>
        <v>116731.42180480743</v>
      </c>
      <c r="AO308" s="8">
        <f ca="1">IF(Input!$F$10=1,SUM(AO356,AO362,AO366),0)</f>
        <v>125873.93439526977</v>
      </c>
      <c r="AP308" s="8">
        <f ca="1">IF(Input!$F$10=1,SUM(AP356,AP362,AP366),0)</f>
        <v>134423.33074478791</v>
      </c>
      <c r="AQ308" s="8"/>
      <c r="AR308" s="8"/>
      <c r="AS308" s="8"/>
      <c r="AT308" s="8"/>
      <c r="AU308" s="131"/>
      <c r="AV308" s="131"/>
      <c r="AW308" s="131"/>
      <c r="AX308" s="131"/>
      <c r="AY308" s="131"/>
      <c r="AZ308" s="131"/>
      <c r="BA308" s="131"/>
      <c r="BB308" s="131"/>
      <c r="BC308" s="131"/>
      <c r="BD308" s="131"/>
      <c r="BE308" s="131"/>
      <c r="BF308" s="131"/>
      <c r="BG308" s="131"/>
      <c r="BH308" s="131"/>
      <c r="BI308" s="131"/>
      <c r="BJ308" s="131"/>
      <c r="BK308" s="131"/>
      <c r="BL308" s="131"/>
      <c r="BM308" s="131"/>
      <c r="BN308" s="131"/>
    </row>
    <row r="309" spans="1:66" ht="14.25" customHeight="1" x14ac:dyDescent="0.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31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</row>
    <row r="310" spans="1:66" ht="14.25" customHeight="1" x14ac:dyDescent="0.3">
      <c r="A310" s="15"/>
      <c r="B310" s="15" t="s">
        <v>284</v>
      </c>
      <c r="C310" s="15"/>
      <c r="D310" s="15" t="s">
        <v>4</v>
      </c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31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</row>
    <row r="311" spans="1:66" ht="14.25" customHeight="1" x14ac:dyDescent="0.3">
      <c r="A311" s="15"/>
      <c r="B311" s="15" t="s">
        <v>285</v>
      </c>
      <c r="C311" s="15"/>
      <c r="D311" s="15" t="s">
        <v>4</v>
      </c>
      <c r="E311" s="15"/>
      <c r="F311" s="15"/>
      <c r="G311" s="15"/>
      <c r="H311" s="15"/>
      <c r="I311" s="15"/>
      <c r="J311" s="136">
        <v>0</v>
      </c>
      <c r="K311" s="8">
        <f t="shared" ref="K311:AG311" ca="1" si="450">J314</f>
        <v>13147.486102342509</v>
      </c>
      <c r="L311" s="8">
        <f t="shared" ca="1" si="450"/>
        <v>13876.351102342509</v>
      </c>
      <c r="M311" s="8">
        <f t="shared" ca="1" si="450"/>
        <v>14605.081439842508</v>
      </c>
      <c r="N311" s="8">
        <f t="shared" ca="1" si="450"/>
        <v>15333.677451498757</v>
      </c>
      <c r="O311" s="8">
        <f t="shared" ca="1" si="450"/>
        <v>16062.139473125866</v>
      </c>
      <c r="P311" s="8">
        <f t="shared" ca="1" si="450"/>
        <v>16866.942318189078</v>
      </c>
      <c r="Q311" s="8">
        <f t="shared" ca="1" si="450"/>
        <v>18466.06568907226</v>
      </c>
      <c r="R311" s="8">
        <f t="shared" ca="1" si="450"/>
        <v>19270.574263209186</v>
      </c>
      <c r="S311" s="8">
        <f t="shared" ca="1" si="450"/>
        <v>20074.936253410771</v>
      </c>
      <c r="T311" s="8">
        <f t="shared" ca="1" si="450"/>
        <v>20879.152026136853</v>
      </c>
      <c r="U311" s="8">
        <f t="shared" ca="1" si="450"/>
        <v>21683.221946931117</v>
      </c>
      <c r="V311" s="8">
        <f t="shared" ca="1" si="450"/>
        <v>22487.146380423397</v>
      </c>
      <c r="W311" s="8">
        <f t="shared" ca="1" si="450"/>
        <v>45888.275515102578</v>
      </c>
      <c r="X311" s="8">
        <f t="shared" ca="1" si="450"/>
        <v>46691.910064236356</v>
      </c>
      <c r="Y311" s="8">
        <f t="shared" ca="1" si="450"/>
        <v>47521.392011607495</v>
      </c>
      <c r="Z311" s="8">
        <f t="shared" ca="1" si="450"/>
        <v>48316.095851453647</v>
      </c>
      <c r="AA311" s="8">
        <f t="shared" ca="1" si="450"/>
        <v>49110.677619200178</v>
      </c>
      <c r="AB311" s="8">
        <f t="shared" ca="1" si="450"/>
        <v>49988.312995110064</v>
      </c>
      <c r="AC311" s="8">
        <f t="shared" ca="1" si="450"/>
        <v>52050.563025359399</v>
      </c>
      <c r="AD311" s="8">
        <f t="shared" ca="1" si="450"/>
        <v>52927.931517786616</v>
      </c>
      <c r="AE311" s="8">
        <f t="shared" ca="1" si="450"/>
        <v>53805.167068670264</v>
      </c>
      <c r="AF311" s="8">
        <f t="shared" ca="1" si="450"/>
        <v>54682.270010364198</v>
      </c>
      <c r="AG311" s="8">
        <f t="shared" ca="1" si="450"/>
        <v>55559.240674391403</v>
      </c>
      <c r="AH311" s="15"/>
      <c r="AI311" s="136">
        <v>0</v>
      </c>
      <c r="AJ311" s="8">
        <f t="shared" ref="AJ311:AT311" ca="1" si="451">AI314</f>
        <v>16062.139473125866</v>
      </c>
      <c r="AK311" s="8">
        <f t="shared" ca="1" si="451"/>
        <v>49110.677619200171</v>
      </c>
      <c r="AL311" s="8">
        <f t="shared" ca="1" si="451"/>
        <v>72559.12829507151</v>
      </c>
      <c r="AM311" s="8">
        <f t="shared" ca="1" si="451"/>
        <v>130989.04000017836</v>
      </c>
      <c r="AN311" s="8">
        <f t="shared" ca="1" si="451"/>
        <v>199222.36794531834</v>
      </c>
      <c r="AO311" s="8">
        <f t="shared" ca="1" si="451"/>
        <v>224475.33989894463</v>
      </c>
      <c r="AP311" s="8">
        <f t="shared" ca="1" si="451"/>
        <v>242605.35620007719</v>
      </c>
      <c r="AQ311" s="8">
        <f ca="1">AP314</f>
        <v>260297.26514005766</v>
      </c>
      <c r="AR311" s="8">
        <f t="shared" ca="1" si="451"/>
        <v>134423.33074478788</v>
      </c>
      <c r="AS311" s="8">
        <f t="shared" ca="1" si="451"/>
        <v>0</v>
      </c>
      <c r="AT311" s="8">
        <f t="shared" ca="1" si="451"/>
        <v>0</v>
      </c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</row>
    <row r="312" spans="1:66" ht="14.25" customHeight="1" x14ac:dyDescent="0.3">
      <c r="A312" s="15"/>
      <c r="B312" s="15" t="s">
        <v>286</v>
      </c>
      <c r="C312" s="15"/>
      <c r="D312" s="15" t="s">
        <v>4</v>
      </c>
      <c r="E312" s="15"/>
      <c r="F312" s="15"/>
      <c r="G312" s="15"/>
      <c r="H312" s="15"/>
      <c r="I312" s="15"/>
      <c r="J312" s="8">
        <f t="shared" ref="J312:AG312" ca="1" si="452">J308</f>
        <v>13147.486102342509</v>
      </c>
      <c r="K312" s="8">
        <f t="shared" ca="1" si="452"/>
        <v>728.86500000000001</v>
      </c>
      <c r="L312" s="8">
        <f t="shared" ca="1" si="452"/>
        <v>728.73033750000002</v>
      </c>
      <c r="M312" s="8">
        <f t="shared" ca="1" si="452"/>
        <v>728.59601165624997</v>
      </c>
      <c r="N312" s="8">
        <f t="shared" ca="1" si="452"/>
        <v>728.46202162710938</v>
      </c>
      <c r="O312" s="8">
        <f t="shared" ca="1" si="452"/>
        <v>804.80284506321095</v>
      </c>
      <c r="P312" s="8">
        <f t="shared" ca="1" si="452"/>
        <v>1599.123370883181</v>
      </c>
      <c r="Q312" s="8">
        <f t="shared" ca="1" si="452"/>
        <v>804.50857413692654</v>
      </c>
      <c r="R312" s="8">
        <f t="shared" ca="1" si="452"/>
        <v>804.36199020158426</v>
      </c>
      <c r="S312" s="8">
        <f t="shared" ca="1" si="452"/>
        <v>804.21577272608033</v>
      </c>
      <c r="T312" s="8">
        <f t="shared" ca="1" si="452"/>
        <v>804.06992079426504</v>
      </c>
      <c r="U312" s="8">
        <f t="shared" ca="1" si="452"/>
        <v>803.92443349227938</v>
      </c>
      <c r="V312" s="8">
        <f t="shared" ca="1" si="452"/>
        <v>23401.12913467918</v>
      </c>
      <c r="W312" s="8">
        <f t="shared" ca="1" si="452"/>
        <v>803.63454913377734</v>
      </c>
      <c r="X312" s="8">
        <f t="shared" ca="1" si="452"/>
        <v>829.48194737114261</v>
      </c>
      <c r="Y312" s="8">
        <f t="shared" ca="1" si="452"/>
        <v>794.70383984614909</v>
      </c>
      <c r="Z312" s="8">
        <f t="shared" ca="1" si="452"/>
        <v>794.58176774653373</v>
      </c>
      <c r="AA312" s="8">
        <f t="shared" ca="1" si="452"/>
        <v>877.63537590988426</v>
      </c>
      <c r="AB312" s="8">
        <f t="shared" ca="1" si="452"/>
        <v>2062.2500302493372</v>
      </c>
      <c r="AC312" s="8">
        <f t="shared" ca="1" si="452"/>
        <v>877.36849242721541</v>
      </c>
      <c r="AD312" s="8">
        <f t="shared" ca="1" si="452"/>
        <v>877.23555088364742</v>
      </c>
      <c r="AE312" s="8">
        <f t="shared" ca="1" si="452"/>
        <v>877.10294169393819</v>
      </c>
      <c r="AF312" s="8">
        <f t="shared" ca="1" si="452"/>
        <v>876.97066402720338</v>
      </c>
      <c r="AG312" s="8">
        <f t="shared" ca="1" si="452"/>
        <v>876.83871705463548</v>
      </c>
      <c r="AH312" s="15"/>
      <c r="AI312" s="8">
        <f t="shared" ref="AI312:AS312" ca="1" si="453">AI308</f>
        <v>16062.139473125866</v>
      </c>
      <c r="AJ312" s="8">
        <f t="shared" ca="1" si="453"/>
        <v>33048.538146074308</v>
      </c>
      <c r="AK312" s="8">
        <f t="shared" ca="1" si="453"/>
        <v>39510.590148997202</v>
      </c>
      <c r="AL312" s="8">
        <f ca="1">AL308</f>
        <v>91478.449851181154</v>
      </c>
      <c r="AM312" s="8">
        <f t="shared" ca="1" si="453"/>
        <v>107743.91809413719</v>
      </c>
      <c r="AN312" s="8">
        <f t="shared" ca="1" si="453"/>
        <v>116731.42180480743</v>
      </c>
      <c r="AO312" s="8">
        <f t="shared" ca="1" si="453"/>
        <v>125873.93439526977</v>
      </c>
      <c r="AP312" s="8">
        <f t="shared" ca="1" si="453"/>
        <v>134423.33074478791</v>
      </c>
      <c r="AQ312" s="8">
        <f t="shared" si="453"/>
        <v>0</v>
      </c>
      <c r="AR312" s="8">
        <f>AR308</f>
        <v>0</v>
      </c>
      <c r="AS312" s="8">
        <f t="shared" si="453"/>
        <v>0</v>
      </c>
      <c r="AT312" s="8">
        <f t="shared" ref="AT312" si="454">AT308</f>
        <v>0</v>
      </c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</row>
    <row r="313" spans="1:66" ht="14.25" customHeight="1" x14ac:dyDescent="0.3">
      <c r="A313" s="15"/>
      <c r="B313" s="15" t="s">
        <v>287</v>
      </c>
      <c r="C313" s="15"/>
      <c r="D313" s="15" t="s">
        <v>4</v>
      </c>
      <c r="E313" s="109">
        <v>2</v>
      </c>
      <c r="F313" s="9" t="s">
        <v>288</v>
      </c>
      <c r="G313" s="15"/>
      <c r="H313" s="15"/>
      <c r="I313" s="15"/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15"/>
      <c r="AI313" s="8">
        <f t="shared" ref="AI313" si="455">SUMIF($J$37:$AG$37,AI$37,$J313:$AG313)</f>
        <v>0</v>
      </c>
      <c r="AJ313" s="8">
        <f t="shared" ref="AJ313" si="456">SUMIF($J$37:$AG$37,AJ$37,$J313:$AG313)</f>
        <v>0</v>
      </c>
      <c r="AK313" s="8">
        <f t="array" aca="1" ref="AK313" ca="1">-OFFSET(AK312,,-$E$313,,)</f>
        <v>-16062.139473125866</v>
      </c>
      <c r="AL313" s="8">
        <f t="array" aca="1" ref="AL313" ca="1">-OFFSET(AL312,,-$E$313,,)</f>
        <v>-33048.538146074308</v>
      </c>
      <c r="AM313" s="8">
        <f t="array" aca="1" ref="AM313" ca="1">-OFFSET(AM312,,-$E$313,,)</f>
        <v>-39510.590148997202</v>
      </c>
      <c r="AN313" s="8">
        <f t="array" aca="1" ref="AN313" ca="1">-OFFSET(AN312,,-$E$313,,)</f>
        <v>-91478.449851181154</v>
      </c>
      <c r="AO313" s="8">
        <f t="array" aca="1" ref="AO313" ca="1">-OFFSET(AO312,,-$E$313,,)</f>
        <v>-107743.91809413719</v>
      </c>
      <c r="AP313" s="8">
        <f t="array" aca="1" ref="AP313" ca="1">-OFFSET(AP312,,-$E$313,,)</f>
        <v>-116731.42180480743</v>
      </c>
      <c r="AQ313" s="8">
        <f t="array" aca="1" ref="AQ313" ca="1">-OFFSET(AQ312,,-$E$313,,)</f>
        <v>-125873.93439526977</v>
      </c>
      <c r="AR313" s="8">
        <f t="array" aca="1" ref="AR313" ca="1">-OFFSET(AR312,,-$E$313,,)</f>
        <v>-134423.33074478791</v>
      </c>
      <c r="AS313" s="8">
        <f t="array" aca="1" ref="AS313" ca="1">-OFFSET(AS312,,-$E$313,,)</f>
        <v>0</v>
      </c>
      <c r="AT313" s="8">
        <f t="array" aca="1" ref="AT313" ca="1">-OFFSET(AT312,,-$E$313,,)</f>
        <v>0</v>
      </c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</row>
    <row r="314" spans="1:66" ht="14.25" customHeight="1" x14ac:dyDescent="0.3">
      <c r="A314" s="15"/>
      <c r="B314" s="15" t="s">
        <v>289</v>
      </c>
      <c r="C314" s="15"/>
      <c r="D314" s="15" t="s">
        <v>4</v>
      </c>
      <c r="E314" s="15"/>
      <c r="F314" s="15"/>
      <c r="G314" s="15"/>
      <c r="H314" s="15"/>
      <c r="I314" s="15"/>
      <c r="J314" s="8">
        <f t="shared" ref="J314:AG314" ca="1" si="457">SUM(J311:J313)</f>
        <v>13147.486102342509</v>
      </c>
      <c r="K314" s="8">
        <f t="shared" ca="1" si="457"/>
        <v>13876.351102342509</v>
      </c>
      <c r="L314" s="8">
        <f t="shared" ca="1" si="457"/>
        <v>14605.081439842508</v>
      </c>
      <c r="M314" s="8">
        <f t="shared" ca="1" si="457"/>
        <v>15333.677451498757</v>
      </c>
      <c r="N314" s="8">
        <f t="shared" ca="1" si="457"/>
        <v>16062.139473125866</v>
      </c>
      <c r="O314" s="8">
        <f t="shared" ca="1" si="457"/>
        <v>16866.942318189078</v>
      </c>
      <c r="P314" s="8">
        <f t="shared" ca="1" si="457"/>
        <v>18466.06568907226</v>
      </c>
      <c r="Q314" s="8">
        <f t="shared" ca="1" si="457"/>
        <v>19270.574263209186</v>
      </c>
      <c r="R314" s="8">
        <f t="shared" ca="1" si="457"/>
        <v>20074.936253410771</v>
      </c>
      <c r="S314" s="8">
        <f t="shared" ca="1" si="457"/>
        <v>20879.152026136853</v>
      </c>
      <c r="T314" s="8">
        <f t="shared" ca="1" si="457"/>
        <v>21683.221946931117</v>
      </c>
      <c r="U314" s="8">
        <f t="shared" ca="1" si="457"/>
        <v>22487.146380423397</v>
      </c>
      <c r="V314" s="8">
        <f t="shared" ca="1" si="457"/>
        <v>45888.275515102578</v>
      </c>
      <c r="W314" s="8">
        <f t="shared" ca="1" si="457"/>
        <v>46691.910064236356</v>
      </c>
      <c r="X314" s="8">
        <f t="shared" ca="1" si="457"/>
        <v>47521.392011607495</v>
      </c>
      <c r="Y314" s="8">
        <f t="shared" ca="1" si="457"/>
        <v>48316.095851453647</v>
      </c>
      <c r="Z314" s="8">
        <f t="shared" ca="1" si="457"/>
        <v>49110.677619200178</v>
      </c>
      <c r="AA314" s="8">
        <f t="shared" ca="1" si="457"/>
        <v>49988.312995110064</v>
      </c>
      <c r="AB314" s="8">
        <f t="shared" ca="1" si="457"/>
        <v>52050.563025359399</v>
      </c>
      <c r="AC314" s="8">
        <f t="shared" ca="1" si="457"/>
        <v>52927.931517786616</v>
      </c>
      <c r="AD314" s="8">
        <f t="shared" ca="1" si="457"/>
        <v>53805.167068670264</v>
      </c>
      <c r="AE314" s="8">
        <f t="shared" ca="1" si="457"/>
        <v>54682.270010364198</v>
      </c>
      <c r="AF314" s="8">
        <f t="shared" ca="1" si="457"/>
        <v>55559.240674391403</v>
      </c>
      <c r="AG314" s="8">
        <f t="shared" ca="1" si="457"/>
        <v>56436.079391446037</v>
      </c>
      <c r="AH314" s="15"/>
      <c r="AI314" s="8">
        <f t="shared" ref="AI314:AS314" ca="1" si="458">SUM(AI311:AI313)</f>
        <v>16062.139473125866</v>
      </c>
      <c r="AJ314" s="8">
        <f t="shared" ca="1" si="458"/>
        <v>49110.677619200171</v>
      </c>
      <c r="AK314" s="8">
        <f t="shared" ca="1" si="458"/>
        <v>72559.12829507151</v>
      </c>
      <c r="AL314" s="8">
        <f t="shared" ca="1" si="458"/>
        <v>130989.04000017836</v>
      </c>
      <c r="AM314" s="8">
        <f t="shared" ca="1" si="458"/>
        <v>199222.36794531834</v>
      </c>
      <c r="AN314" s="8">
        <f t="shared" ca="1" si="458"/>
        <v>224475.33989894463</v>
      </c>
      <c r="AO314" s="8">
        <f t="shared" ca="1" si="458"/>
        <v>242605.35620007719</v>
      </c>
      <c r="AP314" s="8">
        <f t="shared" ca="1" si="458"/>
        <v>260297.26514005766</v>
      </c>
      <c r="AQ314" s="8">
        <f t="shared" ca="1" si="458"/>
        <v>134423.33074478788</v>
      </c>
      <c r="AR314" s="8">
        <f t="shared" ca="1" si="458"/>
        <v>0</v>
      </c>
      <c r="AS314" s="8">
        <f t="shared" ca="1" si="458"/>
        <v>0</v>
      </c>
      <c r="AT314" s="8">
        <f t="shared" ref="AT314" ca="1" si="459">SUM(AT311:AT313)</f>
        <v>0</v>
      </c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</row>
    <row r="315" spans="1:66" ht="14.25" customHeight="1" x14ac:dyDescent="0.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</row>
    <row r="316" spans="1:66" ht="14.25" customHeight="1" x14ac:dyDescent="0.3">
      <c r="A316" s="15"/>
      <c r="B316" s="15" t="s">
        <v>290</v>
      </c>
      <c r="C316" s="15"/>
      <c r="D316" s="15" t="s">
        <v>4</v>
      </c>
      <c r="E316" s="15"/>
      <c r="F316" s="15"/>
      <c r="G316" s="15"/>
      <c r="H316" s="15"/>
      <c r="I316" s="15"/>
      <c r="J316" s="8">
        <f t="shared" ref="J316:AG316" ca="1" si="460">ROUNDUP(J314,-3)</f>
        <v>14000</v>
      </c>
      <c r="K316" s="8">
        <f t="shared" ca="1" si="460"/>
        <v>14000</v>
      </c>
      <c r="L316" s="8">
        <f t="shared" ca="1" si="460"/>
        <v>15000</v>
      </c>
      <c r="M316" s="8">
        <f t="shared" ca="1" si="460"/>
        <v>16000</v>
      </c>
      <c r="N316" s="8">
        <f t="shared" ca="1" si="460"/>
        <v>17000</v>
      </c>
      <c r="O316" s="8">
        <f t="shared" ca="1" si="460"/>
        <v>17000</v>
      </c>
      <c r="P316" s="8">
        <f t="shared" ca="1" si="460"/>
        <v>19000</v>
      </c>
      <c r="Q316" s="8">
        <f t="shared" ca="1" si="460"/>
        <v>20000</v>
      </c>
      <c r="R316" s="8">
        <f t="shared" ca="1" si="460"/>
        <v>21000</v>
      </c>
      <c r="S316" s="8">
        <f t="shared" ca="1" si="460"/>
        <v>21000</v>
      </c>
      <c r="T316" s="8">
        <f t="shared" ca="1" si="460"/>
        <v>22000</v>
      </c>
      <c r="U316" s="8">
        <f t="shared" ca="1" si="460"/>
        <v>23000</v>
      </c>
      <c r="V316" s="8">
        <f t="shared" ca="1" si="460"/>
        <v>46000</v>
      </c>
      <c r="W316" s="8">
        <f t="shared" ca="1" si="460"/>
        <v>47000</v>
      </c>
      <c r="X316" s="8">
        <f t="shared" ca="1" si="460"/>
        <v>48000</v>
      </c>
      <c r="Y316" s="8">
        <f t="shared" ca="1" si="460"/>
        <v>49000</v>
      </c>
      <c r="Z316" s="8">
        <f t="shared" ca="1" si="460"/>
        <v>50000</v>
      </c>
      <c r="AA316" s="8">
        <f t="shared" ca="1" si="460"/>
        <v>50000</v>
      </c>
      <c r="AB316" s="8">
        <f t="shared" ca="1" si="460"/>
        <v>53000</v>
      </c>
      <c r="AC316" s="8">
        <f t="shared" ca="1" si="460"/>
        <v>53000</v>
      </c>
      <c r="AD316" s="8">
        <f t="shared" ca="1" si="460"/>
        <v>54000</v>
      </c>
      <c r="AE316" s="8">
        <f t="shared" ca="1" si="460"/>
        <v>55000</v>
      </c>
      <c r="AF316" s="8">
        <f t="shared" ca="1" si="460"/>
        <v>56000</v>
      </c>
      <c r="AG316" s="8">
        <f t="shared" ca="1" si="460"/>
        <v>57000</v>
      </c>
      <c r="AH316" s="15"/>
      <c r="AI316" s="8">
        <f ca="1">ROUNDUP(AI314,-3)</f>
        <v>17000</v>
      </c>
      <c r="AJ316" s="8">
        <f ca="1">ROUNDUP(AJ314,0)</f>
        <v>49111</v>
      </c>
      <c r="AK316" s="8">
        <f ca="1">ROUNDUP(AK314,-3)</f>
        <v>73000</v>
      </c>
      <c r="AL316" s="8">
        <f t="shared" ref="AL316:AN316" ca="1" si="461">ROUNDUP(AL314,0)</f>
        <v>130990</v>
      </c>
      <c r="AM316" s="8">
        <f t="shared" ca="1" si="461"/>
        <v>199223</v>
      </c>
      <c r="AN316" s="8">
        <f t="shared" ca="1" si="461"/>
        <v>224476</v>
      </c>
      <c r="AO316" s="8">
        <f t="shared" ref="AO316:AS316" ca="1" si="462">ROUNDUP(AO314,-4)</f>
        <v>250000</v>
      </c>
      <c r="AP316" s="8">
        <f t="shared" ca="1" si="462"/>
        <v>270000</v>
      </c>
      <c r="AQ316" s="8">
        <f t="shared" ca="1" si="462"/>
        <v>140000</v>
      </c>
      <c r="AR316" s="8">
        <f t="shared" ca="1" si="462"/>
        <v>0</v>
      </c>
      <c r="AS316" s="8">
        <f t="shared" ca="1" si="462"/>
        <v>0</v>
      </c>
      <c r="AT316" s="8">
        <f t="shared" ref="AT316" ca="1" si="463">ROUNDUP(AT314,-4)</f>
        <v>0</v>
      </c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</row>
    <row r="317" spans="1:66" ht="13.5" customHeight="1" x14ac:dyDescent="0.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</row>
    <row r="318" spans="1:66" ht="13.5" customHeight="1" x14ac:dyDescent="0.3">
      <c r="A318" s="2" t="s">
        <v>0</v>
      </c>
      <c r="B318" s="3" t="s">
        <v>291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  <c r="BJ318" s="41"/>
      <c r="BK318" s="41"/>
      <c r="BL318" s="41"/>
      <c r="BM318" s="41"/>
      <c r="BN318" s="41"/>
    </row>
    <row r="319" spans="1:66" ht="13.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9">
        <f t="shared" ref="J319:AG319" si="464">J280</f>
        <v>46265</v>
      </c>
      <c r="K319" s="79">
        <f t="shared" si="464"/>
        <v>46295</v>
      </c>
      <c r="L319" s="79">
        <f t="shared" si="464"/>
        <v>46325</v>
      </c>
      <c r="M319" s="79">
        <f t="shared" si="464"/>
        <v>46356</v>
      </c>
      <c r="N319" s="79">
        <f t="shared" si="464"/>
        <v>46386</v>
      </c>
      <c r="O319" s="79">
        <f t="shared" si="464"/>
        <v>46417</v>
      </c>
      <c r="P319" s="79">
        <f t="shared" si="464"/>
        <v>46446</v>
      </c>
      <c r="Q319" s="79">
        <f t="shared" si="464"/>
        <v>46474</v>
      </c>
      <c r="R319" s="79">
        <f t="shared" si="464"/>
        <v>46505</v>
      </c>
      <c r="S319" s="79">
        <f t="shared" si="464"/>
        <v>46535</v>
      </c>
      <c r="T319" s="79">
        <f t="shared" si="464"/>
        <v>46566</v>
      </c>
      <c r="U319" s="79">
        <f t="shared" si="464"/>
        <v>46596</v>
      </c>
      <c r="V319" s="79">
        <f t="shared" si="464"/>
        <v>46627</v>
      </c>
      <c r="W319" s="79">
        <f t="shared" si="464"/>
        <v>46658</v>
      </c>
      <c r="X319" s="79">
        <f t="shared" si="464"/>
        <v>46688</v>
      </c>
      <c r="Y319" s="79">
        <f t="shared" si="464"/>
        <v>46719</v>
      </c>
      <c r="Z319" s="79">
        <f t="shared" si="464"/>
        <v>46749</v>
      </c>
      <c r="AA319" s="79">
        <f t="shared" si="464"/>
        <v>46780</v>
      </c>
      <c r="AB319" s="79">
        <f t="shared" si="464"/>
        <v>46811</v>
      </c>
      <c r="AC319" s="79">
        <f t="shared" si="464"/>
        <v>46840</v>
      </c>
      <c r="AD319" s="79">
        <f t="shared" si="464"/>
        <v>46871</v>
      </c>
      <c r="AE319" s="79">
        <f t="shared" si="464"/>
        <v>46901</v>
      </c>
      <c r="AF319" s="79">
        <f t="shared" si="464"/>
        <v>46932</v>
      </c>
      <c r="AG319" s="79">
        <f t="shared" si="464"/>
        <v>46962</v>
      </c>
      <c r="AH319" s="7"/>
      <c r="AI319" s="137">
        <f>AI280</f>
        <v>2026</v>
      </c>
      <c r="AJ319" s="137">
        <f t="shared" ref="AJ319:AT319" si="465">AI319+1</f>
        <v>2027</v>
      </c>
      <c r="AK319" s="137">
        <f t="shared" si="465"/>
        <v>2028</v>
      </c>
      <c r="AL319" s="137">
        <f t="shared" si="465"/>
        <v>2029</v>
      </c>
      <c r="AM319" s="137">
        <f t="shared" si="465"/>
        <v>2030</v>
      </c>
      <c r="AN319" s="137">
        <f t="shared" si="465"/>
        <v>2031</v>
      </c>
      <c r="AO319" s="137">
        <f t="shared" si="465"/>
        <v>2032</v>
      </c>
      <c r="AP319" s="137">
        <f t="shared" si="465"/>
        <v>2033</v>
      </c>
      <c r="AQ319" s="137">
        <f t="shared" si="465"/>
        <v>2034</v>
      </c>
      <c r="AR319" s="137">
        <f t="shared" si="465"/>
        <v>2035</v>
      </c>
      <c r="AS319" s="137">
        <f t="shared" si="465"/>
        <v>2036</v>
      </c>
      <c r="AT319" s="137">
        <f t="shared" si="465"/>
        <v>2037</v>
      </c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</row>
    <row r="320" spans="1:66" ht="13.5" customHeight="1" x14ac:dyDescent="0.3">
      <c r="A320" s="7"/>
      <c r="B320" s="15" t="str">
        <f>B240</f>
        <v>Чистая прибыль</v>
      </c>
      <c r="C320" s="7"/>
      <c r="D320" s="15" t="s">
        <v>4</v>
      </c>
      <c r="E320" s="7"/>
      <c r="F320" s="7"/>
      <c r="G320" s="7"/>
      <c r="H320" s="7"/>
      <c r="I320" s="7"/>
      <c r="J320" s="8">
        <f t="shared" ref="J320:AG320" ca="1" si="466">J240</f>
        <v>49059.556412851991</v>
      </c>
      <c r="K320" s="8">
        <f t="shared" ca="1" si="466"/>
        <v>-6583.7209954813479</v>
      </c>
      <c r="L320" s="8">
        <f t="shared" ca="1" si="466"/>
        <v>-6588.622544898014</v>
      </c>
      <c r="M320" s="8">
        <f t="shared" ca="1" si="466"/>
        <v>-8035.3742733144845</v>
      </c>
      <c r="N320" s="8">
        <f t="shared" ca="1" si="466"/>
        <v>-8034.8497004519568</v>
      </c>
      <c r="O320" s="8">
        <f t="shared" ca="1" si="466"/>
        <v>-13111.83882868874</v>
      </c>
      <c r="P320" s="8">
        <f t="shared" ca="1" si="466"/>
        <v>-8290.3568609223294</v>
      </c>
      <c r="Q320" s="8">
        <f t="shared" ca="1" si="466"/>
        <v>-8400.9389859495968</v>
      </c>
      <c r="R320" s="8">
        <f t="shared" ca="1" si="466"/>
        <v>-10474.486336992783</v>
      </c>
      <c r="S320" s="8">
        <f t="shared" ca="1" si="466"/>
        <v>-6914.4755252169216</v>
      </c>
      <c r="T320" s="8">
        <f t="shared" ca="1" si="466"/>
        <v>-6965.3273750569815</v>
      </c>
      <c r="U320" s="8">
        <f t="shared" ca="1" si="466"/>
        <v>-6921.3646632497066</v>
      </c>
      <c r="V320" s="8">
        <f t="shared" ca="1" si="466"/>
        <v>-7086.8834015297016</v>
      </c>
      <c r="W320" s="8">
        <f t="shared" ca="1" si="466"/>
        <v>-7088.6627520177344</v>
      </c>
      <c r="X320" s="8">
        <f t="shared" ca="1" si="466"/>
        <v>27594.681804860826</v>
      </c>
      <c r="Y320" s="8">
        <f t="shared" ca="1" si="466"/>
        <v>-10352.089738978349</v>
      </c>
      <c r="Z320" s="8">
        <f t="shared" ca="1" si="466"/>
        <v>-10409.902106439358</v>
      </c>
      <c r="AA320" s="8">
        <f t="shared" ca="1" si="466"/>
        <v>-10979.111081778317</v>
      </c>
      <c r="AB320" s="8">
        <f t="shared" ca="1" si="466"/>
        <v>-10886.283942725204</v>
      </c>
      <c r="AC320" s="8">
        <f t="shared" ca="1" si="466"/>
        <v>-11186.669178946255</v>
      </c>
      <c r="AD320" s="8">
        <f t="shared" ca="1" si="466"/>
        <v>-11225.31892131327</v>
      </c>
      <c r="AE320" s="8">
        <f t="shared" ca="1" si="466"/>
        <v>-7501.2514718783459</v>
      </c>
      <c r="AF320" s="8">
        <f t="shared" ca="1" si="466"/>
        <v>-7547.1984901099067</v>
      </c>
      <c r="AG320" s="8">
        <f t="shared" ca="1" si="466"/>
        <v>-7504.5653810771355</v>
      </c>
      <c r="AH320" s="7"/>
      <c r="AI320" s="8">
        <f t="shared" ref="AI320:AT320" ca="1" si="467">AI240</f>
        <v>18272.487048465453</v>
      </c>
      <c r="AJ320" s="8">
        <f t="shared" ca="1" si="467"/>
        <v>-50067.057493704524</v>
      </c>
      <c r="AK320" s="8">
        <f t="shared" ca="1" si="467"/>
        <v>-1736.7356369876106</v>
      </c>
      <c r="AL320" s="8">
        <f t="shared" ca="1" si="467"/>
        <v>924.97012249071554</v>
      </c>
      <c r="AM320" s="8">
        <f t="shared" ca="1" si="467"/>
        <v>28272.534743361262</v>
      </c>
      <c r="AN320" s="8">
        <f t="shared" ca="1" si="467"/>
        <v>120206.12530987321</v>
      </c>
      <c r="AO320" s="8">
        <f t="shared" ca="1" si="467"/>
        <v>143887.71842090908</v>
      </c>
      <c r="AP320" s="8">
        <f t="shared" ca="1" si="467"/>
        <v>156995.29569371635</v>
      </c>
      <c r="AQ320" s="8">
        <f t="shared" ca="1" si="467"/>
        <v>176859.9674185683</v>
      </c>
      <c r="AR320" s="8">
        <f t="shared" ca="1" si="467"/>
        <v>196901.47681129054</v>
      </c>
      <c r="AS320" s="8">
        <f t="shared" ca="1" si="467"/>
        <v>209079.49227844254</v>
      </c>
      <c r="AT320" s="8">
        <f t="shared" ca="1" si="467"/>
        <v>225086.84510802949</v>
      </c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</row>
    <row r="321" spans="1:66" ht="13.5" customHeight="1" x14ac:dyDescent="0.3">
      <c r="A321" s="7"/>
      <c r="B321" s="7" t="s">
        <v>292</v>
      </c>
      <c r="C321" s="7"/>
      <c r="D321" s="15" t="s">
        <v>4</v>
      </c>
      <c r="E321" s="7"/>
      <c r="F321" s="7"/>
      <c r="G321" s="7"/>
      <c r="H321" s="7"/>
      <c r="I321" s="7"/>
      <c r="J321" s="8">
        <f t="shared" ref="J321:AG321" si="468">-SUM(J232:J233)</f>
        <v>1980.7714397499999</v>
      </c>
      <c r="K321" s="8">
        <f t="shared" si="468"/>
        <v>1980.7714397499999</v>
      </c>
      <c r="L321" s="8">
        <f t="shared" si="468"/>
        <v>1980.7714397499999</v>
      </c>
      <c r="M321" s="8">
        <f t="shared" si="468"/>
        <v>1980.7714397499999</v>
      </c>
      <c r="N321" s="8">
        <f t="shared" si="468"/>
        <v>1980.7714397499999</v>
      </c>
      <c r="O321" s="8">
        <f t="shared" si="468"/>
        <v>1980.7714397499999</v>
      </c>
      <c r="P321" s="8">
        <f t="shared" si="468"/>
        <v>1980.7714397499999</v>
      </c>
      <c r="Q321" s="8">
        <f t="shared" si="468"/>
        <v>1980.7714397499999</v>
      </c>
      <c r="R321" s="8">
        <f t="shared" si="468"/>
        <v>1980.7714397499999</v>
      </c>
      <c r="S321" s="8">
        <f t="shared" si="468"/>
        <v>1980.7714397499999</v>
      </c>
      <c r="T321" s="8">
        <f t="shared" si="468"/>
        <v>1980.7714397499999</v>
      </c>
      <c r="U321" s="8">
        <f t="shared" si="468"/>
        <v>1980.7714397499999</v>
      </c>
      <c r="V321" s="8">
        <f t="shared" si="468"/>
        <v>1980.7714397499999</v>
      </c>
      <c r="W321" s="8">
        <f t="shared" si="468"/>
        <v>1980.7714397499999</v>
      </c>
      <c r="X321" s="8">
        <f t="shared" si="468"/>
        <v>1980.7714397499999</v>
      </c>
      <c r="Y321" s="8">
        <f t="shared" si="468"/>
        <v>1980.7714397499999</v>
      </c>
      <c r="Z321" s="8">
        <f t="shared" si="468"/>
        <v>1980.7714397499999</v>
      </c>
      <c r="AA321" s="8">
        <f t="shared" si="468"/>
        <v>1980.7714397499999</v>
      </c>
      <c r="AB321" s="8">
        <f t="shared" si="468"/>
        <v>1980.7714397499999</v>
      </c>
      <c r="AC321" s="8">
        <f t="shared" si="468"/>
        <v>1980.7714397499999</v>
      </c>
      <c r="AD321" s="8">
        <f t="shared" si="468"/>
        <v>1980.7714397499999</v>
      </c>
      <c r="AE321" s="8">
        <f t="shared" si="468"/>
        <v>1980.7714397499999</v>
      </c>
      <c r="AF321" s="8">
        <f t="shared" si="468"/>
        <v>1980.7714397499999</v>
      </c>
      <c r="AG321" s="8">
        <f t="shared" si="468"/>
        <v>1980.7714397499999</v>
      </c>
      <c r="AH321" s="7"/>
      <c r="AI321" s="8">
        <f t="shared" ref="AI321:AT321" si="469">-SUM(AI232:AI233)</f>
        <v>9903.85719875</v>
      </c>
      <c r="AJ321" s="8">
        <f t="shared" si="469"/>
        <v>23769.257277000004</v>
      </c>
      <c r="AK321" s="8">
        <f t="shared" si="469"/>
        <v>23769.257277000001</v>
      </c>
      <c r="AL321" s="8">
        <f t="shared" si="469"/>
        <v>23769.257277000001</v>
      </c>
      <c r="AM321" s="8">
        <f t="shared" si="469"/>
        <v>23769.257277000001</v>
      </c>
      <c r="AN321" s="8">
        <f t="shared" si="469"/>
        <v>18965.923943666672</v>
      </c>
      <c r="AO321" s="8">
        <f t="shared" si="469"/>
        <v>12241.257277000001</v>
      </c>
      <c r="AP321" s="8">
        <f t="shared" si="469"/>
        <v>12241.257277000001</v>
      </c>
      <c r="AQ321" s="8">
        <f t="shared" si="469"/>
        <v>12241.257277000001</v>
      </c>
      <c r="AR321" s="8">
        <f t="shared" si="469"/>
        <v>12241.257277000001</v>
      </c>
      <c r="AS321" s="8">
        <f t="shared" si="469"/>
        <v>12241.257277000001</v>
      </c>
      <c r="AT321" s="8">
        <f t="shared" si="469"/>
        <v>12241.257277000001</v>
      </c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</row>
    <row r="322" spans="1:66" ht="13.5" customHeight="1" x14ac:dyDescent="0.3">
      <c r="A322" s="7"/>
      <c r="B322" s="7" t="s">
        <v>293</v>
      </c>
      <c r="C322" s="7"/>
      <c r="D322" s="15" t="s">
        <v>4</v>
      </c>
      <c r="E322" s="7"/>
      <c r="F322" s="7"/>
      <c r="G322" s="7"/>
      <c r="H322" s="7"/>
      <c r="I322" s="7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7"/>
      <c r="AI322" s="8">
        <f t="shared" ref="AI322:AT322" si="470">-AI229</f>
        <v>0</v>
      </c>
      <c r="AJ322" s="8">
        <f t="shared" si="470"/>
        <v>0</v>
      </c>
      <c r="AK322" s="8">
        <f t="shared" si="470"/>
        <v>0</v>
      </c>
      <c r="AL322" s="8">
        <f t="shared" si="470"/>
        <v>0</v>
      </c>
      <c r="AM322" s="8">
        <f t="shared" si="470"/>
        <v>0</v>
      </c>
      <c r="AN322" s="8">
        <f t="shared" si="470"/>
        <v>0</v>
      </c>
      <c r="AO322" s="8">
        <f t="shared" si="470"/>
        <v>0</v>
      </c>
      <c r="AP322" s="8">
        <f t="shared" si="470"/>
        <v>0</v>
      </c>
      <c r="AQ322" s="8">
        <f t="shared" si="470"/>
        <v>0</v>
      </c>
      <c r="AR322" s="8">
        <f t="shared" si="470"/>
        <v>0</v>
      </c>
      <c r="AS322" s="8">
        <f t="shared" si="470"/>
        <v>0</v>
      </c>
      <c r="AT322" s="8">
        <f t="shared" si="470"/>
        <v>0</v>
      </c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</row>
    <row r="323" spans="1:66" ht="13.5" customHeight="1" x14ac:dyDescent="0.3">
      <c r="A323" s="7"/>
      <c r="B323" s="7" t="s">
        <v>294</v>
      </c>
      <c r="C323" s="7"/>
      <c r="D323" s="15" t="s">
        <v>4</v>
      </c>
      <c r="E323" s="7"/>
      <c r="F323" s="7"/>
      <c r="G323" s="7"/>
      <c r="H323" s="7"/>
      <c r="I323" s="7"/>
      <c r="J323" s="8">
        <f t="shared" ref="J323:AG323" ca="1" si="471">SUM(J324,J325)</f>
        <v>-13147.486102342509</v>
      </c>
      <c r="K323" s="8">
        <f t="shared" ca="1" si="471"/>
        <v>188.76308333333327</v>
      </c>
      <c r="L323" s="8">
        <f t="shared" ca="1" si="471"/>
        <v>190.15564356249888</v>
      </c>
      <c r="M323" s="8">
        <f t="shared" ca="1" si="471"/>
        <v>1584.312365201562</v>
      </c>
      <c r="N323" s="8">
        <f t="shared" ca="1" si="471"/>
        <v>1629.3658248229149</v>
      </c>
      <c r="O323" s="8">
        <f t="shared" ca="1" si="471"/>
        <v>1784.0466535190435</v>
      </c>
      <c r="P323" s="8">
        <f t="shared" ca="1" si="471"/>
        <v>826.54301032036255</v>
      </c>
      <c r="Q323" s="8">
        <f t="shared" ca="1" si="471"/>
        <v>1776.8037417860778</v>
      </c>
      <c r="R323" s="8">
        <f t="shared" ca="1" si="471"/>
        <v>3699.2168091249669</v>
      </c>
      <c r="S323" s="8">
        <f t="shared" ca="1" si="471"/>
        <v>184.41748852385638</v>
      </c>
      <c r="T323" s="8">
        <f t="shared" ca="1" si="471"/>
        <v>182.30848812888348</v>
      </c>
      <c r="U323" s="8">
        <f t="shared" ca="1" si="471"/>
        <v>183.55799401900916</v>
      </c>
      <c r="V323" s="8">
        <f t="shared" ca="1" si="471"/>
        <v>-22414.219967124169</v>
      </c>
      <c r="W323" s="8">
        <f t="shared" ca="1" si="471"/>
        <v>181.03579616359639</v>
      </c>
      <c r="X323" s="8">
        <f t="shared" ca="1" si="471"/>
        <v>172.51226414009579</v>
      </c>
      <c r="Y323" s="8">
        <f t="shared" ca="1" si="471"/>
        <v>3445.2725634757517</v>
      </c>
      <c r="Z323" s="8">
        <f t="shared" ca="1" si="471"/>
        <v>3548.3204467605228</v>
      </c>
      <c r="AA323" s="8">
        <f t="shared" ca="1" si="471"/>
        <v>3743.389085773706</v>
      </c>
      <c r="AB323" s="8">
        <f t="shared" ca="1" si="471"/>
        <v>2455.6360422298949</v>
      </c>
      <c r="AC323" s="8">
        <f t="shared" ca="1" si="471"/>
        <v>4034.6886789366836</v>
      </c>
      <c r="AD323" s="8">
        <f t="shared" ca="1" si="471"/>
        <v>3970.9124799670935</v>
      </c>
      <c r="AE323" s="8">
        <f t="shared" ca="1" si="471"/>
        <v>291.6784775762851</v>
      </c>
      <c r="AF323" s="8">
        <f t="shared" ca="1" si="471"/>
        <v>284.28656759156769</v>
      </c>
      <c r="AG323" s="8">
        <f t="shared" ca="1" si="471"/>
        <v>286.48756450896849</v>
      </c>
      <c r="AH323" s="7"/>
      <c r="AI323" s="8">
        <f ca="1">SUM(AI324,AI325,AI326)</f>
        <v>-9554.8891854222002</v>
      </c>
      <c r="AJ323" s="8">
        <f ca="1">SUM(AJ324,AJ325,AJ326)</f>
        <v>-6430.1847111620009</v>
      </c>
      <c r="AK323" s="8">
        <f t="shared" ref="AK323:AS323" ca="1" si="472">SUM(AK324,AK325)</f>
        <v>-23525.516252412999</v>
      </c>
      <c r="AL323" s="8">
        <f t="shared" ca="1" si="472"/>
        <v>-51967.85970218396</v>
      </c>
      <c r="AM323" s="8">
        <f t="shared" ca="1" si="472"/>
        <v>-16265.468242956025</v>
      </c>
      <c r="AN323" s="8">
        <f t="shared" ca="1" si="472"/>
        <v>-8987.5037106702384</v>
      </c>
      <c r="AO323" s="8">
        <f t="shared" ca="1" si="472"/>
        <v>-9142.5125904623401</v>
      </c>
      <c r="AP323" s="8">
        <f t="shared" ca="1" si="472"/>
        <v>-8549.3963495181542</v>
      </c>
      <c r="AQ323" s="8">
        <f t="shared" ca="1" si="472"/>
        <v>-8463.7771358018072</v>
      </c>
      <c r="AR323" s="8">
        <f t="shared" ca="1" si="472"/>
        <v>-8294.2650054623955</v>
      </c>
      <c r="AS323" s="8">
        <f t="shared" ca="1" si="472"/>
        <v>-7306.3861557401069</v>
      </c>
      <c r="AT323" s="8">
        <f t="shared" ref="AT323" ca="1" si="473">SUM(AT324,AT325)</f>
        <v>-7654.8599642896261</v>
      </c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</row>
    <row r="324" spans="1:66" ht="13.5" customHeight="1" x14ac:dyDescent="0.3">
      <c r="A324" s="10"/>
      <c r="B324" s="10"/>
      <c r="C324" s="10" t="s">
        <v>295</v>
      </c>
      <c r="D324" s="9" t="s">
        <v>4</v>
      </c>
      <c r="E324" s="10"/>
      <c r="F324" s="10"/>
      <c r="G324" s="10"/>
      <c r="H324" s="10"/>
      <c r="I324" s="10"/>
      <c r="J324" s="11">
        <f t="shared" ref="J324:AG324" ca="1" si="474">J379</f>
        <v>-12418.486102342509</v>
      </c>
      <c r="K324" s="11">
        <f t="shared" ca="1" si="474"/>
        <v>188.76308333333327</v>
      </c>
      <c r="L324" s="11">
        <f t="shared" ca="1" si="474"/>
        <v>190.15564356249888</v>
      </c>
      <c r="M324" s="11">
        <f t="shared" ca="1" si="474"/>
        <v>1584.312365201562</v>
      </c>
      <c r="N324" s="11">
        <f t="shared" ca="1" si="474"/>
        <v>1629.3658248229149</v>
      </c>
      <c r="O324" s="11">
        <f t="shared" ca="1" si="474"/>
        <v>1784.0466535190435</v>
      </c>
      <c r="P324" s="11">
        <f t="shared" ca="1" si="474"/>
        <v>826.54301032036255</v>
      </c>
      <c r="Q324" s="11">
        <f t="shared" ca="1" si="474"/>
        <v>1776.8037417860778</v>
      </c>
      <c r="R324" s="11">
        <f t="shared" ca="1" si="474"/>
        <v>3699.2168091249669</v>
      </c>
      <c r="S324" s="11">
        <f t="shared" ca="1" si="474"/>
        <v>184.41748852385638</v>
      </c>
      <c r="T324" s="11">
        <f t="shared" ca="1" si="474"/>
        <v>182.30848812888348</v>
      </c>
      <c r="U324" s="11">
        <f t="shared" ca="1" si="474"/>
        <v>183.55799401900916</v>
      </c>
      <c r="V324" s="11">
        <f t="shared" ca="1" si="474"/>
        <v>-22414.219967124169</v>
      </c>
      <c r="W324" s="11">
        <f t="shared" ca="1" si="474"/>
        <v>181.03579616359639</v>
      </c>
      <c r="X324" s="11">
        <f t="shared" ca="1" si="474"/>
        <v>172.51226414009579</v>
      </c>
      <c r="Y324" s="11">
        <f t="shared" ca="1" si="474"/>
        <v>3445.2725634757517</v>
      </c>
      <c r="Z324" s="11">
        <f t="shared" ca="1" si="474"/>
        <v>3548.3204467605228</v>
      </c>
      <c r="AA324" s="11">
        <f t="shared" ca="1" si="474"/>
        <v>3743.389085773706</v>
      </c>
      <c r="AB324" s="11">
        <f t="shared" ca="1" si="474"/>
        <v>2455.6360422298949</v>
      </c>
      <c r="AC324" s="11">
        <f t="shared" ca="1" si="474"/>
        <v>4034.6886789366836</v>
      </c>
      <c r="AD324" s="11">
        <f t="shared" ca="1" si="474"/>
        <v>3970.9124799670935</v>
      </c>
      <c r="AE324" s="11">
        <f t="shared" ca="1" si="474"/>
        <v>291.6784775762851</v>
      </c>
      <c r="AF324" s="11">
        <f t="shared" ca="1" si="474"/>
        <v>284.28656759156769</v>
      </c>
      <c r="AG324" s="11">
        <f t="shared" ca="1" si="474"/>
        <v>286.48756450896849</v>
      </c>
      <c r="AH324" s="10"/>
      <c r="AI324" s="11">
        <f t="shared" ref="AI324:AS324" ca="1" si="475">AI379</f>
        <v>-8825.8891854222002</v>
      </c>
      <c r="AJ324" s="11">
        <f t="shared" ca="1" si="475"/>
        <v>-6430.1847111620009</v>
      </c>
      <c r="AK324" s="11">
        <f t="shared" ca="1" si="475"/>
        <v>-13509.785776396768</v>
      </c>
      <c r="AL324" s="11">
        <f t="shared" ca="1" si="475"/>
        <v>-50727.611129352561</v>
      </c>
      <c r="AM324" s="11">
        <f t="shared" ca="1" si="475"/>
        <v>-14903.137024550902</v>
      </c>
      <c r="AN324" s="11">
        <f t="shared" ca="1" si="475"/>
        <v>-7750.1137440158345</v>
      </c>
      <c r="AO324" s="11">
        <f t="shared" ca="1" si="475"/>
        <v>-7969.9854609276081</v>
      </c>
      <c r="AP324" s="11">
        <f t="shared" ca="1" si="475"/>
        <v>-7446.8896506525925</v>
      </c>
      <c r="AQ324" s="11">
        <f t="shared" ca="1" si="475"/>
        <v>-7368.4164468065137</v>
      </c>
      <c r="AR324" s="11">
        <f t="shared" ca="1" si="475"/>
        <v>-7217.4913040707324</v>
      </c>
      <c r="AS324" s="11">
        <f t="shared" ca="1" si="475"/>
        <v>-6355.2746023866348</v>
      </c>
      <c r="AT324" s="11">
        <f t="shared" ref="AT324" ca="1" si="476">AT379</f>
        <v>-6656.2249578872288</v>
      </c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</row>
    <row r="325" spans="1:66" ht="13.5" customHeight="1" x14ac:dyDescent="0.3">
      <c r="A325" s="10"/>
      <c r="B325" s="10"/>
      <c r="C325" s="10" t="s">
        <v>296</v>
      </c>
      <c r="D325" s="9" t="s">
        <v>4</v>
      </c>
      <c r="E325" s="10"/>
      <c r="F325" s="10"/>
      <c r="G325" s="10"/>
      <c r="H325" s="10"/>
      <c r="I325" s="10"/>
      <c r="J325" s="11">
        <f ca="1">J380</f>
        <v>-729</v>
      </c>
      <c r="K325" s="11">
        <f t="shared" ref="K325:AG325" ca="1" si="477">K380</f>
        <v>0</v>
      </c>
      <c r="L325" s="11">
        <f t="shared" ca="1" si="477"/>
        <v>0</v>
      </c>
      <c r="M325" s="11">
        <f t="shared" ca="1" si="477"/>
        <v>0</v>
      </c>
      <c r="N325" s="11">
        <f t="shared" ca="1" si="477"/>
        <v>0</v>
      </c>
      <c r="O325" s="11">
        <f t="shared" ca="1" si="477"/>
        <v>0</v>
      </c>
      <c r="P325" s="11">
        <f t="shared" ca="1" si="477"/>
        <v>0</v>
      </c>
      <c r="Q325" s="11">
        <f t="shared" ca="1" si="477"/>
        <v>0</v>
      </c>
      <c r="R325" s="11">
        <f t="shared" ca="1" si="477"/>
        <v>0</v>
      </c>
      <c r="S325" s="11">
        <f t="shared" ca="1" si="477"/>
        <v>0</v>
      </c>
      <c r="T325" s="11">
        <f t="shared" ca="1" si="477"/>
        <v>0</v>
      </c>
      <c r="U325" s="11">
        <f t="shared" ca="1" si="477"/>
        <v>0</v>
      </c>
      <c r="V325" s="11">
        <f t="shared" ca="1" si="477"/>
        <v>0</v>
      </c>
      <c r="W325" s="11">
        <f t="shared" ca="1" si="477"/>
        <v>0</v>
      </c>
      <c r="X325" s="11">
        <f t="shared" ca="1" si="477"/>
        <v>0</v>
      </c>
      <c r="Y325" s="11">
        <f t="shared" ca="1" si="477"/>
        <v>0</v>
      </c>
      <c r="Z325" s="11">
        <f t="shared" ca="1" si="477"/>
        <v>0</v>
      </c>
      <c r="AA325" s="11">
        <f t="shared" ca="1" si="477"/>
        <v>0</v>
      </c>
      <c r="AB325" s="11">
        <f t="shared" ca="1" si="477"/>
        <v>0</v>
      </c>
      <c r="AC325" s="11">
        <f t="shared" ca="1" si="477"/>
        <v>0</v>
      </c>
      <c r="AD325" s="11">
        <f t="shared" ca="1" si="477"/>
        <v>0</v>
      </c>
      <c r="AE325" s="11">
        <f t="shared" ca="1" si="477"/>
        <v>0</v>
      </c>
      <c r="AF325" s="11">
        <f t="shared" ca="1" si="477"/>
        <v>0</v>
      </c>
      <c r="AG325" s="11">
        <f t="shared" ca="1" si="477"/>
        <v>0</v>
      </c>
      <c r="AH325" s="10"/>
      <c r="AI325" s="11">
        <f t="shared" ref="AI325:AT326" ca="1" si="478">AI380</f>
        <v>-729</v>
      </c>
      <c r="AJ325" s="11">
        <f t="shared" ca="1" si="478"/>
        <v>0</v>
      </c>
      <c r="AK325" s="11">
        <f t="shared" ca="1" si="478"/>
        <v>-10015.730476016233</v>
      </c>
      <c r="AL325" s="11">
        <f t="shared" ca="1" si="478"/>
        <v>-1240.2485728313986</v>
      </c>
      <c r="AM325" s="11">
        <f t="shared" ca="1" si="478"/>
        <v>-1362.3312184051229</v>
      </c>
      <c r="AN325" s="11">
        <f t="shared" ca="1" si="478"/>
        <v>-1237.3899666544039</v>
      </c>
      <c r="AO325" s="11">
        <f t="shared" ca="1" si="478"/>
        <v>-1172.527129534732</v>
      </c>
      <c r="AP325" s="11">
        <f t="shared" ca="1" si="478"/>
        <v>-1102.5066988655617</v>
      </c>
      <c r="AQ325" s="11">
        <f t="shared" ca="1" si="478"/>
        <v>-1095.3606889952935</v>
      </c>
      <c r="AR325" s="11">
        <f t="shared" ca="1" si="478"/>
        <v>-1076.7737013916631</v>
      </c>
      <c r="AS325" s="11">
        <f t="shared" ca="1" si="478"/>
        <v>-951.11155335347212</v>
      </c>
      <c r="AT325" s="11">
        <f t="shared" ref="AT325" ca="1" si="479">AT380</f>
        <v>-998.63500640239727</v>
      </c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</row>
    <row r="326" spans="1:66" ht="13.5" customHeight="1" x14ac:dyDescent="0.3">
      <c r="A326" s="10"/>
      <c r="B326" s="10"/>
      <c r="C326" s="10" t="s">
        <v>685</v>
      </c>
      <c r="D326" s="9" t="s">
        <v>4</v>
      </c>
      <c r="E326" s="10"/>
      <c r="F326" s="10"/>
      <c r="G326" s="10"/>
      <c r="H326" s="10"/>
      <c r="I326" s="10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0"/>
      <c r="AI326" s="11">
        <f t="shared" si="478"/>
        <v>0</v>
      </c>
      <c r="AJ326" s="11">
        <f t="shared" si="478"/>
        <v>0</v>
      </c>
      <c r="AK326" s="11">
        <f t="shared" si="478"/>
        <v>0</v>
      </c>
      <c r="AL326" s="11">
        <f t="shared" si="478"/>
        <v>0</v>
      </c>
      <c r="AM326" s="11">
        <f t="shared" si="478"/>
        <v>0</v>
      </c>
      <c r="AN326" s="11">
        <f t="shared" si="478"/>
        <v>0</v>
      </c>
      <c r="AO326" s="11">
        <f t="shared" si="478"/>
        <v>0</v>
      </c>
      <c r="AP326" s="11">
        <f t="shared" si="478"/>
        <v>0</v>
      </c>
      <c r="AQ326" s="11">
        <f t="shared" si="478"/>
        <v>0</v>
      </c>
      <c r="AR326" s="11">
        <f t="shared" si="478"/>
        <v>0</v>
      </c>
      <c r="AS326" s="11">
        <f t="shared" si="478"/>
        <v>0</v>
      </c>
      <c r="AT326" s="11">
        <f t="shared" si="478"/>
        <v>0</v>
      </c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</row>
    <row r="327" spans="1:66" ht="13.5" customHeight="1" x14ac:dyDescent="0.3">
      <c r="A327" s="7"/>
      <c r="B327" s="5" t="s">
        <v>297</v>
      </c>
      <c r="C327" s="7"/>
      <c r="D327" s="14" t="s">
        <v>4</v>
      </c>
      <c r="E327" s="7"/>
      <c r="F327" s="7"/>
      <c r="G327" s="7"/>
      <c r="H327" s="7"/>
      <c r="I327" s="7"/>
      <c r="J327" s="12">
        <f t="shared" ref="J327:AG327" ca="1" si="480">SUM(J320:J323)</f>
        <v>37892.841750259482</v>
      </c>
      <c r="K327" s="12">
        <f t="shared" ca="1" si="480"/>
        <v>-4414.1864723980143</v>
      </c>
      <c r="L327" s="12">
        <f t="shared" ca="1" si="480"/>
        <v>-4417.6954615855157</v>
      </c>
      <c r="M327" s="12">
        <f t="shared" ca="1" si="480"/>
        <v>-4470.2904683629222</v>
      </c>
      <c r="N327" s="12">
        <f t="shared" ca="1" si="480"/>
        <v>-4424.7124358790425</v>
      </c>
      <c r="O327" s="12">
        <f t="shared" ca="1" si="480"/>
        <v>-9347.0207354196973</v>
      </c>
      <c r="P327" s="12">
        <f t="shared" ca="1" si="480"/>
        <v>-5483.0424108519665</v>
      </c>
      <c r="Q327" s="12">
        <f t="shared" ca="1" si="480"/>
        <v>-4643.3638044135187</v>
      </c>
      <c r="R327" s="12">
        <f t="shared" ca="1" si="480"/>
        <v>-4794.4980881178153</v>
      </c>
      <c r="S327" s="12">
        <f t="shared" ca="1" si="480"/>
        <v>-4749.286596943065</v>
      </c>
      <c r="T327" s="12">
        <f t="shared" ca="1" si="480"/>
        <v>-4802.2474471780988</v>
      </c>
      <c r="U327" s="12">
        <f t="shared" ca="1" si="480"/>
        <v>-4757.035229480698</v>
      </c>
      <c r="V327" s="12">
        <f t="shared" ca="1" si="480"/>
        <v>-27520.33192890387</v>
      </c>
      <c r="W327" s="12">
        <f t="shared" ca="1" si="480"/>
        <v>-4926.8555161041386</v>
      </c>
      <c r="X327" s="12">
        <f t="shared" ca="1" si="480"/>
        <v>29747.96550875092</v>
      </c>
      <c r="Y327" s="12">
        <f t="shared" ca="1" si="480"/>
        <v>-4926.0457357525975</v>
      </c>
      <c r="Z327" s="12">
        <f t="shared" ca="1" si="480"/>
        <v>-4880.8102199288351</v>
      </c>
      <c r="AA327" s="12">
        <f t="shared" ca="1" si="480"/>
        <v>-5254.950556254611</v>
      </c>
      <c r="AB327" s="12">
        <f t="shared" ca="1" si="480"/>
        <v>-6449.8764607453086</v>
      </c>
      <c r="AC327" s="12">
        <f t="shared" ca="1" si="480"/>
        <v>-5171.2090602595708</v>
      </c>
      <c r="AD327" s="12">
        <f t="shared" ca="1" si="480"/>
        <v>-5273.6350015961762</v>
      </c>
      <c r="AE327" s="12">
        <f t="shared" ca="1" si="480"/>
        <v>-5228.8015545520602</v>
      </c>
      <c r="AF327" s="12">
        <f t="shared" ca="1" si="480"/>
        <v>-5282.14048276834</v>
      </c>
      <c r="AG327" s="12">
        <f t="shared" ca="1" si="480"/>
        <v>-5237.3063768181673</v>
      </c>
      <c r="AH327" s="7"/>
      <c r="AI327" s="12">
        <f ca="1">SUM(AI320:AI323)</f>
        <v>18621.455061793255</v>
      </c>
      <c r="AJ327" s="12">
        <f ca="1">SUM(AJ320:AJ323)</f>
        <v>-32727.984927866521</v>
      </c>
      <c r="AK327" s="12">
        <f ca="1">SUM(AK320:AK323)</f>
        <v>-1492.9946124006092</v>
      </c>
      <c r="AL327" s="12">
        <f t="shared" ref="AL327:AS327" ca="1" si="481">SUM(AL320:AL323)</f>
        <v>-27273.632302693244</v>
      </c>
      <c r="AM327" s="12">
        <f t="shared" ca="1" si="481"/>
        <v>35776.323777405232</v>
      </c>
      <c r="AN327" s="12">
        <f t="shared" ca="1" si="481"/>
        <v>130184.54554286964</v>
      </c>
      <c r="AO327" s="12">
        <f t="shared" ca="1" si="481"/>
        <v>146986.46310744673</v>
      </c>
      <c r="AP327" s="12">
        <f t="shared" ca="1" si="481"/>
        <v>160687.1566211982</v>
      </c>
      <c r="AQ327" s="12">
        <f t="shared" ca="1" si="481"/>
        <v>180637.44755976647</v>
      </c>
      <c r="AR327" s="12">
        <f t="shared" ca="1" si="481"/>
        <v>200848.46908282815</v>
      </c>
      <c r="AS327" s="12">
        <f t="shared" ca="1" si="481"/>
        <v>214014.36339970244</v>
      </c>
      <c r="AT327" s="12">
        <f t="shared" ref="AT327" ca="1" si="482">SUM(AT320:AT323)</f>
        <v>229673.24242073987</v>
      </c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</row>
    <row r="328" spans="1:66" ht="13.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55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</row>
    <row r="329" spans="1:66" ht="13.5" customHeight="1" x14ac:dyDescent="0.3">
      <c r="A329" s="7"/>
      <c r="B329" s="7" t="s">
        <v>3</v>
      </c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55"/>
      <c r="AJ329" s="7"/>
      <c r="AK329" s="55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</row>
    <row r="330" spans="1:66" ht="13.5" customHeight="1" x14ac:dyDescent="0.3">
      <c r="A330" s="7"/>
      <c r="B330" s="7"/>
      <c r="C330" s="15" t="str">
        <f>C17</f>
        <v>Предварительные расходы</v>
      </c>
      <c r="D330" s="15" t="s">
        <v>4</v>
      </c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8">
        <f>-Input!F49</f>
        <v>-20000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0</v>
      </c>
      <c r="AS330" s="8">
        <v>0</v>
      </c>
      <c r="AT330" s="8">
        <v>0</v>
      </c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</row>
    <row r="331" spans="1:66" ht="13.5" customHeight="1" x14ac:dyDescent="0.3">
      <c r="A331" s="7"/>
      <c r="B331" s="7"/>
      <c r="C331" s="15" t="str">
        <f>C18</f>
        <v>Строительство зданий и инфраструктура</v>
      </c>
      <c r="D331" s="15" t="s">
        <v>4</v>
      </c>
      <c r="E331" s="7"/>
      <c r="F331" s="7"/>
      <c r="G331" s="7"/>
      <c r="H331" s="7"/>
      <c r="I331" s="7"/>
      <c r="J331" s="8">
        <f>-$F$18</f>
        <v>-224825.14554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7"/>
      <c r="AI331" s="8">
        <f>-$F$18</f>
        <v>-224825.14554</v>
      </c>
      <c r="AJ331" s="8">
        <v>0</v>
      </c>
      <c r="AK331" s="8">
        <v>0</v>
      </c>
      <c r="AL331" s="44"/>
      <c r="AM331" s="44"/>
      <c r="AN331" s="44"/>
      <c r="AO331" s="44"/>
      <c r="AP331" s="44"/>
      <c r="AQ331" s="44"/>
      <c r="AR331" s="44"/>
      <c r="AS331" s="44"/>
      <c r="AT331" s="44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</row>
    <row r="332" spans="1:66" ht="13.5" customHeight="1" x14ac:dyDescent="0.3">
      <c r="A332" s="7"/>
      <c r="B332" s="7"/>
      <c r="C332" s="15" t="str">
        <f>C19</f>
        <v>Спецтехника и оборудование</v>
      </c>
      <c r="D332" s="15" t="s">
        <v>4</v>
      </c>
      <c r="E332" s="7"/>
      <c r="F332" s="7"/>
      <c r="G332" s="7"/>
      <c r="H332" s="7"/>
      <c r="I332" s="7"/>
      <c r="J332" s="8">
        <f>AI332</f>
        <v>-57640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7"/>
      <c r="AI332" s="118">
        <f>-$F$19</f>
        <v>-57640</v>
      </c>
      <c r="AJ332" s="138"/>
      <c r="AK332" s="138"/>
      <c r="AL332" s="138"/>
      <c r="AM332" s="138"/>
      <c r="AN332" s="138"/>
      <c r="AO332" s="138"/>
      <c r="AP332" s="138"/>
      <c r="AQ332" s="138"/>
      <c r="AR332" s="138"/>
      <c r="AS332" s="138"/>
      <c r="AT332" s="138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</row>
    <row r="333" spans="1:66" ht="13.5" customHeight="1" x14ac:dyDescent="0.3">
      <c r="A333" s="7"/>
      <c r="B333" s="7"/>
      <c r="C333" s="15" t="str">
        <f>C22</f>
        <v>Маточное поголовье</v>
      </c>
      <c r="D333" s="15" t="s">
        <v>4</v>
      </c>
      <c r="E333" s="7"/>
      <c r="F333" s="7"/>
      <c r="G333" s="7"/>
      <c r="H333" s="7"/>
      <c r="I333" s="7"/>
      <c r="J333" s="8">
        <f>-$F$22</f>
        <v>-110000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7"/>
      <c r="AI333" s="8">
        <f>-F$22</f>
        <v>-110000</v>
      </c>
      <c r="AJ333" s="8">
        <f>-G$22</f>
        <v>0</v>
      </c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</row>
    <row r="334" spans="1:66" ht="13.5" customHeight="1" x14ac:dyDescent="0.3">
      <c r="A334" s="7"/>
      <c r="B334" s="7"/>
      <c r="C334" s="15" t="str">
        <f>C23</f>
        <v>Быки-проивзодители</v>
      </c>
      <c r="D334" s="15" t="s">
        <v>4</v>
      </c>
      <c r="E334" s="7"/>
      <c r="F334" s="7"/>
      <c r="G334" s="7"/>
      <c r="H334" s="7"/>
      <c r="I334" s="7"/>
      <c r="J334" s="8">
        <f>-$F$23</f>
        <v>-9100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7"/>
      <c r="AI334" s="8">
        <f>-$F$23</f>
        <v>-9100</v>
      </c>
      <c r="AJ334" s="8">
        <v>0</v>
      </c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</row>
    <row r="335" spans="1:66" ht="13.5" customHeight="1" x14ac:dyDescent="0.3">
      <c r="A335" s="7"/>
      <c r="B335" s="5" t="s">
        <v>298</v>
      </c>
      <c r="C335" s="7"/>
      <c r="D335" s="15" t="s">
        <v>4</v>
      </c>
      <c r="E335" s="7"/>
      <c r="F335" s="7"/>
      <c r="G335" s="7"/>
      <c r="H335" s="7"/>
      <c r="I335" s="7"/>
      <c r="J335" s="12">
        <f t="shared" ref="J335:AG335" si="483">SUM(J331:J334)</f>
        <v>-401565.14554</v>
      </c>
      <c r="K335" s="12">
        <f t="shared" si="483"/>
        <v>0</v>
      </c>
      <c r="L335" s="12">
        <f t="shared" si="483"/>
        <v>0</v>
      </c>
      <c r="M335" s="12">
        <f t="shared" si="483"/>
        <v>0</v>
      </c>
      <c r="N335" s="12">
        <f t="shared" si="483"/>
        <v>0</v>
      </c>
      <c r="O335" s="12">
        <f t="shared" si="483"/>
        <v>0</v>
      </c>
      <c r="P335" s="12">
        <f t="shared" si="483"/>
        <v>0</v>
      </c>
      <c r="Q335" s="12">
        <f t="shared" si="483"/>
        <v>0</v>
      </c>
      <c r="R335" s="12">
        <f t="shared" si="483"/>
        <v>0</v>
      </c>
      <c r="S335" s="12">
        <f t="shared" si="483"/>
        <v>0</v>
      </c>
      <c r="T335" s="12">
        <f t="shared" si="483"/>
        <v>0</v>
      </c>
      <c r="U335" s="12">
        <f t="shared" si="483"/>
        <v>0</v>
      </c>
      <c r="V335" s="12">
        <f t="shared" si="483"/>
        <v>0</v>
      </c>
      <c r="W335" s="12">
        <f t="shared" si="483"/>
        <v>0</v>
      </c>
      <c r="X335" s="12">
        <f t="shared" si="483"/>
        <v>0</v>
      </c>
      <c r="Y335" s="12">
        <f t="shared" si="483"/>
        <v>0</v>
      </c>
      <c r="Z335" s="12">
        <f t="shared" si="483"/>
        <v>0</v>
      </c>
      <c r="AA335" s="12">
        <f t="shared" si="483"/>
        <v>0</v>
      </c>
      <c r="AB335" s="12">
        <f t="shared" si="483"/>
        <v>0</v>
      </c>
      <c r="AC335" s="12">
        <f t="shared" si="483"/>
        <v>0</v>
      </c>
      <c r="AD335" s="12">
        <f t="shared" si="483"/>
        <v>0</v>
      </c>
      <c r="AE335" s="12">
        <f t="shared" si="483"/>
        <v>0</v>
      </c>
      <c r="AF335" s="12">
        <f t="shared" si="483"/>
        <v>0</v>
      </c>
      <c r="AG335" s="12">
        <f t="shared" si="483"/>
        <v>0</v>
      </c>
      <c r="AH335" s="7"/>
      <c r="AI335" s="12">
        <f>SUM(AI330:AI334)</f>
        <v>-421565.14554</v>
      </c>
      <c r="AJ335" s="12">
        <f t="shared" ref="AJ335:AS335" si="484">SUM(AJ331:AJ334)</f>
        <v>0</v>
      </c>
      <c r="AK335" s="12">
        <f t="shared" si="484"/>
        <v>0</v>
      </c>
      <c r="AL335" s="12">
        <f t="shared" si="484"/>
        <v>0</v>
      </c>
      <c r="AM335" s="12">
        <f t="shared" si="484"/>
        <v>0</v>
      </c>
      <c r="AN335" s="12">
        <f t="shared" si="484"/>
        <v>0</v>
      </c>
      <c r="AO335" s="12">
        <f t="shared" si="484"/>
        <v>0</v>
      </c>
      <c r="AP335" s="12">
        <f t="shared" si="484"/>
        <v>0</v>
      </c>
      <c r="AQ335" s="12">
        <f t="shared" si="484"/>
        <v>0</v>
      </c>
      <c r="AR335" s="12">
        <f t="shared" si="484"/>
        <v>0</v>
      </c>
      <c r="AS335" s="12">
        <f t="shared" si="484"/>
        <v>0</v>
      </c>
      <c r="AT335" s="12">
        <f t="shared" ref="AT335" si="485">SUM(AT331:AT334)</f>
        <v>0</v>
      </c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</row>
    <row r="336" spans="1:66" ht="13.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</row>
    <row r="337" spans="1:66" ht="13.5" customHeight="1" x14ac:dyDescent="0.3">
      <c r="A337" s="7"/>
      <c r="B337" s="7" t="s">
        <v>299</v>
      </c>
      <c r="C337" s="7"/>
      <c r="D337" s="15" t="s">
        <v>4</v>
      </c>
      <c r="E337" s="7"/>
      <c r="F337" s="7"/>
      <c r="G337" s="7"/>
      <c r="H337" s="7"/>
      <c r="I337" s="7"/>
      <c r="J337" s="8">
        <f t="shared" ref="J337:AG337" ca="1" si="486">J312+J313</f>
        <v>13147.486102342509</v>
      </c>
      <c r="K337" s="8">
        <f t="shared" ca="1" si="486"/>
        <v>728.86500000000001</v>
      </c>
      <c r="L337" s="8">
        <f t="shared" ca="1" si="486"/>
        <v>728.73033750000002</v>
      </c>
      <c r="M337" s="8">
        <f t="shared" ca="1" si="486"/>
        <v>728.59601165624997</v>
      </c>
      <c r="N337" s="8">
        <f t="shared" ca="1" si="486"/>
        <v>728.46202162710938</v>
      </c>
      <c r="O337" s="8">
        <f t="shared" ca="1" si="486"/>
        <v>804.80284506321095</v>
      </c>
      <c r="P337" s="8">
        <f t="shared" ca="1" si="486"/>
        <v>1599.123370883181</v>
      </c>
      <c r="Q337" s="8">
        <f t="shared" ca="1" si="486"/>
        <v>804.50857413692654</v>
      </c>
      <c r="R337" s="8">
        <f t="shared" ca="1" si="486"/>
        <v>804.36199020158426</v>
      </c>
      <c r="S337" s="8">
        <f t="shared" ca="1" si="486"/>
        <v>804.21577272608033</v>
      </c>
      <c r="T337" s="8">
        <f t="shared" ca="1" si="486"/>
        <v>804.06992079426504</v>
      </c>
      <c r="U337" s="8">
        <f t="shared" ca="1" si="486"/>
        <v>803.92443349227938</v>
      </c>
      <c r="V337" s="8">
        <f t="shared" ca="1" si="486"/>
        <v>23401.12913467918</v>
      </c>
      <c r="W337" s="8">
        <f t="shared" ca="1" si="486"/>
        <v>803.63454913377734</v>
      </c>
      <c r="X337" s="8">
        <f t="shared" ca="1" si="486"/>
        <v>829.48194737114261</v>
      </c>
      <c r="Y337" s="8">
        <f t="shared" ca="1" si="486"/>
        <v>794.70383984614909</v>
      </c>
      <c r="Z337" s="8">
        <f t="shared" ca="1" si="486"/>
        <v>794.58176774653373</v>
      </c>
      <c r="AA337" s="8">
        <f t="shared" ca="1" si="486"/>
        <v>877.63537590988426</v>
      </c>
      <c r="AB337" s="8">
        <f t="shared" ca="1" si="486"/>
        <v>2062.2500302493372</v>
      </c>
      <c r="AC337" s="8">
        <f t="shared" ca="1" si="486"/>
        <v>877.36849242721541</v>
      </c>
      <c r="AD337" s="8">
        <f t="shared" ca="1" si="486"/>
        <v>877.23555088364742</v>
      </c>
      <c r="AE337" s="8">
        <f t="shared" ca="1" si="486"/>
        <v>877.10294169393819</v>
      </c>
      <c r="AF337" s="8">
        <f t="shared" ca="1" si="486"/>
        <v>876.97066402720338</v>
      </c>
      <c r="AG337" s="8">
        <f t="shared" ca="1" si="486"/>
        <v>876.83871705463548</v>
      </c>
      <c r="AH337" s="7"/>
      <c r="AI337" s="8">
        <f ca="1">AI338+AI339</f>
        <v>16062.139473125866</v>
      </c>
      <c r="AJ337" s="8">
        <f ca="1">AJ338+AJ339</f>
        <v>33048.538146074308</v>
      </c>
      <c r="AK337" s="8">
        <f t="shared" ref="AK337:AT337" ca="1" si="487">AK338+AK339</f>
        <v>23448.450675871336</v>
      </c>
      <c r="AL337" s="8">
        <f t="shared" ca="1" si="487"/>
        <v>58429.911705106846</v>
      </c>
      <c r="AM337" s="8">
        <f t="shared" ca="1" si="487"/>
        <v>68233.327945139987</v>
      </c>
      <c r="AN337" s="8">
        <f t="shared" ca="1" si="487"/>
        <v>25252.971953626271</v>
      </c>
      <c r="AO337" s="8">
        <f t="shared" ca="1" si="487"/>
        <v>18130.016301132579</v>
      </c>
      <c r="AP337" s="8">
        <f t="shared" ca="1" si="487"/>
        <v>17691.90893998048</v>
      </c>
      <c r="AQ337" s="8">
        <f t="shared" ca="1" si="487"/>
        <v>-125873.93439526977</v>
      </c>
      <c r="AR337" s="8">
        <f t="shared" ca="1" si="487"/>
        <v>-134423.33074478791</v>
      </c>
      <c r="AS337" s="8">
        <f t="shared" ca="1" si="487"/>
        <v>0</v>
      </c>
      <c r="AT337" s="8">
        <f t="shared" ca="1" si="487"/>
        <v>0</v>
      </c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</row>
    <row r="338" spans="1:66" ht="13.5" customHeight="1" x14ac:dyDescent="0.3">
      <c r="A338" s="7"/>
      <c r="B338" s="7"/>
      <c r="C338" s="7" t="s">
        <v>300</v>
      </c>
      <c r="D338" s="15" t="s">
        <v>4</v>
      </c>
      <c r="E338" s="7"/>
      <c r="F338" s="7"/>
      <c r="G338" s="7"/>
      <c r="H338" s="7"/>
      <c r="I338" s="7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7"/>
      <c r="AI338" s="8">
        <f t="shared" ref="AI338:AS338" ca="1" si="488">AI312</f>
        <v>16062.139473125866</v>
      </c>
      <c r="AJ338" s="8">
        <f t="shared" ca="1" si="488"/>
        <v>33048.538146074308</v>
      </c>
      <c r="AK338" s="8">
        <f t="shared" ca="1" si="488"/>
        <v>39510.590148997202</v>
      </c>
      <c r="AL338" s="8">
        <f t="shared" ca="1" si="488"/>
        <v>91478.449851181154</v>
      </c>
      <c r="AM338" s="8">
        <f t="shared" ca="1" si="488"/>
        <v>107743.91809413719</v>
      </c>
      <c r="AN338" s="8">
        <f t="shared" ca="1" si="488"/>
        <v>116731.42180480743</v>
      </c>
      <c r="AO338" s="8">
        <f t="shared" ca="1" si="488"/>
        <v>125873.93439526977</v>
      </c>
      <c r="AP338" s="8">
        <f t="shared" ca="1" si="488"/>
        <v>134423.33074478791</v>
      </c>
      <c r="AQ338" s="8">
        <f t="shared" si="488"/>
        <v>0</v>
      </c>
      <c r="AR338" s="8">
        <f t="shared" si="488"/>
        <v>0</v>
      </c>
      <c r="AS338" s="8">
        <f t="shared" si="488"/>
        <v>0</v>
      </c>
      <c r="AT338" s="8">
        <f t="shared" ref="AT338" si="489">AT312</f>
        <v>0</v>
      </c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</row>
    <row r="339" spans="1:66" ht="13.5" customHeight="1" x14ac:dyDescent="0.3">
      <c r="A339" s="7"/>
      <c r="B339" s="7"/>
      <c r="C339" s="7" t="s">
        <v>301</v>
      </c>
      <c r="D339" s="15" t="s">
        <v>4</v>
      </c>
      <c r="E339" s="7"/>
      <c r="F339" s="7"/>
      <c r="G339" s="7"/>
      <c r="H339" s="7"/>
      <c r="I339" s="7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7"/>
      <c r="AI339" s="8">
        <f t="shared" ref="AI339:AS339" si="490">AI313</f>
        <v>0</v>
      </c>
      <c r="AJ339" s="8">
        <f t="shared" si="490"/>
        <v>0</v>
      </c>
      <c r="AK339" s="8">
        <f t="shared" ca="1" si="490"/>
        <v>-16062.139473125866</v>
      </c>
      <c r="AL339" s="8">
        <f t="shared" ca="1" si="490"/>
        <v>-33048.538146074308</v>
      </c>
      <c r="AM339" s="8">
        <f t="shared" ca="1" si="490"/>
        <v>-39510.590148997202</v>
      </c>
      <c r="AN339" s="8">
        <f t="shared" ca="1" si="490"/>
        <v>-91478.449851181154</v>
      </c>
      <c r="AO339" s="8">
        <f t="shared" ca="1" si="490"/>
        <v>-107743.91809413719</v>
      </c>
      <c r="AP339" s="8">
        <f t="shared" ca="1" si="490"/>
        <v>-116731.42180480743</v>
      </c>
      <c r="AQ339" s="8">
        <f t="shared" ca="1" si="490"/>
        <v>-125873.93439526977</v>
      </c>
      <c r="AR339" s="8">
        <f t="shared" ca="1" si="490"/>
        <v>-134423.33074478791</v>
      </c>
      <c r="AS339" s="8">
        <f t="shared" ca="1" si="490"/>
        <v>0</v>
      </c>
      <c r="AT339" s="8">
        <f t="shared" ref="AT339" ca="1" si="491">AT313</f>
        <v>0</v>
      </c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</row>
    <row r="340" spans="1:66" ht="13.5" customHeight="1" x14ac:dyDescent="0.3">
      <c r="A340" s="7"/>
      <c r="B340" s="7" t="s">
        <v>268</v>
      </c>
      <c r="C340" s="7"/>
      <c r="D340" s="15" t="s">
        <v>4</v>
      </c>
      <c r="E340" s="7"/>
      <c r="F340" s="7"/>
      <c r="G340" s="7"/>
      <c r="H340" s="7"/>
      <c r="I340" s="7"/>
      <c r="J340" s="8">
        <f t="shared" ref="J340:AG340" si="492">J282+J289</f>
        <v>379408.630986</v>
      </c>
      <c r="K340" s="8">
        <f t="shared" si="492"/>
        <v>0</v>
      </c>
      <c r="L340" s="8">
        <f t="shared" si="492"/>
        <v>0</v>
      </c>
      <c r="M340" s="8">
        <f t="shared" si="492"/>
        <v>0</v>
      </c>
      <c r="N340" s="8">
        <f t="shared" si="492"/>
        <v>0</v>
      </c>
      <c r="O340" s="8">
        <f t="shared" si="492"/>
        <v>0</v>
      </c>
      <c r="P340" s="8">
        <f t="shared" si="492"/>
        <v>0</v>
      </c>
      <c r="Q340" s="8">
        <f t="shared" si="492"/>
        <v>0</v>
      </c>
      <c r="R340" s="8">
        <f t="shared" si="492"/>
        <v>0</v>
      </c>
      <c r="S340" s="8">
        <f t="shared" si="492"/>
        <v>0</v>
      </c>
      <c r="T340" s="8">
        <f t="shared" si="492"/>
        <v>0</v>
      </c>
      <c r="U340" s="8">
        <f t="shared" si="492"/>
        <v>0</v>
      </c>
      <c r="V340" s="8">
        <f t="shared" si="492"/>
        <v>0</v>
      </c>
      <c r="W340" s="8">
        <f t="shared" si="492"/>
        <v>0</v>
      </c>
      <c r="X340" s="8">
        <f t="shared" si="492"/>
        <v>0</v>
      </c>
      <c r="Y340" s="8">
        <f t="shared" si="492"/>
        <v>0</v>
      </c>
      <c r="Z340" s="8">
        <f t="shared" si="492"/>
        <v>0</v>
      </c>
      <c r="AA340" s="8">
        <f t="shared" si="492"/>
        <v>0</v>
      </c>
      <c r="AB340" s="8">
        <f t="shared" si="492"/>
        <v>0</v>
      </c>
      <c r="AC340" s="8">
        <f t="shared" si="492"/>
        <v>0</v>
      </c>
      <c r="AD340" s="8">
        <f t="shared" si="492"/>
        <v>0</v>
      </c>
      <c r="AE340" s="8">
        <f t="shared" si="492"/>
        <v>0</v>
      </c>
      <c r="AF340" s="8">
        <f t="shared" si="492"/>
        <v>0</v>
      </c>
      <c r="AG340" s="8">
        <f t="shared" si="492"/>
        <v>-39416.341107990003</v>
      </c>
      <c r="AH340" s="7"/>
      <c r="AI340" s="8">
        <f t="shared" ref="AI340:AS340" si="493">AI341+AI342</f>
        <v>358330.37370900001</v>
      </c>
      <c r="AJ340" s="8">
        <f>AJ341+AJ342</f>
        <v>0</v>
      </c>
      <c r="AK340" s="8">
        <f>AK341+AK342</f>
        <v>-39416.341107990003</v>
      </c>
      <c r="AL340" s="8">
        <f t="shared" si="493"/>
        <v>-39416.341107990003</v>
      </c>
      <c r="AM340" s="8">
        <f t="shared" si="493"/>
        <v>-39416.341107990003</v>
      </c>
      <c r="AN340" s="8">
        <f t="shared" si="493"/>
        <v>-39416.341107990003</v>
      </c>
      <c r="AO340" s="8">
        <f t="shared" si="493"/>
        <v>-39416.341107990003</v>
      </c>
      <c r="AP340" s="8">
        <f t="shared" si="493"/>
        <v>-39416.341107990003</v>
      </c>
      <c r="AQ340" s="8">
        <f t="shared" si="493"/>
        <v>-39416.341107990003</v>
      </c>
      <c r="AR340" s="8">
        <f t="shared" si="493"/>
        <v>-39416.341107990003</v>
      </c>
      <c r="AS340" s="8">
        <f t="shared" si="493"/>
        <v>-42999.644845080002</v>
      </c>
      <c r="AT340" s="8">
        <f t="shared" ref="AT340" si="494">AT341+AT342</f>
        <v>0</v>
      </c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</row>
    <row r="341" spans="1:66" ht="13.5" customHeight="1" x14ac:dyDescent="0.3">
      <c r="A341" s="7"/>
      <c r="B341" s="7"/>
      <c r="C341" s="7" t="s">
        <v>286</v>
      </c>
      <c r="D341" s="15" t="s">
        <v>4</v>
      </c>
      <c r="E341" s="7"/>
      <c r="F341" s="7"/>
      <c r="G341" s="7"/>
      <c r="H341" s="7"/>
      <c r="I341" s="7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7"/>
      <c r="AI341" s="8">
        <f>AI282+AI292</f>
        <v>358330.37370900001</v>
      </c>
      <c r="AJ341" s="8">
        <f>AJ282+AJ292</f>
        <v>0</v>
      </c>
      <c r="AK341" s="8">
        <f t="shared" ref="AK341:AT341" si="495">AK282</f>
        <v>0</v>
      </c>
      <c r="AL341" s="8">
        <f t="shared" si="495"/>
        <v>0</v>
      </c>
      <c r="AM341" s="8">
        <f t="shared" si="495"/>
        <v>0</v>
      </c>
      <c r="AN341" s="8">
        <f t="shared" si="495"/>
        <v>0</v>
      </c>
      <c r="AO341" s="8">
        <f t="shared" si="495"/>
        <v>0</v>
      </c>
      <c r="AP341" s="8">
        <f t="shared" si="495"/>
        <v>0</v>
      </c>
      <c r="AQ341" s="8">
        <f t="shared" si="495"/>
        <v>0</v>
      </c>
      <c r="AR341" s="8">
        <f t="shared" si="495"/>
        <v>0</v>
      </c>
      <c r="AS341" s="8">
        <f t="shared" si="495"/>
        <v>0</v>
      </c>
      <c r="AT341" s="8">
        <f t="shared" si="495"/>
        <v>0</v>
      </c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</row>
    <row r="342" spans="1:66" ht="13.5" customHeight="1" x14ac:dyDescent="0.3">
      <c r="A342" s="7"/>
      <c r="B342" s="7"/>
      <c r="C342" s="7" t="s">
        <v>302</v>
      </c>
      <c r="D342" s="15" t="s">
        <v>4</v>
      </c>
      <c r="E342" s="7"/>
      <c r="F342" s="7"/>
      <c r="G342" s="7"/>
      <c r="H342" s="7"/>
      <c r="I342" s="7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7"/>
      <c r="AI342" s="8">
        <f t="shared" ref="AI342:AP342" si="496">AI289+AI299</f>
        <v>0</v>
      </c>
      <c r="AJ342" s="8">
        <f t="shared" si="496"/>
        <v>0</v>
      </c>
      <c r="AK342" s="8">
        <f t="shared" si="496"/>
        <v>-39416.341107990003</v>
      </c>
      <c r="AL342" s="8">
        <f t="shared" si="496"/>
        <v>-39416.341107990003</v>
      </c>
      <c r="AM342" s="8">
        <f t="shared" si="496"/>
        <v>-39416.341107990003</v>
      </c>
      <c r="AN342" s="8">
        <f t="shared" si="496"/>
        <v>-39416.341107990003</v>
      </c>
      <c r="AO342" s="8">
        <f t="shared" si="496"/>
        <v>-39416.341107990003</v>
      </c>
      <c r="AP342" s="8">
        <f t="shared" si="496"/>
        <v>-39416.341107990003</v>
      </c>
      <c r="AQ342" s="8">
        <f t="shared" ref="AQ342:AT342" si="497">AQ289+AQ299</f>
        <v>-39416.341107990003</v>
      </c>
      <c r="AR342" s="8">
        <f t="shared" si="497"/>
        <v>-39416.341107990003</v>
      </c>
      <c r="AS342" s="8">
        <f t="shared" si="497"/>
        <v>-42999.644845080002</v>
      </c>
      <c r="AT342" s="8">
        <f t="shared" si="497"/>
        <v>0</v>
      </c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</row>
    <row r="343" spans="1:66" ht="13.5" customHeight="1" x14ac:dyDescent="0.3">
      <c r="A343" s="7"/>
      <c r="B343" s="7" t="s">
        <v>263</v>
      </c>
      <c r="C343" s="7"/>
      <c r="D343" s="15" t="s">
        <v>4</v>
      </c>
      <c r="E343" s="7"/>
      <c r="F343" s="7"/>
      <c r="G343" s="7"/>
      <c r="H343" s="7"/>
      <c r="I343" s="7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7"/>
      <c r="AI343" s="8">
        <v>0</v>
      </c>
      <c r="AJ343" s="8">
        <v>0</v>
      </c>
      <c r="AK343" s="8">
        <v>0</v>
      </c>
      <c r="AL343" s="8">
        <v>0</v>
      </c>
      <c r="AM343" s="8">
        <v>0</v>
      </c>
      <c r="AN343" s="8">
        <v>0</v>
      </c>
      <c r="AO343" s="8">
        <v>0</v>
      </c>
      <c r="AP343" s="8">
        <v>0</v>
      </c>
      <c r="AQ343" s="8">
        <v>0</v>
      </c>
      <c r="AR343" s="8">
        <v>0</v>
      </c>
      <c r="AS343" s="8">
        <v>0</v>
      </c>
      <c r="AT343" s="8">
        <v>0</v>
      </c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</row>
    <row r="344" spans="1:66" ht="13.5" customHeight="1" x14ac:dyDescent="0.3">
      <c r="A344" s="7"/>
      <c r="B344" s="5" t="s">
        <v>303</v>
      </c>
      <c r="C344" s="7"/>
      <c r="D344" s="15" t="s">
        <v>4</v>
      </c>
      <c r="E344" s="7"/>
      <c r="F344" s="7"/>
      <c r="G344" s="7"/>
      <c r="H344" s="7"/>
      <c r="I344" s="7"/>
      <c r="J344" s="12">
        <f t="shared" ref="J344:AG344" ca="1" si="498">SUM(J337:J340)</f>
        <v>392556.11708834249</v>
      </c>
      <c r="K344" s="12">
        <f t="shared" ca="1" si="498"/>
        <v>728.86500000000001</v>
      </c>
      <c r="L344" s="12">
        <f t="shared" ca="1" si="498"/>
        <v>728.73033750000002</v>
      </c>
      <c r="M344" s="12">
        <f t="shared" ca="1" si="498"/>
        <v>728.59601165624997</v>
      </c>
      <c r="N344" s="12">
        <f t="shared" ca="1" si="498"/>
        <v>728.46202162710938</v>
      </c>
      <c r="O344" s="12">
        <f t="shared" ca="1" si="498"/>
        <v>804.80284506321095</v>
      </c>
      <c r="P344" s="12">
        <f t="shared" ca="1" si="498"/>
        <v>1599.123370883181</v>
      </c>
      <c r="Q344" s="12">
        <f t="shared" ca="1" si="498"/>
        <v>804.50857413692654</v>
      </c>
      <c r="R344" s="12">
        <f t="shared" ca="1" si="498"/>
        <v>804.36199020158426</v>
      </c>
      <c r="S344" s="12">
        <f t="shared" ca="1" si="498"/>
        <v>804.21577272608033</v>
      </c>
      <c r="T344" s="12">
        <f t="shared" ca="1" si="498"/>
        <v>804.06992079426504</v>
      </c>
      <c r="U344" s="12">
        <f t="shared" ca="1" si="498"/>
        <v>803.92443349227938</v>
      </c>
      <c r="V344" s="12">
        <f t="shared" ca="1" si="498"/>
        <v>23401.12913467918</v>
      </c>
      <c r="W344" s="12">
        <f t="shared" ca="1" si="498"/>
        <v>803.63454913377734</v>
      </c>
      <c r="X344" s="12">
        <f t="shared" ca="1" si="498"/>
        <v>829.48194737114261</v>
      </c>
      <c r="Y344" s="12">
        <f t="shared" ca="1" si="498"/>
        <v>794.70383984614909</v>
      </c>
      <c r="Z344" s="12">
        <f t="shared" ca="1" si="498"/>
        <v>794.58176774653373</v>
      </c>
      <c r="AA344" s="12">
        <f t="shared" ca="1" si="498"/>
        <v>877.63537590988426</v>
      </c>
      <c r="AB344" s="12">
        <f t="shared" ca="1" si="498"/>
        <v>2062.2500302493372</v>
      </c>
      <c r="AC344" s="12">
        <f t="shared" ca="1" si="498"/>
        <v>877.36849242721541</v>
      </c>
      <c r="AD344" s="12">
        <f t="shared" ca="1" si="498"/>
        <v>877.23555088364742</v>
      </c>
      <c r="AE344" s="12">
        <f t="shared" ca="1" si="498"/>
        <v>877.10294169393819</v>
      </c>
      <c r="AF344" s="12">
        <f t="shared" ca="1" si="498"/>
        <v>876.97066402720338</v>
      </c>
      <c r="AG344" s="12">
        <f t="shared" ca="1" si="498"/>
        <v>-38539.502390935369</v>
      </c>
      <c r="AH344" s="7"/>
      <c r="AI344" s="12">
        <f t="shared" ref="AI344:AS344" ca="1" si="499">SUM(AI337,AI340,AI343)</f>
        <v>374392.51318212587</v>
      </c>
      <c r="AJ344" s="12">
        <f ca="1">SUM(AJ337,AJ340,AJ343)</f>
        <v>33048.538146074308</v>
      </c>
      <c r="AK344" s="12">
        <f t="shared" ca="1" si="499"/>
        <v>-15967.890432118667</v>
      </c>
      <c r="AL344" s="12">
        <f t="shared" ca="1" si="499"/>
        <v>19013.570597116843</v>
      </c>
      <c r="AM344" s="12">
        <f t="shared" ca="1" si="499"/>
        <v>28816.986837149983</v>
      </c>
      <c r="AN344" s="12">
        <f t="shared" ca="1" si="499"/>
        <v>-14163.369154363732</v>
      </c>
      <c r="AO344" s="12">
        <f t="shared" ca="1" si="499"/>
        <v>-21286.324806857425</v>
      </c>
      <c r="AP344" s="12">
        <f t="shared" ca="1" si="499"/>
        <v>-21724.432168009524</v>
      </c>
      <c r="AQ344" s="12">
        <f t="shared" ca="1" si="499"/>
        <v>-165290.27550325976</v>
      </c>
      <c r="AR344" s="12">
        <f t="shared" ca="1" si="499"/>
        <v>-173839.67185277792</v>
      </c>
      <c r="AS344" s="12">
        <f t="shared" ca="1" si="499"/>
        <v>-42999.644845080002</v>
      </c>
      <c r="AT344" s="12">
        <f t="shared" ref="AT344" ca="1" si="500">SUM(AT337,AT340,AT343)</f>
        <v>0</v>
      </c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</row>
    <row r="345" spans="1:66" ht="13.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</row>
    <row r="346" spans="1:66" ht="13.5" customHeight="1" x14ac:dyDescent="0.3">
      <c r="A346" s="7"/>
      <c r="B346" s="15" t="s">
        <v>304</v>
      </c>
      <c r="C346" s="7"/>
      <c r="D346" s="15" t="s">
        <v>4</v>
      </c>
      <c r="E346" s="7"/>
      <c r="F346" s="7"/>
      <c r="G346" s="7"/>
      <c r="H346" s="7"/>
      <c r="I346" s="7"/>
      <c r="J346" s="139">
        <f>Input!F39</f>
        <v>63234.771830999998</v>
      </c>
      <c r="K346" s="8">
        <f t="shared" ref="K346:AG346" ca="1" si="501">J348</f>
        <v>92118.585129601939</v>
      </c>
      <c r="L346" s="8">
        <f t="shared" ca="1" si="501"/>
        <v>88433.263657203919</v>
      </c>
      <c r="M346" s="8">
        <f t="shared" ca="1" si="501"/>
        <v>84744.298533118403</v>
      </c>
      <c r="N346" s="8">
        <f t="shared" ca="1" si="501"/>
        <v>81002.604076411735</v>
      </c>
      <c r="O346" s="8">
        <f t="shared" ca="1" si="501"/>
        <v>77306.353662159803</v>
      </c>
      <c r="P346" s="8">
        <f t="shared" ca="1" si="501"/>
        <v>68764.135771803325</v>
      </c>
      <c r="Q346" s="8">
        <f t="shared" ca="1" si="501"/>
        <v>64880.216731834538</v>
      </c>
      <c r="R346" s="8">
        <f t="shared" ca="1" si="501"/>
        <v>61041.361501557949</v>
      </c>
      <c r="S346" s="8">
        <f t="shared" ca="1" si="501"/>
        <v>57051.225403641714</v>
      </c>
      <c r="T346" s="8">
        <f t="shared" ca="1" si="501"/>
        <v>53106.154579424729</v>
      </c>
      <c r="U346" s="8">
        <f t="shared" ca="1" si="501"/>
        <v>49107.977053040893</v>
      </c>
      <c r="V346" s="8">
        <f t="shared" ca="1" si="501"/>
        <v>45154.866257052476</v>
      </c>
      <c r="W346" s="8">
        <f t="shared" ca="1" si="501"/>
        <v>41035.663462827782</v>
      </c>
      <c r="X346" s="8">
        <f t="shared" ca="1" si="501"/>
        <v>36912.442495857424</v>
      </c>
      <c r="Y346" s="8">
        <f t="shared" ca="1" si="501"/>
        <v>67489.88995197948</v>
      </c>
      <c r="Z346" s="8">
        <f t="shared" ca="1" si="501"/>
        <v>63358.548056073028</v>
      </c>
      <c r="AA346" s="8">
        <f t="shared" ca="1" si="501"/>
        <v>59272.319603890726</v>
      </c>
      <c r="AB346" s="8">
        <f t="shared" ca="1" si="501"/>
        <v>54895.004423546001</v>
      </c>
      <c r="AC346" s="8">
        <f t="shared" ca="1" si="501"/>
        <v>50507.377993050031</v>
      </c>
      <c r="AD346" s="8">
        <f t="shared" ca="1" si="501"/>
        <v>46213.537425217677</v>
      </c>
      <c r="AE346" s="8">
        <f t="shared" ca="1" si="501"/>
        <v>41817.137974505145</v>
      </c>
      <c r="AF346" s="8">
        <f t="shared" ca="1" si="501"/>
        <v>37465.439361647026</v>
      </c>
      <c r="AG346" s="8">
        <f t="shared" ca="1" si="501"/>
        <v>33060.269542905888</v>
      </c>
      <c r="AH346" s="7"/>
      <c r="AI346" s="139">
        <f>AI271</f>
        <v>63234.771830999998</v>
      </c>
      <c r="AJ346" s="8">
        <f t="shared" ref="AJ346:AT346" ca="1" si="502">AI348</f>
        <v>34683.594534919139</v>
      </c>
      <c r="AK346" s="8">
        <f t="shared" ca="1" si="502"/>
        <v>35004.147753126927</v>
      </c>
      <c r="AL346" s="8">
        <f t="shared" ca="1" si="502"/>
        <v>17543.26270860765</v>
      </c>
      <c r="AM346" s="8">
        <f t="shared" ca="1" si="502"/>
        <v>9283.2010030312485</v>
      </c>
      <c r="AN346" s="8">
        <f t="shared" ca="1" si="502"/>
        <v>73876.511617586468</v>
      </c>
      <c r="AO346" s="8">
        <f t="shared" ca="1" si="502"/>
        <v>189897.68800609239</v>
      </c>
      <c r="AP346" s="8">
        <f t="shared" ca="1" si="502"/>
        <v>315597.82630668173</v>
      </c>
      <c r="AQ346" s="8">
        <f t="shared" ca="1" si="502"/>
        <v>454560.55075987044</v>
      </c>
      <c r="AR346" s="8">
        <f t="shared" ca="1" si="502"/>
        <v>469907.72281637718</v>
      </c>
      <c r="AS346" s="8">
        <f t="shared" ca="1" si="502"/>
        <v>496916.52004642738</v>
      </c>
      <c r="AT346" s="8">
        <f t="shared" ca="1" si="502"/>
        <v>667931.23860104987</v>
      </c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</row>
    <row r="347" spans="1:66" ht="13.5" customHeight="1" x14ac:dyDescent="0.3">
      <c r="A347" s="7"/>
      <c r="B347" s="15" t="s">
        <v>305</v>
      </c>
      <c r="C347" s="7"/>
      <c r="D347" s="15" t="s">
        <v>4</v>
      </c>
      <c r="E347" s="7"/>
      <c r="F347" s="7"/>
      <c r="G347" s="7"/>
      <c r="H347" s="7"/>
      <c r="I347" s="7"/>
      <c r="J347" s="8">
        <f t="shared" ref="J347:AG347" ca="1" si="503">J327+J335+J344</f>
        <v>28883.813298601948</v>
      </c>
      <c r="K347" s="8">
        <f t="shared" ca="1" si="503"/>
        <v>-3685.3214723980145</v>
      </c>
      <c r="L347" s="8">
        <f t="shared" ca="1" si="503"/>
        <v>-3688.9651240855155</v>
      </c>
      <c r="M347" s="8">
        <f t="shared" ca="1" si="503"/>
        <v>-3741.6944567066721</v>
      </c>
      <c r="N347" s="8">
        <f t="shared" ca="1" si="503"/>
        <v>-3696.2504142519329</v>
      </c>
      <c r="O347" s="8">
        <f t="shared" ca="1" si="503"/>
        <v>-8542.2178903564854</v>
      </c>
      <c r="P347" s="8">
        <f t="shared" ca="1" si="503"/>
        <v>-3883.9190399687855</v>
      </c>
      <c r="Q347" s="8">
        <f t="shared" ca="1" si="503"/>
        <v>-3838.855230276592</v>
      </c>
      <c r="R347" s="8">
        <f t="shared" ca="1" si="503"/>
        <v>-3990.1360979162309</v>
      </c>
      <c r="S347" s="8">
        <f t="shared" ca="1" si="503"/>
        <v>-3945.0708242169849</v>
      </c>
      <c r="T347" s="8">
        <f t="shared" ca="1" si="503"/>
        <v>-3998.1775263838335</v>
      </c>
      <c r="U347" s="8">
        <f t="shared" ca="1" si="503"/>
        <v>-3953.1107959884184</v>
      </c>
      <c r="V347" s="8">
        <f t="shared" ca="1" si="503"/>
        <v>-4119.2027942246896</v>
      </c>
      <c r="W347" s="8">
        <f t="shared" ca="1" si="503"/>
        <v>-4123.2209669703616</v>
      </c>
      <c r="X347" s="8">
        <f t="shared" ca="1" si="503"/>
        <v>30577.447456122063</v>
      </c>
      <c r="Y347" s="8">
        <f t="shared" ca="1" si="503"/>
        <v>-4131.3418959064484</v>
      </c>
      <c r="Z347" s="8">
        <f t="shared" ca="1" si="503"/>
        <v>-4086.2284521823012</v>
      </c>
      <c r="AA347" s="8">
        <f t="shared" ca="1" si="503"/>
        <v>-4377.3151803447272</v>
      </c>
      <c r="AB347" s="8">
        <f t="shared" ca="1" si="503"/>
        <v>-4387.6264304959714</v>
      </c>
      <c r="AC347" s="8">
        <f t="shared" ca="1" si="503"/>
        <v>-4293.8405678323552</v>
      </c>
      <c r="AD347" s="8">
        <f t="shared" ca="1" si="503"/>
        <v>-4396.399450712529</v>
      </c>
      <c r="AE347" s="8">
        <f t="shared" ca="1" si="503"/>
        <v>-4351.698612858122</v>
      </c>
      <c r="AF347" s="8">
        <f t="shared" ca="1" si="503"/>
        <v>-4405.1698187411366</v>
      </c>
      <c r="AG347" s="8">
        <f t="shared" ca="1" si="503"/>
        <v>-43776.808767753537</v>
      </c>
      <c r="AH347" s="7"/>
      <c r="AI347" s="8">
        <f ca="1">AI327+AI335+AI344</f>
        <v>-28551.177296080859</v>
      </c>
      <c r="AJ347" s="8">
        <f ca="1">AJ327+AJ335+AJ344</f>
        <v>320.55321820778772</v>
      </c>
      <c r="AK347" s="8">
        <f ca="1">AK327+AK335+AK344</f>
        <v>-17460.885044519277</v>
      </c>
      <c r="AL347" s="8">
        <f t="shared" ref="AL347:AS347" ca="1" si="504">AL327+AL335+AL344</f>
        <v>-8260.0617055764014</v>
      </c>
      <c r="AM347" s="8">
        <f t="shared" ca="1" si="504"/>
        <v>64593.310614555216</v>
      </c>
      <c r="AN347" s="8">
        <f t="shared" ca="1" si="504"/>
        <v>116021.1763885059</v>
      </c>
      <c r="AO347" s="8">
        <f t="shared" ca="1" si="504"/>
        <v>125700.13830058931</v>
      </c>
      <c r="AP347" s="8">
        <f t="shared" ca="1" si="504"/>
        <v>138962.72445318868</v>
      </c>
      <c r="AQ347" s="8">
        <f t="shared" ca="1" si="504"/>
        <v>15347.172056506708</v>
      </c>
      <c r="AR347" s="8">
        <f t="shared" ca="1" si="504"/>
        <v>27008.79723005023</v>
      </c>
      <c r="AS347" s="8">
        <f t="shared" ca="1" si="504"/>
        <v>171014.71855462244</v>
      </c>
      <c r="AT347" s="8">
        <f ca="1">AT327+AT335+AT344</f>
        <v>229673.24242073987</v>
      </c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</row>
    <row r="348" spans="1:66" ht="13.5" customHeight="1" x14ac:dyDescent="0.3">
      <c r="A348" s="7"/>
      <c r="B348" s="7" t="s">
        <v>306</v>
      </c>
      <c r="C348" s="7"/>
      <c r="D348" s="15" t="s">
        <v>4</v>
      </c>
      <c r="E348" s="7"/>
      <c r="F348" s="7"/>
      <c r="G348" s="7"/>
      <c r="H348" s="7"/>
      <c r="I348" s="7"/>
      <c r="J348" s="8">
        <f t="shared" ref="J348:AG348" ca="1" si="505">SUM(J346:J347)</f>
        <v>92118.585129601939</v>
      </c>
      <c r="K348" s="8">
        <f t="shared" ca="1" si="505"/>
        <v>88433.263657203919</v>
      </c>
      <c r="L348" s="8">
        <f t="shared" ca="1" si="505"/>
        <v>84744.298533118403</v>
      </c>
      <c r="M348" s="8">
        <f t="shared" ca="1" si="505"/>
        <v>81002.604076411735</v>
      </c>
      <c r="N348" s="8">
        <f t="shared" ca="1" si="505"/>
        <v>77306.353662159803</v>
      </c>
      <c r="O348" s="8">
        <f t="shared" ca="1" si="505"/>
        <v>68764.135771803325</v>
      </c>
      <c r="P348" s="8">
        <f t="shared" ca="1" si="505"/>
        <v>64880.216731834538</v>
      </c>
      <c r="Q348" s="8">
        <f t="shared" ca="1" si="505"/>
        <v>61041.361501557949</v>
      </c>
      <c r="R348" s="8">
        <f t="shared" ca="1" si="505"/>
        <v>57051.225403641714</v>
      </c>
      <c r="S348" s="8">
        <f t="shared" ca="1" si="505"/>
        <v>53106.154579424729</v>
      </c>
      <c r="T348" s="8">
        <f t="shared" ca="1" si="505"/>
        <v>49107.977053040893</v>
      </c>
      <c r="U348" s="8">
        <f t="shared" ca="1" si="505"/>
        <v>45154.866257052476</v>
      </c>
      <c r="V348" s="8">
        <f t="shared" ca="1" si="505"/>
        <v>41035.663462827782</v>
      </c>
      <c r="W348" s="8">
        <f t="shared" ca="1" si="505"/>
        <v>36912.442495857424</v>
      </c>
      <c r="X348" s="8">
        <f t="shared" ca="1" si="505"/>
        <v>67489.88995197948</v>
      </c>
      <c r="Y348" s="8">
        <f t="shared" ca="1" si="505"/>
        <v>63358.548056073028</v>
      </c>
      <c r="Z348" s="8">
        <f t="shared" ca="1" si="505"/>
        <v>59272.319603890726</v>
      </c>
      <c r="AA348" s="8">
        <f t="shared" ca="1" si="505"/>
        <v>54895.004423546001</v>
      </c>
      <c r="AB348" s="8">
        <f t="shared" ca="1" si="505"/>
        <v>50507.377993050031</v>
      </c>
      <c r="AC348" s="8">
        <f t="shared" ca="1" si="505"/>
        <v>46213.537425217677</v>
      </c>
      <c r="AD348" s="8">
        <f t="shared" ca="1" si="505"/>
        <v>41817.137974505145</v>
      </c>
      <c r="AE348" s="8">
        <f t="shared" ca="1" si="505"/>
        <v>37465.439361647026</v>
      </c>
      <c r="AF348" s="8">
        <f t="shared" ca="1" si="505"/>
        <v>33060.269542905888</v>
      </c>
      <c r="AG348" s="8">
        <f t="shared" ca="1" si="505"/>
        <v>-10716.539224847649</v>
      </c>
      <c r="AH348" s="7"/>
      <c r="AI348" s="8">
        <f t="shared" ref="AI348:AS348" ca="1" si="506">SUM(AI346:AI347)</f>
        <v>34683.594534919139</v>
      </c>
      <c r="AJ348" s="8">
        <f ca="1">SUM(AJ346:AJ347)</f>
        <v>35004.147753126927</v>
      </c>
      <c r="AK348" s="8">
        <f ca="1">SUM(AK346:AK347)</f>
        <v>17543.26270860765</v>
      </c>
      <c r="AL348" s="8">
        <f ca="1">SUM(AL346:AL347)</f>
        <v>9283.2010030312485</v>
      </c>
      <c r="AM348" s="8">
        <f ca="1">SUM(AM346:AM347)</f>
        <v>73876.511617586468</v>
      </c>
      <c r="AN348" s="8">
        <f ca="1">SUM(AN346:AN347)</f>
        <v>189897.68800609239</v>
      </c>
      <c r="AO348" s="8">
        <f t="shared" ca="1" si="506"/>
        <v>315597.82630668173</v>
      </c>
      <c r="AP348" s="8">
        <f t="shared" ca="1" si="506"/>
        <v>454560.55075987044</v>
      </c>
      <c r="AQ348" s="8">
        <f t="shared" ca="1" si="506"/>
        <v>469907.72281637718</v>
      </c>
      <c r="AR348" s="8">
        <f t="shared" ca="1" si="506"/>
        <v>496916.52004642738</v>
      </c>
      <c r="AS348" s="8">
        <f t="shared" ca="1" si="506"/>
        <v>667931.23860104987</v>
      </c>
      <c r="AT348" s="8">
        <f t="shared" ref="AT348" ca="1" si="507">SUM(AT346:AT347)</f>
        <v>897604.48102178972</v>
      </c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</row>
    <row r="349" spans="1:66" ht="13.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140"/>
      <c r="AL349" s="7"/>
      <c r="AM349" s="7"/>
      <c r="AN349" s="140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</row>
    <row r="350" spans="1:66" ht="13.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</row>
    <row r="351" spans="1:66" ht="13.5" customHeight="1" x14ac:dyDescent="0.3">
      <c r="A351" s="7"/>
      <c r="B351" s="7" t="s">
        <v>307</v>
      </c>
      <c r="C351" s="7"/>
      <c r="D351" s="15" t="s">
        <v>4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8">
        <f t="shared" ref="AI351:AT351" ca="1" si="508">AI327+AI335+AI340</f>
        <v>-44613.316769206722</v>
      </c>
      <c r="AJ351" s="8">
        <f t="shared" ca="1" si="508"/>
        <v>-32727.984927866521</v>
      </c>
      <c r="AK351" s="8">
        <f t="shared" ca="1" si="508"/>
        <v>-40909.335720390613</v>
      </c>
      <c r="AL351" s="8">
        <f t="shared" ca="1" si="508"/>
        <v>-66689.973410683247</v>
      </c>
      <c r="AM351" s="8">
        <f t="shared" ca="1" si="508"/>
        <v>-3640.0173305847711</v>
      </c>
      <c r="AN351" s="8">
        <f t="shared" ca="1" si="508"/>
        <v>90768.204434879648</v>
      </c>
      <c r="AO351" s="8">
        <f t="shared" ca="1" si="508"/>
        <v>107570.12199945672</v>
      </c>
      <c r="AP351" s="8">
        <f t="shared" ca="1" si="508"/>
        <v>121270.81551320819</v>
      </c>
      <c r="AQ351" s="8">
        <f t="shared" ca="1" si="508"/>
        <v>141221.10645177646</v>
      </c>
      <c r="AR351" s="8">
        <f t="shared" ca="1" si="508"/>
        <v>161432.12797483813</v>
      </c>
      <c r="AS351" s="8">
        <f t="shared" ca="1" si="508"/>
        <v>171014.71855462244</v>
      </c>
      <c r="AT351" s="8">
        <f t="shared" ca="1" si="508"/>
        <v>229673.24242073987</v>
      </c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</row>
    <row r="352" spans="1:66" ht="13.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</row>
    <row r="353" spans="1:66" ht="13.5" customHeight="1" x14ac:dyDescent="0.3">
      <c r="A353" s="2" t="s">
        <v>0</v>
      </c>
      <c r="B353" s="3" t="s">
        <v>308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41"/>
      <c r="AV353" s="41"/>
      <c r="AW353" s="41"/>
      <c r="AX353" s="41"/>
      <c r="AY353" s="41"/>
      <c r="AZ353" s="41"/>
      <c r="BA353" s="41"/>
      <c r="BB353" s="41"/>
      <c r="BC353" s="41"/>
      <c r="BD353" s="41"/>
      <c r="BE353" s="41"/>
      <c r="BF353" s="41"/>
      <c r="BG353" s="41"/>
      <c r="BH353" s="41"/>
      <c r="BI353" s="41"/>
      <c r="BJ353" s="41"/>
      <c r="BK353" s="41"/>
      <c r="BL353" s="41"/>
      <c r="BM353" s="41"/>
      <c r="BN353" s="41"/>
    </row>
    <row r="354" spans="1:66" ht="13.5" customHeight="1" x14ac:dyDescent="0.3">
      <c r="A354" s="41"/>
      <c r="B354" s="141"/>
      <c r="C354" s="41"/>
      <c r="D354" s="41"/>
      <c r="E354" s="41"/>
      <c r="F354" s="41"/>
      <c r="G354" s="41"/>
      <c r="H354" s="41"/>
      <c r="I354" s="41"/>
      <c r="J354" s="15">
        <f t="shared" ref="J354:AG354" si="509">J35</f>
        <v>1</v>
      </c>
      <c r="K354" s="15">
        <f t="shared" si="509"/>
        <v>2</v>
      </c>
      <c r="L354" s="15">
        <f t="shared" si="509"/>
        <v>3</v>
      </c>
      <c r="M354" s="15">
        <f t="shared" si="509"/>
        <v>4</v>
      </c>
      <c r="N354" s="15">
        <f t="shared" si="509"/>
        <v>5</v>
      </c>
      <c r="O354" s="15">
        <f t="shared" si="509"/>
        <v>6</v>
      </c>
      <c r="P354" s="15">
        <f t="shared" si="509"/>
        <v>7</v>
      </c>
      <c r="Q354" s="15">
        <f t="shared" si="509"/>
        <v>8</v>
      </c>
      <c r="R354" s="15">
        <f t="shared" si="509"/>
        <v>9</v>
      </c>
      <c r="S354" s="15">
        <f t="shared" si="509"/>
        <v>10</v>
      </c>
      <c r="T354" s="15">
        <f t="shared" si="509"/>
        <v>11</v>
      </c>
      <c r="U354" s="15">
        <f t="shared" si="509"/>
        <v>12</v>
      </c>
      <c r="V354" s="15">
        <f t="shared" si="509"/>
        <v>13</v>
      </c>
      <c r="W354" s="15">
        <f t="shared" si="509"/>
        <v>14</v>
      </c>
      <c r="X354" s="15">
        <f t="shared" si="509"/>
        <v>15</v>
      </c>
      <c r="Y354" s="15">
        <f t="shared" si="509"/>
        <v>16</v>
      </c>
      <c r="Z354" s="15">
        <f t="shared" si="509"/>
        <v>17</v>
      </c>
      <c r="AA354" s="15">
        <f t="shared" si="509"/>
        <v>18</v>
      </c>
      <c r="AB354" s="15">
        <f t="shared" si="509"/>
        <v>19</v>
      </c>
      <c r="AC354" s="15">
        <f t="shared" si="509"/>
        <v>20</v>
      </c>
      <c r="AD354" s="15">
        <f t="shared" si="509"/>
        <v>21</v>
      </c>
      <c r="AE354" s="15">
        <f t="shared" si="509"/>
        <v>22</v>
      </c>
      <c r="AF354" s="15">
        <f t="shared" si="509"/>
        <v>23</v>
      </c>
      <c r="AG354" s="15">
        <f t="shared" si="509"/>
        <v>24</v>
      </c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41"/>
      <c r="BG354" s="41"/>
      <c r="BH354" s="41"/>
      <c r="BI354" s="41"/>
      <c r="BJ354" s="41"/>
      <c r="BK354" s="41"/>
      <c r="BL354" s="41"/>
      <c r="BM354" s="41"/>
      <c r="BN354" s="41"/>
    </row>
    <row r="355" spans="1:66" ht="13.5" customHeight="1" x14ac:dyDescent="0.3">
      <c r="A355" s="7"/>
      <c r="B355" s="7"/>
      <c r="C355" s="7"/>
      <c r="D355" s="7"/>
      <c r="E355" s="7" t="s">
        <v>309</v>
      </c>
      <c r="F355" s="7"/>
      <c r="G355" s="7"/>
      <c r="H355" s="7"/>
      <c r="I355" s="7"/>
      <c r="J355" s="79">
        <f t="shared" ref="J355:AG355" si="510">J319</f>
        <v>46265</v>
      </c>
      <c r="K355" s="79">
        <f t="shared" si="510"/>
        <v>46295</v>
      </c>
      <c r="L355" s="79">
        <f t="shared" si="510"/>
        <v>46325</v>
      </c>
      <c r="M355" s="79">
        <f t="shared" si="510"/>
        <v>46356</v>
      </c>
      <c r="N355" s="79">
        <f t="shared" si="510"/>
        <v>46386</v>
      </c>
      <c r="O355" s="79">
        <f t="shared" si="510"/>
        <v>46417</v>
      </c>
      <c r="P355" s="79">
        <f t="shared" si="510"/>
        <v>46446</v>
      </c>
      <c r="Q355" s="79">
        <f t="shared" si="510"/>
        <v>46474</v>
      </c>
      <c r="R355" s="79">
        <f t="shared" si="510"/>
        <v>46505</v>
      </c>
      <c r="S355" s="79">
        <f t="shared" si="510"/>
        <v>46535</v>
      </c>
      <c r="T355" s="79">
        <f t="shared" si="510"/>
        <v>46566</v>
      </c>
      <c r="U355" s="79">
        <f t="shared" si="510"/>
        <v>46596</v>
      </c>
      <c r="V355" s="79">
        <f t="shared" si="510"/>
        <v>46627</v>
      </c>
      <c r="W355" s="79">
        <f t="shared" si="510"/>
        <v>46658</v>
      </c>
      <c r="X355" s="79">
        <f t="shared" si="510"/>
        <v>46688</v>
      </c>
      <c r="Y355" s="79">
        <f t="shared" si="510"/>
        <v>46719</v>
      </c>
      <c r="Z355" s="79">
        <f t="shared" si="510"/>
        <v>46749</v>
      </c>
      <c r="AA355" s="79">
        <f t="shared" si="510"/>
        <v>46780</v>
      </c>
      <c r="AB355" s="79">
        <f t="shared" si="510"/>
        <v>46811</v>
      </c>
      <c r="AC355" s="79">
        <f t="shared" si="510"/>
        <v>46840</v>
      </c>
      <c r="AD355" s="79">
        <f t="shared" si="510"/>
        <v>46871</v>
      </c>
      <c r="AE355" s="79">
        <f t="shared" si="510"/>
        <v>46901</v>
      </c>
      <c r="AF355" s="79">
        <f t="shared" si="510"/>
        <v>46932</v>
      </c>
      <c r="AG355" s="79">
        <f t="shared" si="510"/>
        <v>46962</v>
      </c>
      <c r="AH355" s="7"/>
      <c r="AI355" s="137">
        <f t="shared" ref="AI355:AS355" si="511">AI319</f>
        <v>2026</v>
      </c>
      <c r="AJ355" s="137">
        <f t="shared" si="511"/>
        <v>2027</v>
      </c>
      <c r="AK355" s="137">
        <f t="shared" si="511"/>
        <v>2028</v>
      </c>
      <c r="AL355" s="137">
        <f t="shared" si="511"/>
        <v>2029</v>
      </c>
      <c r="AM355" s="137">
        <f t="shared" si="511"/>
        <v>2030</v>
      </c>
      <c r="AN355" s="137">
        <f t="shared" si="511"/>
        <v>2031</v>
      </c>
      <c r="AO355" s="137">
        <f t="shared" si="511"/>
        <v>2032</v>
      </c>
      <c r="AP355" s="137">
        <f t="shared" si="511"/>
        <v>2033</v>
      </c>
      <c r="AQ355" s="137">
        <f t="shared" si="511"/>
        <v>2034</v>
      </c>
      <c r="AR355" s="137">
        <f t="shared" si="511"/>
        <v>2035</v>
      </c>
      <c r="AS355" s="137">
        <f t="shared" si="511"/>
        <v>2036</v>
      </c>
      <c r="AT355" s="137">
        <f t="shared" ref="AT355" si="512">AT319</f>
        <v>2037</v>
      </c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</row>
    <row r="356" spans="1:66" ht="13.5" customHeight="1" x14ac:dyDescent="0.3">
      <c r="A356" s="7"/>
      <c r="B356" s="7" t="s">
        <v>310</v>
      </c>
      <c r="C356" s="7"/>
      <c r="D356" s="7"/>
      <c r="E356" s="7"/>
      <c r="F356" s="7"/>
      <c r="G356" s="7"/>
      <c r="H356" s="7"/>
      <c r="I356" s="7"/>
      <c r="J356" s="8">
        <f t="shared" ref="J356:AG356" ca="1" si="513">SUM(J357:J360)</f>
        <v>-12418.486102342509</v>
      </c>
      <c r="K356" s="8">
        <f t="shared" ca="1" si="513"/>
        <v>0</v>
      </c>
      <c r="L356" s="8">
        <f t="shared" ca="1" si="513"/>
        <v>0</v>
      </c>
      <c r="M356" s="8">
        <f t="shared" ca="1" si="513"/>
        <v>0</v>
      </c>
      <c r="N356" s="8">
        <f t="shared" ca="1" si="513"/>
        <v>0</v>
      </c>
      <c r="O356" s="8">
        <f t="shared" ca="1" si="513"/>
        <v>0</v>
      </c>
      <c r="P356" s="8">
        <f t="shared" ca="1" si="513"/>
        <v>-794.46784543262811</v>
      </c>
      <c r="Q356" s="8">
        <f t="shared" ca="1" si="513"/>
        <v>0</v>
      </c>
      <c r="R356" s="8">
        <f t="shared" ca="1" si="513"/>
        <v>0</v>
      </c>
      <c r="S356" s="8">
        <f t="shared" ca="1" si="513"/>
        <v>0</v>
      </c>
      <c r="T356" s="8">
        <f t="shared" ca="1" si="513"/>
        <v>0</v>
      </c>
      <c r="U356" s="8">
        <f t="shared" ca="1" si="513"/>
        <v>0</v>
      </c>
      <c r="V356" s="8">
        <f t="shared" ca="1" si="513"/>
        <v>-22597.34982477063</v>
      </c>
      <c r="W356" s="8">
        <f t="shared" ca="1" si="513"/>
        <v>0</v>
      </c>
      <c r="X356" s="8">
        <f t="shared" ca="1" si="513"/>
        <v>0</v>
      </c>
      <c r="Y356" s="8">
        <f t="shared" ca="1" si="513"/>
        <v>0</v>
      </c>
      <c r="Z356" s="8">
        <f t="shared" ca="1" si="513"/>
        <v>0</v>
      </c>
      <c r="AA356" s="8">
        <f t="shared" ca="1" si="513"/>
        <v>0</v>
      </c>
      <c r="AB356" s="8">
        <f t="shared" ca="1" si="513"/>
        <v>-1184.7482630917275</v>
      </c>
      <c r="AC356" s="8">
        <f t="shared" ca="1" si="513"/>
        <v>0</v>
      </c>
      <c r="AD356" s="8">
        <f t="shared" ca="1" si="513"/>
        <v>0</v>
      </c>
      <c r="AE356" s="8">
        <f t="shared" ca="1" si="513"/>
        <v>0</v>
      </c>
      <c r="AF356" s="8">
        <f t="shared" ca="1" si="513"/>
        <v>0</v>
      </c>
      <c r="AG356" s="8">
        <f t="shared" ca="1" si="513"/>
        <v>0</v>
      </c>
      <c r="AH356" s="7"/>
      <c r="AI356" s="8">
        <f t="shared" ref="AI356:AS356" ca="1" si="514">SUM(AI357:AI360)</f>
        <v>12418.486102342509</v>
      </c>
      <c r="AJ356" s="8">
        <f t="shared" ca="1" si="514"/>
        <v>23391.817670203258</v>
      </c>
      <c r="AK356" s="8">
        <f t="shared" ca="1" si="514"/>
        <v>28650.534194493965</v>
      </c>
      <c r="AL356" s="8">
        <f t="shared" ca="1" si="514"/>
        <v>79346.567414805497</v>
      </c>
      <c r="AM356" s="8">
        <f t="shared" ca="1" si="514"/>
        <v>94199.294174667681</v>
      </c>
      <c r="AN356" s="8">
        <f t="shared" ca="1" si="514"/>
        <v>101887.15562832683</v>
      </c>
      <c r="AO356" s="8">
        <f t="shared" ca="1" si="514"/>
        <v>109830.30893420194</v>
      </c>
      <c r="AP356" s="8">
        <f t="shared" ca="1" si="514"/>
        <v>117257.15071802071</v>
      </c>
      <c r="AQ356" s="8">
        <f t="shared" ca="1" si="514"/>
        <v>124605.64817713734</v>
      </c>
      <c r="AR356" s="8">
        <f t="shared" ca="1" si="514"/>
        <v>131803.5575840791</v>
      </c>
      <c r="AS356" s="8">
        <f t="shared" ca="1" si="514"/>
        <v>138141.53484400181</v>
      </c>
      <c r="AT356" s="8">
        <f t="shared" ref="AT356" ca="1" si="515">SUM(AT357:AT360)</f>
        <v>144779.5975923019</v>
      </c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</row>
    <row r="357" spans="1:66" ht="13.5" customHeight="1" x14ac:dyDescent="0.3">
      <c r="A357" s="7"/>
      <c r="C357" s="15" t="s">
        <v>215</v>
      </c>
      <c r="D357" s="15" t="s">
        <v>4</v>
      </c>
      <c r="E357" s="109">
        <v>12</v>
      </c>
      <c r="F357" s="7"/>
      <c r="G357" s="7"/>
      <c r="H357" s="7"/>
      <c r="I357" s="7"/>
      <c r="J357" s="8">
        <f t="shared" ref="J357:AG357" ca="1" si="516">IF(MOD(COLUMN(J354)-COLUMN($J$354),$E$357)=0, SUM(OFFSET(J205, 0, 0, 1, $E$357)), 0)</f>
        <v>-11618.774504530858</v>
      </c>
      <c r="K357" s="8">
        <f t="shared" ca="1" si="516"/>
        <v>0</v>
      </c>
      <c r="L357" s="8">
        <f t="shared" ca="1" si="516"/>
        <v>0</v>
      </c>
      <c r="M357" s="8">
        <f t="shared" ca="1" si="516"/>
        <v>0</v>
      </c>
      <c r="N357" s="8">
        <f t="shared" ca="1" si="516"/>
        <v>0</v>
      </c>
      <c r="O357" s="8">
        <f t="shared" ca="1" si="516"/>
        <v>0</v>
      </c>
      <c r="P357" s="8">
        <f t="shared" ca="1" si="516"/>
        <v>0</v>
      </c>
      <c r="Q357" s="8">
        <f t="shared" ca="1" si="516"/>
        <v>0</v>
      </c>
      <c r="R357" s="8">
        <f t="shared" ca="1" si="516"/>
        <v>0</v>
      </c>
      <c r="S357" s="8">
        <f t="shared" ca="1" si="516"/>
        <v>0</v>
      </c>
      <c r="T357" s="8">
        <f t="shared" ca="1" si="516"/>
        <v>0</v>
      </c>
      <c r="U357" s="8">
        <f t="shared" ca="1" si="516"/>
        <v>0</v>
      </c>
      <c r="V357" s="8">
        <f t="shared" ca="1" si="516"/>
        <v>-21811.353133329008</v>
      </c>
      <c r="W357" s="8">
        <f t="shared" ca="1" si="516"/>
        <v>0</v>
      </c>
      <c r="X357" s="8">
        <f t="shared" ca="1" si="516"/>
        <v>0</v>
      </c>
      <c r="Y357" s="8">
        <f t="shared" ca="1" si="516"/>
        <v>0</v>
      </c>
      <c r="Z357" s="8">
        <f t="shared" ca="1" si="516"/>
        <v>0</v>
      </c>
      <c r="AA357" s="8">
        <f t="shared" ca="1" si="516"/>
        <v>0</v>
      </c>
      <c r="AB357" s="8">
        <f t="shared" ca="1" si="516"/>
        <v>0</v>
      </c>
      <c r="AC357" s="8">
        <f t="shared" ca="1" si="516"/>
        <v>0</v>
      </c>
      <c r="AD357" s="8">
        <f t="shared" ca="1" si="516"/>
        <v>0</v>
      </c>
      <c r="AE357" s="8">
        <f t="shared" ca="1" si="516"/>
        <v>0</v>
      </c>
      <c r="AF357" s="8">
        <f t="shared" ca="1" si="516"/>
        <v>0</v>
      </c>
      <c r="AG357" s="8">
        <f t="shared" ca="1" si="516"/>
        <v>0</v>
      </c>
      <c r="AH357" s="7"/>
      <c r="AI357" s="8">
        <f t="shared" ref="AI357:AJ357" ca="1" si="517">-SUMIF($J$37:$AG$37,AI$37,$J357:$AG357)</f>
        <v>11618.774504530858</v>
      </c>
      <c r="AJ357" s="8">
        <f t="shared" ca="1" si="517"/>
        <v>21811.353133329008</v>
      </c>
      <c r="AK357" s="8">
        <f ca="1">-AK205</f>
        <v>26264.306246435775</v>
      </c>
      <c r="AL357" s="8">
        <f t="shared" ref="AL357:AT357" ca="1" si="518">-AL204</f>
        <v>76205.363522495885</v>
      </c>
      <c r="AM357" s="8">
        <f t="shared" ca="1" si="518"/>
        <v>90089.050833666042</v>
      </c>
      <c r="AN357" s="8">
        <f t="shared" ca="1" si="518"/>
        <v>96955.902037950349</v>
      </c>
      <c r="AO357" s="8">
        <f t="shared" ca="1" si="518"/>
        <v>104611.34018420195</v>
      </c>
      <c r="AP357" s="8">
        <f t="shared" ca="1" si="518"/>
        <v>111803.24446802071</v>
      </c>
      <c r="AQ357" s="8">
        <f t="shared" ca="1" si="518"/>
        <v>118933.58567713734</v>
      </c>
      <c r="AR357" s="8">
        <f t="shared" ca="1" si="518"/>
        <v>125930.1200840791</v>
      </c>
      <c r="AS357" s="8">
        <f t="shared" ca="1" si="518"/>
        <v>132100.28484400181</v>
      </c>
      <c r="AT357" s="8">
        <f t="shared" ca="1" si="518"/>
        <v>138570.5350923019</v>
      </c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</row>
    <row r="358" spans="1:66" ht="13.5" customHeight="1" x14ac:dyDescent="0.3">
      <c r="A358" s="7"/>
      <c r="C358" s="15" t="s">
        <v>217</v>
      </c>
      <c r="D358" s="15" t="s">
        <v>4</v>
      </c>
      <c r="E358" s="109">
        <v>6</v>
      </c>
      <c r="F358" s="7"/>
      <c r="G358" s="7"/>
      <c r="H358" s="7"/>
      <c r="I358" s="7"/>
      <c r="J358" s="8">
        <f t="shared" ref="J358:AG358" ca="1" si="519">IF(MOD(COLUMN(J354)-COLUMN($J$354),$E$358)=0, SUM(OFFSET(J206, 0, 0, 1, $E$358)), 0)</f>
        <v>-693.12837673415515</v>
      </c>
      <c r="K358" s="8">
        <f t="shared" ca="1" si="519"/>
        <v>0</v>
      </c>
      <c r="L358" s="8">
        <f t="shared" ca="1" si="519"/>
        <v>0</v>
      </c>
      <c r="M358" s="8">
        <f t="shared" ca="1" si="519"/>
        <v>0</v>
      </c>
      <c r="N358" s="8">
        <f t="shared" ca="1" si="519"/>
        <v>0</v>
      </c>
      <c r="O358" s="8">
        <f t="shared" ca="1" si="519"/>
        <v>0</v>
      </c>
      <c r="P358" s="8">
        <f t="shared" ca="1" si="519"/>
        <v>-688.59242426432809</v>
      </c>
      <c r="Q358" s="8">
        <f t="shared" ca="1" si="519"/>
        <v>0</v>
      </c>
      <c r="R358" s="8">
        <f t="shared" ca="1" si="519"/>
        <v>0</v>
      </c>
      <c r="S358" s="8">
        <f t="shared" ca="1" si="519"/>
        <v>0</v>
      </c>
      <c r="T358" s="8">
        <f t="shared" ca="1" si="519"/>
        <v>0</v>
      </c>
      <c r="U358" s="8">
        <f t="shared" ca="1" si="519"/>
        <v>0</v>
      </c>
      <c r="V358" s="8">
        <f t="shared" ca="1" si="519"/>
        <v>-680.5118430333431</v>
      </c>
      <c r="W358" s="8">
        <f t="shared" ca="1" si="519"/>
        <v>0</v>
      </c>
      <c r="X358" s="8">
        <f t="shared" ca="1" si="519"/>
        <v>0</v>
      </c>
      <c r="Y358" s="8">
        <f t="shared" ca="1" si="519"/>
        <v>0</v>
      </c>
      <c r="Z358" s="8">
        <f t="shared" ca="1" si="519"/>
        <v>0</v>
      </c>
      <c r="AA358" s="8">
        <f t="shared" ca="1" si="519"/>
        <v>0</v>
      </c>
      <c r="AB358" s="8">
        <f t="shared" ca="1" si="519"/>
        <v>-1026.8675074043535</v>
      </c>
      <c r="AC358" s="8">
        <f t="shared" ca="1" si="519"/>
        <v>0</v>
      </c>
      <c r="AD358" s="8">
        <f t="shared" ca="1" si="519"/>
        <v>0</v>
      </c>
      <c r="AE358" s="8">
        <f t="shared" ca="1" si="519"/>
        <v>0</v>
      </c>
      <c r="AF358" s="8">
        <f t="shared" ca="1" si="519"/>
        <v>0</v>
      </c>
      <c r="AG358" s="8">
        <f t="shared" ca="1" si="519"/>
        <v>0</v>
      </c>
      <c r="AH358" s="7"/>
      <c r="AI358" s="8">
        <f t="shared" ref="AI358:AJ358" ca="1" si="520">-SUMIF($J$37:$AG$37,AI$37,$J358:$AG358)</f>
        <v>693.12837673415515</v>
      </c>
      <c r="AJ358" s="8">
        <f t="shared" ca="1" si="520"/>
        <v>1369.1042672976712</v>
      </c>
      <c r="AK358" s="8">
        <f ca="1">-AK206</f>
        <v>2068.0642216504325</v>
      </c>
      <c r="AL358" s="8">
        <f t="shared" ref="AL358:AT358" ca="1" si="521">-AL206</f>
        <v>2722.3767066683386</v>
      </c>
      <c r="AM358" s="8">
        <f t="shared" ca="1" si="521"/>
        <v>3562.2108955347626</v>
      </c>
      <c r="AN358" s="8">
        <f t="shared" ca="1" si="521"/>
        <v>4273.7531116596219</v>
      </c>
      <c r="AO358" s="8">
        <f t="shared" ca="1" si="521"/>
        <v>4523.1062499999998</v>
      </c>
      <c r="AP358" s="8">
        <f t="shared" ca="1" si="521"/>
        <v>4726.71875</v>
      </c>
      <c r="AQ358" s="8">
        <f t="shared" ca="1" si="521"/>
        <v>4915.7875000000004</v>
      </c>
      <c r="AR358" s="8">
        <f t="shared" ca="1" si="521"/>
        <v>5090.3125</v>
      </c>
      <c r="AS358" s="8">
        <f t="shared" ca="1" si="521"/>
        <v>5235.75</v>
      </c>
      <c r="AT358" s="8">
        <f t="shared" ca="1" si="521"/>
        <v>5381.1875</v>
      </c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</row>
    <row r="359" spans="1:66" ht="13.5" customHeight="1" x14ac:dyDescent="0.3">
      <c r="A359" s="7"/>
      <c r="C359" s="15" t="s">
        <v>219</v>
      </c>
      <c r="D359" s="15" t="s">
        <v>4</v>
      </c>
      <c r="E359" s="109">
        <v>6</v>
      </c>
      <c r="F359" s="7"/>
      <c r="G359" s="7"/>
      <c r="H359" s="7"/>
      <c r="I359" s="7"/>
      <c r="J359" s="8">
        <f t="shared" ref="J359:AG359" ca="1" si="522">IF(MOD(COLUMN(J354)-COLUMN($J$354),$E$359)=0, SUM(OFFSET(J207, 0, 0, 1, $E$359)), 0)</f>
        <v>-53.317567441088862</v>
      </c>
      <c r="K359" s="8">
        <f t="shared" ca="1" si="522"/>
        <v>0</v>
      </c>
      <c r="L359" s="8">
        <f t="shared" ca="1" si="522"/>
        <v>0</v>
      </c>
      <c r="M359" s="8">
        <f t="shared" ca="1" si="522"/>
        <v>0</v>
      </c>
      <c r="N359" s="8">
        <f t="shared" ca="1" si="522"/>
        <v>0</v>
      </c>
      <c r="O359" s="8">
        <f t="shared" ca="1" si="522"/>
        <v>0</v>
      </c>
      <c r="P359" s="8">
        <f t="shared" ca="1" si="522"/>
        <v>-52.968648020332935</v>
      </c>
      <c r="Q359" s="8">
        <f t="shared" ca="1" si="522"/>
        <v>0</v>
      </c>
      <c r="R359" s="8">
        <f t="shared" ca="1" si="522"/>
        <v>0</v>
      </c>
      <c r="S359" s="8">
        <f t="shared" ca="1" si="522"/>
        <v>0</v>
      </c>
      <c r="T359" s="8">
        <f t="shared" ca="1" si="522"/>
        <v>0</v>
      </c>
      <c r="U359" s="8">
        <f t="shared" ca="1" si="522"/>
        <v>0</v>
      </c>
      <c r="V359" s="8">
        <f t="shared" ca="1" si="522"/>
        <v>-52.347064848718695</v>
      </c>
      <c r="W359" s="8">
        <f t="shared" ca="1" si="522"/>
        <v>0</v>
      </c>
      <c r="X359" s="8">
        <f t="shared" ca="1" si="522"/>
        <v>0</v>
      </c>
      <c r="Y359" s="8">
        <f t="shared" ca="1" si="522"/>
        <v>0</v>
      </c>
      <c r="Z359" s="8">
        <f t="shared" ca="1" si="522"/>
        <v>0</v>
      </c>
      <c r="AA359" s="8">
        <f t="shared" ca="1" si="522"/>
        <v>0</v>
      </c>
      <c r="AB359" s="8">
        <f t="shared" ca="1" si="522"/>
        <v>-78.98980826187335</v>
      </c>
      <c r="AC359" s="8">
        <f t="shared" ca="1" si="522"/>
        <v>0</v>
      </c>
      <c r="AD359" s="8">
        <f t="shared" ca="1" si="522"/>
        <v>0</v>
      </c>
      <c r="AE359" s="8">
        <f t="shared" ca="1" si="522"/>
        <v>0</v>
      </c>
      <c r="AF359" s="8">
        <f t="shared" ca="1" si="522"/>
        <v>0</v>
      </c>
      <c r="AG359" s="8">
        <f t="shared" ca="1" si="522"/>
        <v>0</v>
      </c>
      <c r="AH359" s="7"/>
      <c r="AI359" s="8">
        <f t="shared" ref="AI359:AJ359" ca="1" si="523">-SUMIF($J$37:$AG$37,AI$37,$J359:$AG359)</f>
        <v>53.317567441088862</v>
      </c>
      <c r="AJ359" s="8">
        <f t="shared" ca="1" si="523"/>
        <v>105.31571286905162</v>
      </c>
      <c r="AK359" s="8">
        <f ca="1">-AK207</f>
        <v>159.08186320387938</v>
      </c>
      <c r="AL359" s="8">
        <f t="shared" ref="AL359:AT359" ca="1" si="524">-AL207</f>
        <v>209.41359282064144</v>
      </c>
      <c r="AM359" s="8">
        <f t="shared" ca="1" si="524"/>
        <v>274.01622273344333</v>
      </c>
      <c r="AN359" s="8">
        <f t="shared" ca="1" si="524"/>
        <v>328.7502393584324</v>
      </c>
      <c r="AO359" s="8">
        <f t="shared" ca="1" si="524"/>
        <v>347.93125000000003</v>
      </c>
      <c r="AP359" s="8">
        <f t="shared" ca="1" si="524"/>
        <v>363.59375</v>
      </c>
      <c r="AQ359" s="8">
        <f t="shared" ca="1" si="524"/>
        <v>378.13749999999999</v>
      </c>
      <c r="AR359" s="8">
        <f t="shared" ca="1" si="524"/>
        <v>391.5625</v>
      </c>
      <c r="AS359" s="8">
        <f t="shared" ca="1" si="524"/>
        <v>402.75</v>
      </c>
      <c r="AT359" s="8">
        <f t="shared" ca="1" si="524"/>
        <v>413.9375</v>
      </c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</row>
    <row r="360" spans="1:66" ht="13.5" customHeight="1" x14ac:dyDescent="0.3">
      <c r="A360" s="7"/>
      <c r="C360" s="15" t="s">
        <v>221</v>
      </c>
      <c r="D360" s="15" t="s">
        <v>4</v>
      </c>
      <c r="E360" s="109">
        <v>6</v>
      </c>
      <c r="F360" s="7"/>
      <c r="G360" s="7"/>
      <c r="H360" s="7"/>
      <c r="I360" s="7"/>
      <c r="J360" s="8">
        <f t="shared" ref="J360:AG360" ca="1" si="525">IF(MOD(COLUMN(J354)-COLUMN($J$354),$E$360)=0, SUM(OFFSET(J208, 0, 0, 1, $E$360)), 0)</f>
        <v>-53.265653636406654</v>
      </c>
      <c r="K360" s="8">
        <f t="shared" ca="1" si="525"/>
        <v>0</v>
      </c>
      <c r="L360" s="8">
        <f t="shared" ca="1" si="525"/>
        <v>0</v>
      </c>
      <c r="M360" s="8">
        <f t="shared" ca="1" si="525"/>
        <v>0</v>
      </c>
      <c r="N360" s="8">
        <f t="shared" ca="1" si="525"/>
        <v>0</v>
      </c>
      <c r="O360" s="8">
        <f t="shared" ca="1" si="525"/>
        <v>0</v>
      </c>
      <c r="P360" s="8">
        <f t="shared" ca="1" si="525"/>
        <v>-52.906773147967051</v>
      </c>
      <c r="Q360" s="8">
        <f t="shared" ca="1" si="525"/>
        <v>0</v>
      </c>
      <c r="R360" s="8">
        <f t="shared" ca="1" si="525"/>
        <v>0</v>
      </c>
      <c r="S360" s="8">
        <f t="shared" ca="1" si="525"/>
        <v>0</v>
      </c>
      <c r="T360" s="8">
        <f t="shared" ca="1" si="525"/>
        <v>0</v>
      </c>
      <c r="U360" s="8">
        <f t="shared" ca="1" si="525"/>
        <v>0</v>
      </c>
      <c r="V360" s="8">
        <f t="shared" ca="1" si="525"/>
        <v>-53.137783559559928</v>
      </c>
      <c r="W360" s="8">
        <f t="shared" ca="1" si="525"/>
        <v>0</v>
      </c>
      <c r="X360" s="8">
        <f t="shared" ca="1" si="525"/>
        <v>0</v>
      </c>
      <c r="Y360" s="8">
        <f t="shared" ca="1" si="525"/>
        <v>0</v>
      </c>
      <c r="Z360" s="8">
        <f t="shared" ca="1" si="525"/>
        <v>0</v>
      </c>
      <c r="AA360" s="8">
        <f t="shared" ca="1" si="525"/>
        <v>0</v>
      </c>
      <c r="AB360" s="8">
        <f t="shared" ca="1" si="525"/>
        <v>-78.890947425500514</v>
      </c>
      <c r="AC360" s="8">
        <f t="shared" ca="1" si="525"/>
        <v>0</v>
      </c>
      <c r="AD360" s="8">
        <f t="shared" ca="1" si="525"/>
        <v>0</v>
      </c>
      <c r="AE360" s="8">
        <f t="shared" ca="1" si="525"/>
        <v>0</v>
      </c>
      <c r="AF360" s="8">
        <f t="shared" ca="1" si="525"/>
        <v>0</v>
      </c>
      <c r="AG360" s="8">
        <f t="shared" ca="1" si="525"/>
        <v>0</v>
      </c>
      <c r="AH360" s="7"/>
      <c r="AI360" s="8">
        <f t="shared" ref="AI360:AJ360" ca="1" si="526">-SUMIF($J$37:$AG$37,AI$37,$J360:$AG360)</f>
        <v>53.265653636406654</v>
      </c>
      <c r="AJ360" s="8">
        <f t="shared" ca="1" si="526"/>
        <v>106.04455670752698</v>
      </c>
      <c r="AK360" s="8">
        <f ca="1">-AK208</f>
        <v>159.08186320387938</v>
      </c>
      <c r="AL360" s="8">
        <f t="shared" ref="AL360:AT360" ca="1" si="527">-AL208</f>
        <v>209.41359282064144</v>
      </c>
      <c r="AM360" s="8">
        <f t="shared" ca="1" si="527"/>
        <v>274.01622273344333</v>
      </c>
      <c r="AN360" s="8">
        <f t="shared" ca="1" si="527"/>
        <v>328.7502393584324</v>
      </c>
      <c r="AO360" s="8">
        <f t="shared" ca="1" si="527"/>
        <v>347.93125000000003</v>
      </c>
      <c r="AP360" s="8">
        <f t="shared" ca="1" si="527"/>
        <v>363.59375</v>
      </c>
      <c r="AQ360" s="8">
        <f t="shared" ca="1" si="527"/>
        <v>378.13749999999999</v>
      </c>
      <c r="AR360" s="8">
        <f t="shared" ca="1" si="527"/>
        <v>391.5625</v>
      </c>
      <c r="AS360" s="8">
        <f t="shared" ca="1" si="527"/>
        <v>402.75</v>
      </c>
      <c r="AT360" s="8">
        <f t="shared" ca="1" si="527"/>
        <v>413.9375</v>
      </c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</row>
    <row r="361" spans="1:66" ht="13.5" customHeight="1" x14ac:dyDescent="0.3">
      <c r="A361" s="7"/>
      <c r="B361" s="7"/>
      <c r="C361" s="7"/>
      <c r="D361" s="15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</row>
    <row r="362" spans="1:66" ht="13.5" customHeight="1" x14ac:dyDescent="0.3">
      <c r="A362" s="7"/>
      <c r="B362" s="7" t="s">
        <v>311</v>
      </c>
      <c r="C362" s="7"/>
      <c r="D362" s="15" t="s">
        <v>4</v>
      </c>
      <c r="E362" s="109"/>
      <c r="F362" s="7"/>
      <c r="G362" s="7"/>
      <c r="H362" s="7"/>
      <c r="I362" s="7"/>
      <c r="J362" s="8">
        <f ca="1">SUM(J363:J364)</f>
        <v>0</v>
      </c>
      <c r="K362" s="8">
        <f t="shared" ref="K362:AG362" ca="1" si="528">SUM(K363:K364)</f>
        <v>0</v>
      </c>
      <c r="L362" s="8">
        <f t="shared" ca="1" si="528"/>
        <v>0</v>
      </c>
      <c r="M362" s="8">
        <f t="shared" ca="1" si="528"/>
        <v>0</v>
      </c>
      <c r="N362" s="8">
        <f t="shared" ca="1" si="528"/>
        <v>0</v>
      </c>
      <c r="O362" s="8">
        <f t="shared" ca="1" si="528"/>
        <v>0</v>
      </c>
      <c r="P362" s="8">
        <f t="shared" ca="1" si="528"/>
        <v>0</v>
      </c>
      <c r="Q362" s="8">
        <f t="shared" ca="1" si="528"/>
        <v>0</v>
      </c>
      <c r="R362" s="8">
        <f t="shared" ca="1" si="528"/>
        <v>0</v>
      </c>
      <c r="S362" s="8">
        <f t="shared" ca="1" si="528"/>
        <v>0</v>
      </c>
      <c r="T362" s="8">
        <f t="shared" ca="1" si="528"/>
        <v>0</v>
      </c>
      <c r="U362" s="8">
        <f t="shared" ca="1" si="528"/>
        <v>0</v>
      </c>
      <c r="V362" s="8">
        <f t="shared" ca="1" si="528"/>
        <v>0</v>
      </c>
      <c r="W362" s="8">
        <f t="shared" ca="1" si="528"/>
        <v>0</v>
      </c>
      <c r="X362" s="8">
        <f t="shared" ca="1" si="528"/>
        <v>0</v>
      </c>
      <c r="Y362" s="8">
        <f t="shared" ca="1" si="528"/>
        <v>0</v>
      </c>
      <c r="Z362" s="8">
        <f t="shared" ca="1" si="528"/>
        <v>0</v>
      </c>
      <c r="AA362" s="8">
        <f t="shared" ca="1" si="528"/>
        <v>0</v>
      </c>
      <c r="AB362" s="8">
        <f t="shared" ca="1" si="528"/>
        <v>0</v>
      </c>
      <c r="AC362" s="8">
        <f t="shared" ca="1" si="528"/>
        <v>0</v>
      </c>
      <c r="AD362" s="8">
        <f t="shared" ca="1" si="528"/>
        <v>0</v>
      </c>
      <c r="AE362" s="8">
        <f t="shared" ca="1" si="528"/>
        <v>0</v>
      </c>
      <c r="AF362" s="8">
        <f t="shared" ca="1" si="528"/>
        <v>0</v>
      </c>
      <c r="AG362" s="8">
        <f t="shared" ca="1" si="528"/>
        <v>0</v>
      </c>
      <c r="AH362" s="7"/>
      <c r="AI362" s="8">
        <f ca="1">-SUMIF($J$37:$AG$37,AI$37,$J362:$AG362)</f>
        <v>0</v>
      </c>
      <c r="AJ362" s="8">
        <f ca="1">-SUMIF($J$37:$AG$37,AJ$37,$J362:$AG362)</f>
        <v>0</v>
      </c>
      <c r="AK362" s="8">
        <f>SUM(AK363:AK364)</f>
        <v>115.32547848700464</v>
      </c>
      <c r="AL362" s="8">
        <f t="shared" ref="AL362:AT362" ca="1" si="529">SUM(AL363:AL364)</f>
        <v>146.90338752803405</v>
      </c>
      <c r="AM362" s="8">
        <f t="shared" ca="1" si="529"/>
        <v>197.31365221674781</v>
      </c>
      <c r="AN362" s="8">
        <f t="shared" ca="1" si="529"/>
        <v>259.56594257343329</v>
      </c>
      <c r="AO362" s="8">
        <f t="shared" ca="1" si="529"/>
        <v>286.39809762593626</v>
      </c>
      <c r="AP362" s="8">
        <f t="shared" ca="1" si="529"/>
        <v>306.44596445975185</v>
      </c>
      <c r="AQ362" s="8">
        <f t="shared" ca="1" si="529"/>
        <v>326.36495214963571</v>
      </c>
      <c r="AR362" s="8">
        <f t="shared" ca="1" si="529"/>
        <v>345.94684927861385</v>
      </c>
      <c r="AS362" s="8">
        <f t="shared" ca="1" si="529"/>
        <v>363.24419174254456</v>
      </c>
      <c r="AT362" s="8">
        <f t="shared" ca="1" si="529"/>
        <v>381.40640132967184</v>
      </c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</row>
    <row r="363" spans="1:66" ht="13.5" customHeight="1" x14ac:dyDescent="0.3">
      <c r="A363" s="7"/>
      <c r="B363" s="7"/>
      <c r="C363" s="20" t="s">
        <v>677</v>
      </c>
      <c r="D363" s="15" t="s">
        <v>4</v>
      </c>
      <c r="E363" s="109">
        <v>12</v>
      </c>
      <c r="F363" s="7"/>
      <c r="G363" s="7"/>
      <c r="H363" s="7"/>
      <c r="I363" s="7"/>
      <c r="J363" s="8">
        <f t="shared" ref="J363:AG363" ca="1" si="530">IF(MOD(COLUMN(J354)-COLUMN($J$354),$E$363)=0, SUM(OFFSET(J217, 0, 0, 1, $E$363)), 0)</f>
        <v>0</v>
      </c>
      <c r="K363" s="8">
        <f t="shared" ca="1" si="530"/>
        <v>0</v>
      </c>
      <c r="L363" s="8">
        <f t="shared" ca="1" si="530"/>
        <v>0</v>
      </c>
      <c r="M363" s="8">
        <f t="shared" ca="1" si="530"/>
        <v>0</v>
      </c>
      <c r="N363" s="8">
        <f t="shared" ca="1" si="530"/>
        <v>0</v>
      </c>
      <c r="O363" s="8">
        <f t="shared" ca="1" si="530"/>
        <v>0</v>
      </c>
      <c r="P363" s="8">
        <f t="shared" ca="1" si="530"/>
        <v>0</v>
      </c>
      <c r="Q363" s="8">
        <f t="shared" ca="1" si="530"/>
        <v>0</v>
      </c>
      <c r="R363" s="8">
        <f t="shared" ca="1" si="530"/>
        <v>0</v>
      </c>
      <c r="S363" s="8">
        <f t="shared" ca="1" si="530"/>
        <v>0</v>
      </c>
      <c r="T363" s="8">
        <f t="shared" ca="1" si="530"/>
        <v>0</v>
      </c>
      <c r="U363" s="8">
        <f t="shared" ca="1" si="530"/>
        <v>0</v>
      </c>
      <c r="V363" s="8">
        <f t="shared" ca="1" si="530"/>
        <v>0</v>
      </c>
      <c r="W363" s="8">
        <f t="shared" ca="1" si="530"/>
        <v>0</v>
      </c>
      <c r="X363" s="8">
        <f t="shared" ca="1" si="530"/>
        <v>0</v>
      </c>
      <c r="Y363" s="8">
        <f t="shared" ca="1" si="530"/>
        <v>0</v>
      </c>
      <c r="Z363" s="8">
        <f t="shared" ca="1" si="530"/>
        <v>0</v>
      </c>
      <c r="AA363" s="8">
        <f t="shared" ca="1" si="530"/>
        <v>0</v>
      </c>
      <c r="AB363" s="8">
        <f t="shared" ca="1" si="530"/>
        <v>0</v>
      </c>
      <c r="AC363" s="8">
        <f t="shared" ca="1" si="530"/>
        <v>0</v>
      </c>
      <c r="AD363" s="8">
        <f t="shared" ca="1" si="530"/>
        <v>0</v>
      </c>
      <c r="AE363" s="8">
        <f t="shared" ca="1" si="530"/>
        <v>0</v>
      </c>
      <c r="AF363" s="8">
        <f t="shared" ca="1" si="530"/>
        <v>0</v>
      </c>
      <c r="AG363" s="8">
        <f t="shared" ca="1" si="530"/>
        <v>0</v>
      </c>
      <c r="AH363" s="7"/>
      <c r="AI363" s="8">
        <f t="shared" ref="AI363:AJ364" ca="1" si="531">-SUMIF($J$37:$AG$37,AI$37,$J363:$AG363)</f>
        <v>0</v>
      </c>
      <c r="AJ363" s="8">
        <f t="shared" ca="1" si="531"/>
        <v>0</v>
      </c>
      <c r="AK363" s="8">
        <f t="shared" ref="AK363:AT363" si="532">-AK217</f>
        <v>115.32547848700464</v>
      </c>
      <c r="AL363" s="8">
        <f t="shared" ca="1" si="532"/>
        <v>146.90338752803405</v>
      </c>
      <c r="AM363" s="8">
        <f t="shared" ca="1" si="532"/>
        <v>197.31365221674781</v>
      </c>
      <c r="AN363" s="8">
        <f t="shared" ca="1" si="532"/>
        <v>259.56594257343329</v>
      </c>
      <c r="AO363" s="8">
        <f t="shared" ca="1" si="532"/>
        <v>286.39809762593626</v>
      </c>
      <c r="AP363" s="8">
        <f t="shared" ca="1" si="532"/>
        <v>306.44596445975185</v>
      </c>
      <c r="AQ363" s="8">
        <f t="shared" ca="1" si="532"/>
        <v>326.36495214963571</v>
      </c>
      <c r="AR363" s="8">
        <f t="shared" ca="1" si="532"/>
        <v>345.94684927861385</v>
      </c>
      <c r="AS363" s="8">
        <f t="shared" ca="1" si="532"/>
        <v>363.24419174254456</v>
      </c>
      <c r="AT363" s="8">
        <f t="shared" ca="1" si="532"/>
        <v>381.40640132967184</v>
      </c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</row>
    <row r="364" spans="1:66" ht="13.5" customHeight="1" x14ac:dyDescent="0.3">
      <c r="A364" s="7"/>
      <c r="B364" s="7"/>
      <c r="C364" s="20" t="s">
        <v>678</v>
      </c>
      <c r="D364" s="15" t="s">
        <v>4</v>
      </c>
      <c r="E364" s="109">
        <v>12</v>
      </c>
      <c r="F364" s="7"/>
      <c r="G364" s="7"/>
      <c r="H364" s="7"/>
      <c r="I364" s="7"/>
      <c r="J364" s="8">
        <f t="shared" ref="J364:AG364" ca="1" si="533">IF(MOD(COLUMN(J355)-COLUMN($J$354),$E$363)=0, SUM(OFFSET(J218, 0, 0, 1, $E$363)), 0)</f>
        <v>0</v>
      </c>
      <c r="K364" s="8">
        <f t="shared" ca="1" si="533"/>
        <v>0</v>
      </c>
      <c r="L364" s="8">
        <f t="shared" ca="1" si="533"/>
        <v>0</v>
      </c>
      <c r="M364" s="8">
        <f t="shared" ca="1" si="533"/>
        <v>0</v>
      </c>
      <c r="N364" s="8">
        <f t="shared" ca="1" si="533"/>
        <v>0</v>
      </c>
      <c r="O364" s="8">
        <f t="shared" ca="1" si="533"/>
        <v>0</v>
      </c>
      <c r="P364" s="8">
        <f t="shared" ca="1" si="533"/>
        <v>0</v>
      </c>
      <c r="Q364" s="8">
        <f t="shared" ca="1" si="533"/>
        <v>0</v>
      </c>
      <c r="R364" s="8">
        <f t="shared" ca="1" si="533"/>
        <v>0</v>
      </c>
      <c r="S364" s="8">
        <f t="shared" ca="1" si="533"/>
        <v>0</v>
      </c>
      <c r="T364" s="8">
        <f t="shared" ca="1" si="533"/>
        <v>0</v>
      </c>
      <c r="U364" s="8">
        <f t="shared" ca="1" si="533"/>
        <v>0</v>
      </c>
      <c r="V364" s="8">
        <f t="shared" ca="1" si="533"/>
        <v>0</v>
      </c>
      <c r="W364" s="8">
        <f t="shared" ca="1" si="533"/>
        <v>0</v>
      </c>
      <c r="X364" s="8">
        <f t="shared" ca="1" si="533"/>
        <v>0</v>
      </c>
      <c r="Y364" s="8">
        <f t="shared" ca="1" si="533"/>
        <v>0</v>
      </c>
      <c r="Z364" s="8">
        <f t="shared" ca="1" si="533"/>
        <v>0</v>
      </c>
      <c r="AA364" s="8">
        <f t="shared" ca="1" si="533"/>
        <v>0</v>
      </c>
      <c r="AB364" s="8">
        <f t="shared" ca="1" si="533"/>
        <v>0</v>
      </c>
      <c r="AC364" s="8">
        <f t="shared" ca="1" si="533"/>
        <v>0</v>
      </c>
      <c r="AD364" s="8">
        <f t="shared" ca="1" si="533"/>
        <v>0</v>
      </c>
      <c r="AE364" s="8">
        <f t="shared" ca="1" si="533"/>
        <v>0</v>
      </c>
      <c r="AF364" s="8">
        <f t="shared" ca="1" si="533"/>
        <v>0</v>
      </c>
      <c r="AG364" s="8">
        <f t="shared" ca="1" si="533"/>
        <v>0</v>
      </c>
      <c r="AH364" s="7"/>
      <c r="AI364" s="8">
        <f t="shared" ca="1" si="531"/>
        <v>0</v>
      </c>
      <c r="AJ364" s="8">
        <f t="shared" ca="1" si="531"/>
        <v>0</v>
      </c>
      <c r="AK364" s="8">
        <f t="shared" ref="AK364:AT364" si="534">-AK218</f>
        <v>0</v>
      </c>
      <c r="AL364" s="8">
        <f t="shared" si="534"/>
        <v>0</v>
      </c>
      <c r="AM364" s="8">
        <f t="shared" si="534"/>
        <v>0</v>
      </c>
      <c r="AN364" s="8">
        <f t="shared" si="534"/>
        <v>0</v>
      </c>
      <c r="AO364" s="8">
        <f t="shared" si="534"/>
        <v>0</v>
      </c>
      <c r="AP364" s="8">
        <f t="shared" si="534"/>
        <v>0</v>
      </c>
      <c r="AQ364" s="8">
        <f t="shared" si="534"/>
        <v>0</v>
      </c>
      <c r="AR364" s="8">
        <f t="shared" si="534"/>
        <v>0</v>
      </c>
      <c r="AS364" s="8">
        <f t="shared" si="534"/>
        <v>0</v>
      </c>
      <c r="AT364" s="8">
        <f t="shared" si="534"/>
        <v>0</v>
      </c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</row>
    <row r="365" spans="1:66" ht="13.5" customHeight="1" x14ac:dyDescent="0.3">
      <c r="A365" s="7"/>
      <c r="B365" s="7"/>
      <c r="C365" s="7"/>
      <c r="D365" s="15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</row>
    <row r="366" spans="1:66" ht="13.5" customHeight="1" x14ac:dyDescent="0.3">
      <c r="A366" s="7"/>
      <c r="B366" s="7" t="s">
        <v>312</v>
      </c>
      <c r="C366" s="7"/>
      <c r="D366" s="15" t="s">
        <v>4</v>
      </c>
      <c r="E366" s="109"/>
      <c r="F366" s="7"/>
      <c r="G366" s="7"/>
      <c r="H366" s="7"/>
      <c r="I366" s="7"/>
      <c r="J366" s="8">
        <f t="shared" ref="J366:AG366" ca="1" si="535">SUM(J367:J370)</f>
        <v>-729</v>
      </c>
      <c r="K366" s="8">
        <f t="shared" ca="1" si="535"/>
        <v>-728.86500000000001</v>
      </c>
      <c r="L366" s="8">
        <f t="shared" ca="1" si="535"/>
        <v>-728.73033750000002</v>
      </c>
      <c r="M366" s="8">
        <f t="shared" ca="1" si="535"/>
        <v>-728.59601165624997</v>
      </c>
      <c r="N366" s="8">
        <f t="shared" ca="1" si="535"/>
        <v>-728.46202162710938</v>
      </c>
      <c r="O366" s="8">
        <f t="shared" ca="1" si="535"/>
        <v>-804.80284506321095</v>
      </c>
      <c r="P366" s="8">
        <f t="shared" ca="1" si="535"/>
        <v>-804.65552545055289</v>
      </c>
      <c r="Q366" s="8">
        <f t="shared" ca="1" si="535"/>
        <v>-804.50857413692654</v>
      </c>
      <c r="R366" s="8">
        <f t="shared" ca="1" si="535"/>
        <v>-804.36199020158426</v>
      </c>
      <c r="S366" s="8">
        <f t="shared" ca="1" si="535"/>
        <v>-804.21577272608033</v>
      </c>
      <c r="T366" s="8">
        <f t="shared" ca="1" si="535"/>
        <v>-804.06992079426504</v>
      </c>
      <c r="U366" s="8">
        <f t="shared" ca="1" si="535"/>
        <v>-803.92443349227938</v>
      </c>
      <c r="V366" s="8">
        <f t="shared" ca="1" si="535"/>
        <v>-803.77930990854873</v>
      </c>
      <c r="W366" s="8">
        <f t="shared" ca="1" si="535"/>
        <v>-803.63454913377734</v>
      </c>
      <c r="X366" s="8">
        <f t="shared" ca="1" si="535"/>
        <v>-829.48194737114261</v>
      </c>
      <c r="Y366" s="8">
        <f t="shared" ca="1" si="535"/>
        <v>-794.70383984614909</v>
      </c>
      <c r="Z366" s="8">
        <f t="shared" ca="1" si="535"/>
        <v>-794.58176774653373</v>
      </c>
      <c r="AA366" s="8">
        <f t="shared" ca="1" si="535"/>
        <v>-877.63537590988426</v>
      </c>
      <c r="AB366" s="8">
        <f t="shared" ca="1" si="535"/>
        <v>-877.50176715760949</v>
      </c>
      <c r="AC366" s="8">
        <f t="shared" ca="1" si="535"/>
        <v>-877.36849242721541</v>
      </c>
      <c r="AD366" s="8">
        <f t="shared" ca="1" si="535"/>
        <v>-877.23555088364742</v>
      </c>
      <c r="AE366" s="8">
        <f t="shared" ca="1" si="535"/>
        <v>-877.10294169393819</v>
      </c>
      <c r="AF366" s="8">
        <f t="shared" ca="1" si="535"/>
        <v>-876.97066402720338</v>
      </c>
      <c r="AG366" s="8">
        <f t="shared" ca="1" si="535"/>
        <v>-876.83871705463548</v>
      </c>
      <c r="AH366" s="7"/>
      <c r="AI366" s="8">
        <f t="shared" ref="AI366:AT366" ca="1" si="536">SUM(AI367:AI370)</f>
        <v>3643.6533707833596</v>
      </c>
      <c r="AJ366" s="8">
        <f t="shared" ca="1" si="536"/>
        <v>9656.7204758710504</v>
      </c>
      <c r="AK366" s="8">
        <f t="shared" ca="1" si="536"/>
        <v>10744.730476016233</v>
      </c>
      <c r="AL366" s="8">
        <f t="shared" ca="1" si="536"/>
        <v>11984.979048847632</v>
      </c>
      <c r="AM366" s="8">
        <f t="shared" ca="1" si="536"/>
        <v>13347.310267252755</v>
      </c>
      <c r="AN366" s="8">
        <f t="shared" ca="1" si="536"/>
        <v>14584.700233907159</v>
      </c>
      <c r="AO366" s="8">
        <f t="shared" ca="1" si="536"/>
        <v>15757.227363441891</v>
      </c>
      <c r="AP366" s="8">
        <f t="shared" ca="1" si="536"/>
        <v>16859.734062307452</v>
      </c>
      <c r="AQ366" s="8">
        <f t="shared" ca="1" si="536"/>
        <v>17955.094751302746</v>
      </c>
      <c r="AR366" s="8">
        <f t="shared" ca="1" si="536"/>
        <v>19031.868452694409</v>
      </c>
      <c r="AS366" s="8">
        <f t="shared" ca="1" si="536"/>
        <v>19982.980006047881</v>
      </c>
      <c r="AT366" s="8">
        <f t="shared" ca="1" si="536"/>
        <v>20981.615012450278</v>
      </c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</row>
    <row r="367" spans="1:66" ht="13.5" customHeight="1" x14ac:dyDescent="0.3">
      <c r="A367" s="7"/>
      <c r="B367" s="7"/>
      <c r="C367" s="15" t="s">
        <v>222</v>
      </c>
      <c r="D367" s="15" t="s">
        <v>4</v>
      </c>
      <c r="E367" s="109">
        <v>1</v>
      </c>
      <c r="F367" s="7"/>
      <c r="G367" s="7"/>
      <c r="H367" s="7"/>
      <c r="I367" s="7"/>
      <c r="J367" s="8">
        <f t="shared" ref="J367:AG367" ca="1" si="537">IF(MOD(COLUMN(J354)-COLUMN($J$354),$E$367)=0, SUM(OFFSET(J209, 0, 0, 1, $E$367)), 0)</f>
        <v>-54</v>
      </c>
      <c r="K367" s="8">
        <f t="shared" ca="1" si="537"/>
        <v>-53.865000000000009</v>
      </c>
      <c r="L367" s="8">
        <f t="shared" ca="1" si="537"/>
        <v>-53.730337499999997</v>
      </c>
      <c r="M367" s="8">
        <f t="shared" ca="1" si="537"/>
        <v>-53.596011656249999</v>
      </c>
      <c r="N367" s="8">
        <f t="shared" ca="1" si="537"/>
        <v>-53.46202162710938</v>
      </c>
      <c r="O367" s="8">
        <f t="shared" ca="1" si="537"/>
        <v>-58.927845063210981</v>
      </c>
      <c r="P367" s="8">
        <f t="shared" ca="1" si="537"/>
        <v>-58.780525450552936</v>
      </c>
      <c r="Q367" s="8">
        <f t="shared" ca="1" si="537"/>
        <v>-58.633574136926548</v>
      </c>
      <c r="R367" s="8">
        <f t="shared" ca="1" si="537"/>
        <v>-58.486990201584241</v>
      </c>
      <c r="S367" s="8">
        <f t="shared" ca="1" si="537"/>
        <v>-58.340772726080296</v>
      </c>
      <c r="T367" s="8">
        <f t="shared" ca="1" si="537"/>
        <v>-58.19492079426508</v>
      </c>
      <c r="U367" s="8">
        <f t="shared" ca="1" si="537"/>
        <v>-58.049433492279412</v>
      </c>
      <c r="V367" s="8">
        <f t="shared" ca="1" si="537"/>
        <v>-57.904309908548726</v>
      </c>
      <c r="W367" s="8">
        <f t="shared" ca="1" si="537"/>
        <v>-57.759549133777348</v>
      </c>
      <c r="X367" s="8">
        <f t="shared" ca="1" si="537"/>
        <v>-48.951217890876308</v>
      </c>
      <c r="Y367" s="8">
        <f t="shared" ca="1" si="537"/>
        <v>-48.828839846149123</v>
      </c>
      <c r="Z367" s="8">
        <f t="shared" ca="1" si="537"/>
        <v>-48.70676774653375</v>
      </c>
      <c r="AA367" s="8">
        <f t="shared" ca="1" si="537"/>
        <v>-53.443500909884143</v>
      </c>
      <c r="AB367" s="8">
        <f t="shared" ca="1" si="537"/>
        <v>-53.309892157609433</v>
      </c>
      <c r="AC367" s="8">
        <f t="shared" ca="1" si="537"/>
        <v>-53.176617427215405</v>
      </c>
      <c r="AD367" s="8">
        <f t="shared" ca="1" si="537"/>
        <v>-53.04367588364736</v>
      </c>
      <c r="AE367" s="8">
        <f t="shared" ca="1" si="537"/>
        <v>-52.911066693938245</v>
      </c>
      <c r="AF367" s="8">
        <f t="shared" ca="1" si="537"/>
        <v>-52.778789027203402</v>
      </c>
      <c r="AG367" s="8">
        <f t="shared" ca="1" si="537"/>
        <v>-52.646842054635393</v>
      </c>
      <c r="AH367" s="7"/>
      <c r="AI367" s="8">
        <f t="shared" ref="AI367:AJ367" ca="1" si="538">-SUMIF($J$37:$AG$37,AI$37,$J367:$AG367)</f>
        <v>268.65337078335938</v>
      </c>
      <c r="AJ367" s="8">
        <f t="shared" ca="1" si="538"/>
        <v>671.56474639078476</v>
      </c>
      <c r="AK367" s="8">
        <f t="shared" ref="AK367:AT367" ca="1" si="539">-AK209</f>
        <v>792.24967213479385</v>
      </c>
      <c r="AL367" s="8">
        <f t="shared" ca="1" si="539"/>
        <v>1068.9933760444692</v>
      </c>
      <c r="AM367" s="8">
        <f t="shared" ca="1" si="539"/>
        <v>1410.1387443000001</v>
      </c>
      <c r="AN367" s="8">
        <f t="shared" ca="1" si="539"/>
        <v>1530.0005375655001</v>
      </c>
      <c r="AO367" s="8">
        <f t="shared" ca="1" si="539"/>
        <v>1652.4005805707402</v>
      </c>
      <c r="AP367" s="8">
        <f t="shared" ca="1" si="539"/>
        <v>1768.0686212106921</v>
      </c>
      <c r="AQ367" s="8">
        <f t="shared" ca="1" si="539"/>
        <v>1882.9930815893874</v>
      </c>
      <c r="AR367" s="8">
        <f t="shared" ca="1" si="539"/>
        <v>1995.9726664847503</v>
      </c>
      <c r="AS367" s="8">
        <f t="shared" ca="1" si="539"/>
        <v>2095.7712998089878</v>
      </c>
      <c r="AT367" s="8">
        <f t="shared" ca="1" si="539"/>
        <v>2200.559864799437</v>
      </c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</row>
    <row r="368" spans="1:66" ht="13.2" customHeight="1" x14ac:dyDescent="0.3">
      <c r="A368" s="7"/>
      <c r="B368" s="7"/>
      <c r="C368" s="7" t="s">
        <v>313</v>
      </c>
      <c r="D368" s="15" t="s">
        <v>4</v>
      </c>
      <c r="E368" s="109">
        <v>1</v>
      </c>
      <c r="F368" s="7"/>
      <c r="G368" s="7"/>
      <c r="H368" s="7"/>
      <c r="I368" s="7"/>
      <c r="J368" s="8">
        <f t="shared" ref="J368:AG368" ca="1" si="540">IF(MOD(COLUMN(J354)-COLUMN($J$354),$E$368)=0, SUM(OFFSET(J211, 0, 0, 1, $E$368)), 0)</f>
        <v>-500</v>
      </c>
      <c r="K368" s="8">
        <f t="shared" ca="1" si="540"/>
        <v>-500</v>
      </c>
      <c r="L368" s="8">
        <f t="shared" ca="1" si="540"/>
        <v>-500</v>
      </c>
      <c r="M368" s="8">
        <f t="shared" ca="1" si="540"/>
        <v>-500</v>
      </c>
      <c r="N368" s="8">
        <f t="shared" ca="1" si="540"/>
        <v>-500</v>
      </c>
      <c r="O368" s="8">
        <f t="shared" ca="1" si="540"/>
        <v>-552.5</v>
      </c>
      <c r="P368" s="8">
        <f t="shared" ca="1" si="540"/>
        <v>-552.5</v>
      </c>
      <c r="Q368" s="8">
        <f t="shared" ca="1" si="540"/>
        <v>-552.5</v>
      </c>
      <c r="R368" s="8">
        <f t="shared" ca="1" si="540"/>
        <v>-552.5</v>
      </c>
      <c r="S368" s="8">
        <f t="shared" ca="1" si="540"/>
        <v>-552.5</v>
      </c>
      <c r="T368" s="8">
        <f t="shared" ca="1" si="540"/>
        <v>-552.5</v>
      </c>
      <c r="U368" s="8">
        <f t="shared" ca="1" si="540"/>
        <v>-552.5</v>
      </c>
      <c r="V368" s="8">
        <f t="shared" ca="1" si="540"/>
        <v>-552.5</v>
      </c>
      <c r="W368" s="8">
        <f t="shared" ca="1" si="540"/>
        <v>-552.5</v>
      </c>
      <c r="X368" s="8">
        <f t="shared" ca="1" si="540"/>
        <v>-552.5</v>
      </c>
      <c r="Y368" s="8">
        <f t="shared" ca="1" si="540"/>
        <v>-552.5</v>
      </c>
      <c r="Z368" s="8">
        <f t="shared" ca="1" si="540"/>
        <v>-552.5</v>
      </c>
      <c r="AA368" s="8">
        <f t="shared" ca="1" si="540"/>
        <v>-610.51250000000005</v>
      </c>
      <c r="AB368" s="8">
        <f t="shared" ca="1" si="540"/>
        <v>-610.51250000000005</v>
      </c>
      <c r="AC368" s="8">
        <f t="shared" ca="1" si="540"/>
        <v>-610.51250000000005</v>
      </c>
      <c r="AD368" s="8">
        <f t="shared" ca="1" si="540"/>
        <v>-610.51250000000005</v>
      </c>
      <c r="AE368" s="8">
        <f t="shared" ca="1" si="540"/>
        <v>-610.51250000000005</v>
      </c>
      <c r="AF368" s="8">
        <f t="shared" ca="1" si="540"/>
        <v>-610.51250000000005</v>
      </c>
      <c r="AG368" s="8">
        <f t="shared" ca="1" si="540"/>
        <v>-610.51250000000005</v>
      </c>
      <c r="AH368" s="7"/>
      <c r="AI368" s="8">
        <f t="shared" ref="AI368:AJ368" ca="1" si="541">-SUMIF($J$37:$AG$37,AI$37,$J368:$AG368)</f>
        <v>2500</v>
      </c>
      <c r="AJ368" s="8">
        <f t="shared" ca="1" si="541"/>
        <v>6630</v>
      </c>
      <c r="AK368" s="8">
        <f t="shared" ref="AK368:AT368" si="542">-AK211</f>
        <v>7293.0000000000009</v>
      </c>
      <c r="AL368" s="8">
        <f t="shared" si="542"/>
        <v>7985.8350000000009</v>
      </c>
      <c r="AM368" s="8">
        <f t="shared" si="542"/>
        <v>8704.5601500000012</v>
      </c>
      <c r="AN368" s="8">
        <f t="shared" si="542"/>
        <v>9444.4477627500019</v>
      </c>
      <c r="AO368" s="8">
        <f t="shared" si="542"/>
        <v>10200.003583770003</v>
      </c>
      <c r="AP368" s="8">
        <f t="shared" si="542"/>
        <v>10914.003834633904</v>
      </c>
      <c r="AQ368" s="8">
        <f t="shared" si="542"/>
        <v>11623.414083885107</v>
      </c>
      <c r="AR368" s="8">
        <f t="shared" si="542"/>
        <v>12320.818928918214</v>
      </c>
      <c r="AS368" s="8">
        <f t="shared" si="542"/>
        <v>12936.859875364125</v>
      </c>
      <c r="AT368" s="8">
        <f t="shared" si="542"/>
        <v>13583.702869132332</v>
      </c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</row>
    <row r="369" spans="1:66" ht="13.5" customHeight="1" x14ac:dyDescent="0.3">
      <c r="A369" s="7"/>
      <c r="B369" s="7"/>
      <c r="C369" s="7" t="s">
        <v>314</v>
      </c>
      <c r="D369" s="15" t="s">
        <v>4</v>
      </c>
      <c r="E369" s="109">
        <v>1</v>
      </c>
      <c r="F369" s="7"/>
      <c r="G369" s="7"/>
      <c r="H369" s="7"/>
      <c r="I369" s="7"/>
      <c r="J369" s="8">
        <f t="shared" ref="J369:AG369" ca="1" si="543">IF(MOD(COLUMN(J354)-COLUMN($J$354),$E$369)=0, SUM(OFFSET(J212, 0, 0, 1, $E$369)), 0)</f>
        <v>-175</v>
      </c>
      <c r="K369" s="8">
        <f t="shared" ca="1" si="543"/>
        <v>-175</v>
      </c>
      <c r="L369" s="8">
        <f t="shared" ca="1" si="543"/>
        <v>-175</v>
      </c>
      <c r="M369" s="8">
        <f t="shared" ca="1" si="543"/>
        <v>-175</v>
      </c>
      <c r="N369" s="8">
        <f t="shared" ca="1" si="543"/>
        <v>-175</v>
      </c>
      <c r="O369" s="8">
        <f t="shared" ca="1" si="543"/>
        <v>-193.375</v>
      </c>
      <c r="P369" s="8">
        <f t="shared" ca="1" si="543"/>
        <v>-193.375</v>
      </c>
      <c r="Q369" s="8">
        <f t="shared" ca="1" si="543"/>
        <v>-193.375</v>
      </c>
      <c r="R369" s="8">
        <f t="shared" ca="1" si="543"/>
        <v>-193.375</v>
      </c>
      <c r="S369" s="8">
        <f t="shared" ca="1" si="543"/>
        <v>-193.375</v>
      </c>
      <c r="T369" s="8">
        <f t="shared" ca="1" si="543"/>
        <v>-193.375</v>
      </c>
      <c r="U369" s="8">
        <f t="shared" ca="1" si="543"/>
        <v>-193.375</v>
      </c>
      <c r="V369" s="8">
        <f t="shared" ca="1" si="543"/>
        <v>-193.375</v>
      </c>
      <c r="W369" s="8">
        <f t="shared" ca="1" si="543"/>
        <v>-193.375</v>
      </c>
      <c r="X369" s="8">
        <f t="shared" ca="1" si="543"/>
        <v>-193.375</v>
      </c>
      <c r="Y369" s="8">
        <f t="shared" ca="1" si="543"/>
        <v>-193.375</v>
      </c>
      <c r="Z369" s="8">
        <f t="shared" ca="1" si="543"/>
        <v>-193.375</v>
      </c>
      <c r="AA369" s="8">
        <f t="shared" ca="1" si="543"/>
        <v>-213.67937499999999</v>
      </c>
      <c r="AB369" s="8">
        <f t="shared" ca="1" si="543"/>
        <v>-213.67937499999999</v>
      </c>
      <c r="AC369" s="8">
        <f t="shared" ca="1" si="543"/>
        <v>-213.67937499999999</v>
      </c>
      <c r="AD369" s="8">
        <f t="shared" ca="1" si="543"/>
        <v>-213.67937499999999</v>
      </c>
      <c r="AE369" s="8">
        <f t="shared" ca="1" si="543"/>
        <v>-213.67937499999999</v>
      </c>
      <c r="AF369" s="8">
        <f t="shared" ca="1" si="543"/>
        <v>-213.67937499999999</v>
      </c>
      <c r="AG369" s="8">
        <f t="shared" ca="1" si="543"/>
        <v>-213.67937499999999</v>
      </c>
      <c r="AH369" s="7"/>
      <c r="AI369" s="8">
        <f t="shared" ref="AI369:AJ369" ca="1" si="544">-SUMIF($J$37:$AG$37,AI$37,$J369:$AG369)</f>
        <v>875</v>
      </c>
      <c r="AJ369" s="8">
        <f t="shared" ca="1" si="544"/>
        <v>2320.5</v>
      </c>
      <c r="AK369" s="8">
        <f t="shared" ref="AK369:AT369" si="545">-AK212</f>
        <v>2552.5500000000002</v>
      </c>
      <c r="AL369" s="8">
        <f t="shared" si="545"/>
        <v>2795.04225</v>
      </c>
      <c r="AM369" s="8">
        <f t="shared" si="545"/>
        <v>3046.5960525</v>
      </c>
      <c r="AN369" s="8">
        <f t="shared" si="545"/>
        <v>3305.5567169625006</v>
      </c>
      <c r="AO369" s="8">
        <f t="shared" si="545"/>
        <v>3570.0012543195012</v>
      </c>
      <c r="AP369" s="8">
        <f t="shared" si="545"/>
        <v>3819.901342121866</v>
      </c>
      <c r="AQ369" s="8">
        <f t="shared" si="545"/>
        <v>4068.1949293597872</v>
      </c>
      <c r="AR369" s="8">
        <f t="shared" si="545"/>
        <v>4312.2866251213745</v>
      </c>
      <c r="AS369" s="8">
        <f t="shared" si="545"/>
        <v>4527.9009563774434</v>
      </c>
      <c r="AT369" s="8">
        <f t="shared" si="545"/>
        <v>4754.2960041963161</v>
      </c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</row>
    <row r="370" spans="1:66" ht="13.5" customHeight="1" x14ac:dyDescent="0.3">
      <c r="A370" s="7"/>
      <c r="B370" s="7"/>
      <c r="C370" s="7" t="s">
        <v>315</v>
      </c>
      <c r="D370" s="15" t="s">
        <v>4</v>
      </c>
      <c r="E370" s="109">
        <v>1</v>
      </c>
      <c r="F370" s="7"/>
      <c r="G370" s="7"/>
      <c r="H370" s="7"/>
      <c r="I370" s="7"/>
      <c r="J370" s="8">
        <f t="shared" ref="J370:AG370" ca="1" si="546">IF(MOD(COLUMN(J354)-COLUMN($J$354),$E$370)=0, SUM(OFFSET(J214, 0, 0, 1, $E$370)), 0)</f>
        <v>0</v>
      </c>
      <c r="K370" s="8">
        <f t="shared" ca="1" si="546"/>
        <v>0</v>
      </c>
      <c r="L370" s="8">
        <f t="shared" ca="1" si="546"/>
        <v>0</v>
      </c>
      <c r="M370" s="8">
        <f t="shared" ca="1" si="546"/>
        <v>0</v>
      </c>
      <c r="N370" s="8">
        <f t="shared" ca="1" si="546"/>
        <v>0</v>
      </c>
      <c r="O370" s="8">
        <f t="shared" ca="1" si="546"/>
        <v>0</v>
      </c>
      <c r="P370" s="8">
        <f t="shared" ca="1" si="546"/>
        <v>0</v>
      </c>
      <c r="Q370" s="8">
        <f t="shared" ca="1" si="546"/>
        <v>0</v>
      </c>
      <c r="R370" s="8">
        <f t="shared" ca="1" si="546"/>
        <v>0</v>
      </c>
      <c r="S370" s="8">
        <f t="shared" ca="1" si="546"/>
        <v>0</v>
      </c>
      <c r="T370" s="8">
        <f t="shared" ca="1" si="546"/>
        <v>0</v>
      </c>
      <c r="U370" s="8">
        <f t="shared" ca="1" si="546"/>
        <v>0</v>
      </c>
      <c r="V370" s="8">
        <f t="shared" ca="1" si="546"/>
        <v>0</v>
      </c>
      <c r="W370" s="8">
        <f t="shared" ca="1" si="546"/>
        <v>0</v>
      </c>
      <c r="X370" s="8">
        <f t="shared" ca="1" si="546"/>
        <v>-34.655729480266402</v>
      </c>
      <c r="Y370" s="8">
        <f t="shared" ca="1" si="546"/>
        <v>0</v>
      </c>
      <c r="Z370" s="8">
        <f t="shared" ca="1" si="546"/>
        <v>0</v>
      </c>
      <c r="AA370" s="8">
        <f t="shared" ca="1" si="546"/>
        <v>0</v>
      </c>
      <c r="AB370" s="8">
        <f t="shared" ca="1" si="546"/>
        <v>0</v>
      </c>
      <c r="AC370" s="8">
        <f t="shared" ca="1" si="546"/>
        <v>0</v>
      </c>
      <c r="AD370" s="8">
        <f t="shared" ca="1" si="546"/>
        <v>0</v>
      </c>
      <c r="AE370" s="8">
        <f t="shared" ca="1" si="546"/>
        <v>0</v>
      </c>
      <c r="AF370" s="8">
        <f t="shared" ca="1" si="546"/>
        <v>0</v>
      </c>
      <c r="AG370" s="8">
        <f t="shared" ca="1" si="546"/>
        <v>0</v>
      </c>
      <c r="AH370" s="7"/>
      <c r="AI370" s="8">
        <f t="shared" ref="AI370:AJ370" ca="1" si="547">-SUMIF($J$37:$AG$37,AI$37,$J370:$AG370)</f>
        <v>0</v>
      </c>
      <c r="AJ370" s="8">
        <f t="shared" ca="1" si="547"/>
        <v>34.655729480266402</v>
      </c>
      <c r="AK370" s="8">
        <f t="shared" ref="AK370:AT370" ca="1" si="548">-AK214</f>
        <v>106.93080388143709</v>
      </c>
      <c r="AL370" s="8">
        <f t="shared" ca="1" si="548"/>
        <v>135.1084228031612</v>
      </c>
      <c r="AM370" s="8">
        <f t="shared" ca="1" si="548"/>
        <v>186.01532045275403</v>
      </c>
      <c r="AN370" s="8">
        <f t="shared" ca="1" si="548"/>
        <v>304.6952166291552</v>
      </c>
      <c r="AO370" s="8">
        <f t="shared" ca="1" si="548"/>
        <v>334.82194478164695</v>
      </c>
      <c r="AP370" s="8">
        <f t="shared" ca="1" si="548"/>
        <v>357.76026434098725</v>
      </c>
      <c r="AQ370" s="8">
        <f t="shared" ca="1" si="548"/>
        <v>380.49265646846391</v>
      </c>
      <c r="AR370" s="8">
        <f t="shared" ca="1" si="548"/>
        <v>402.79023217007182</v>
      </c>
      <c r="AS370" s="8">
        <f t="shared" ca="1" si="548"/>
        <v>422.44787449732536</v>
      </c>
      <c r="AT370" s="8">
        <f t="shared" ca="1" si="548"/>
        <v>443.0562743221916</v>
      </c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</row>
    <row r="371" spans="1:66" ht="13.5" customHeight="1" x14ac:dyDescent="0.3">
      <c r="A371" s="7"/>
      <c r="B371" s="7"/>
      <c r="C371" s="7"/>
      <c r="D371" s="15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</row>
    <row r="372" spans="1:66" ht="13.5" customHeight="1" x14ac:dyDescent="0.3">
      <c r="A372" s="7"/>
      <c r="B372" s="7" t="s">
        <v>686</v>
      </c>
      <c r="D372" s="15" t="s">
        <v>4</v>
      </c>
      <c r="E372" s="109">
        <v>12</v>
      </c>
      <c r="F372" s="7"/>
      <c r="G372" s="7"/>
      <c r="H372" s="7"/>
      <c r="I372" s="7"/>
      <c r="J372" s="8">
        <f t="shared" ref="J372:AG372" ca="1" si="549">IF(MOD(COLUMN(J354)-COLUMN($J$354),$E$372)=0, SUM(OFFSET(J224, 0, 0, 1, $E$372)), 0)</f>
        <v>0</v>
      </c>
      <c r="K372" s="8">
        <f t="shared" ca="1" si="549"/>
        <v>0</v>
      </c>
      <c r="L372" s="8">
        <f t="shared" ca="1" si="549"/>
        <v>0</v>
      </c>
      <c r="M372" s="8">
        <f t="shared" ca="1" si="549"/>
        <v>0</v>
      </c>
      <c r="N372" s="8">
        <f t="shared" ca="1" si="549"/>
        <v>0</v>
      </c>
      <c r="O372" s="8">
        <f t="shared" ca="1" si="549"/>
        <v>0</v>
      </c>
      <c r="P372" s="8">
        <f t="shared" ca="1" si="549"/>
        <v>0</v>
      </c>
      <c r="Q372" s="8">
        <f t="shared" ca="1" si="549"/>
        <v>0</v>
      </c>
      <c r="R372" s="8">
        <f t="shared" ca="1" si="549"/>
        <v>0</v>
      </c>
      <c r="S372" s="8">
        <f t="shared" ca="1" si="549"/>
        <v>0</v>
      </c>
      <c r="T372" s="8">
        <f t="shared" ca="1" si="549"/>
        <v>0</v>
      </c>
      <c r="U372" s="8">
        <f t="shared" ca="1" si="549"/>
        <v>0</v>
      </c>
      <c r="V372" s="8">
        <f t="shared" ca="1" si="549"/>
        <v>0</v>
      </c>
      <c r="W372" s="8">
        <f t="shared" ca="1" si="549"/>
        <v>0</v>
      </c>
      <c r="X372" s="8">
        <f t="shared" ca="1" si="549"/>
        <v>0</v>
      </c>
      <c r="Y372" s="8">
        <f t="shared" ca="1" si="549"/>
        <v>0</v>
      </c>
      <c r="Z372" s="8">
        <f t="shared" ca="1" si="549"/>
        <v>0</v>
      </c>
      <c r="AA372" s="8">
        <f t="shared" ca="1" si="549"/>
        <v>0</v>
      </c>
      <c r="AB372" s="8">
        <f t="shared" ca="1" si="549"/>
        <v>0</v>
      </c>
      <c r="AC372" s="8">
        <f t="shared" ca="1" si="549"/>
        <v>0</v>
      </c>
      <c r="AD372" s="8">
        <f t="shared" ca="1" si="549"/>
        <v>0</v>
      </c>
      <c r="AE372" s="8">
        <f t="shared" ca="1" si="549"/>
        <v>0</v>
      </c>
      <c r="AF372" s="8">
        <f t="shared" ca="1" si="549"/>
        <v>0</v>
      </c>
      <c r="AG372" s="8">
        <f t="shared" ca="1" si="549"/>
        <v>0</v>
      </c>
      <c r="AH372" s="7"/>
      <c r="AI372" s="8">
        <f t="shared" ref="AI372:AJ372" ca="1" si="550">-SUMIF($J$37:$AG$37,AI$37,$J372:$AG372)</f>
        <v>0</v>
      </c>
      <c r="AJ372" s="8">
        <f t="shared" ca="1" si="550"/>
        <v>0</v>
      </c>
      <c r="AK372" s="8">
        <f t="shared" ref="AK372:AT372" si="551">-AK224</f>
        <v>0</v>
      </c>
      <c r="AL372" s="8">
        <f t="shared" si="551"/>
        <v>0</v>
      </c>
      <c r="AM372" s="8">
        <f t="shared" si="551"/>
        <v>0</v>
      </c>
      <c r="AN372" s="8">
        <f t="shared" si="551"/>
        <v>0</v>
      </c>
      <c r="AO372" s="8">
        <f t="shared" si="551"/>
        <v>0</v>
      </c>
      <c r="AP372" s="8">
        <f t="shared" si="551"/>
        <v>0</v>
      </c>
      <c r="AQ372" s="8">
        <f t="shared" si="551"/>
        <v>0</v>
      </c>
      <c r="AR372" s="8">
        <f t="shared" si="551"/>
        <v>0</v>
      </c>
      <c r="AS372" s="8">
        <f t="shared" si="551"/>
        <v>0</v>
      </c>
      <c r="AT372" s="8">
        <f t="shared" si="551"/>
        <v>0</v>
      </c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</row>
    <row r="373" spans="1:66" ht="13.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</row>
    <row r="374" spans="1:66" ht="13.5" customHeight="1" x14ac:dyDescent="0.3">
      <c r="A374" s="7"/>
      <c r="B374" s="7" t="s">
        <v>250</v>
      </c>
      <c r="C374" s="7"/>
      <c r="D374" s="15" t="s">
        <v>4</v>
      </c>
      <c r="E374" s="7"/>
      <c r="F374" s="7"/>
      <c r="G374" s="7"/>
      <c r="H374" s="7"/>
      <c r="I374" s="7"/>
      <c r="J374" s="8">
        <f ca="1">-SUM(J357,J358,J359,J360,J363)</f>
        <v>12418.486102342509</v>
      </c>
      <c r="K374" s="8">
        <f t="shared" ref="K374:AG374" ca="1" si="552">SUM(J374,K205,K206,K207,K208,-K357,-K358,-K359,-K360,-K363,K217)</f>
        <v>12229.723019009176</v>
      </c>
      <c r="L374" s="8">
        <f t="shared" ca="1" si="552"/>
        <v>12039.567375446677</v>
      </c>
      <c r="M374" s="8">
        <f t="shared" ca="1" si="552"/>
        <v>10455.255010245115</v>
      </c>
      <c r="N374" s="8">
        <f t="shared" ca="1" si="552"/>
        <v>8825.8891854222002</v>
      </c>
      <c r="O374" s="8">
        <f t="shared" ca="1" si="552"/>
        <v>7041.8425319031567</v>
      </c>
      <c r="P374" s="8">
        <f t="shared" ca="1" si="552"/>
        <v>6215.2995215827941</v>
      </c>
      <c r="Q374" s="8">
        <f t="shared" ca="1" si="552"/>
        <v>4438.4957797967163</v>
      </c>
      <c r="R374" s="8">
        <f t="shared" ca="1" si="552"/>
        <v>739.27897067174933</v>
      </c>
      <c r="S374" s="8">
        <f t="shared" ca="1" si="552"/>
        <v>554.86148214789296</v>
      </c>
      <c r="T374" s="8">
        <f t="shared" ca="1" si="552"/>
        <v>372.55299401900947</v>
      </c>
      <c r="U374" s="8">
        <f t="shared" ca="1" si="552"/>
        <v>188.99500000000032</v>
      </c>
      <c r="V374" s="8">
        <f t="shared" ca="1" si="552"/>
        <v>22603.214967124168</v>
      </c>
      <c r="W374" s="8">
        <f t="shared" ca="1" si="552"/>
        <v>22422.179170960571</v>
      </c>
      <c r="X374" s="8">
        <f t="shared" ca="1" si="552"/>
        <v>22249.666906820476</v>
      </c>
      <c r="Y374" s="8">
        <f t="shared" ca="1" si="552"/>
        <v>18804.394343344724</v>
      </c>
      <c r="Z374" s="8">
        <f t="shared" ca="1" si="552"/>
        <v>15256.073896584201</v>
      </c>
      <c r="AA374" s="8">
        <f t="shared" ca="1" si="552"/>
        <v>11512.684810810495</v>
      </c>
      <c r="AB374" s="8">
        <f t="shared" ca="1" si="552"/>
        <v>9057.0487685806002</v>
      </c>
      <c r="AC374" s="8">
        <f t="shared" ca="1" si="552"/>
        <v>5022.3600896439166</v>
      </c>
      <c r="AD374" s="8">
        <f t="shared" ca="1" si="552"/>
        <v>1051.447609676823</v>
      </c>
      <c r="AE374" s="8">
        <f t="shared" ca="1" si="552"/>
        <v>759.76913210053795</v>
      </c>
      <c r="AF374" s="8">
        <f t="shared" ca="1" si="552"/>
        <v>475.48256450897026</v>
      </c>
      <c r="AG374" s="8">
        <f t="shared" ca="1" si="552"/>
        <v>188.99500000000177</v>
      </c>
      <c r="AH374" s="7"/>
      <c r="AI374" s="8">
        <f t="shared" ref="AI374:AJ374" ca="1" si="553">INDEX($J374:$AG374,MATCH(AI$39,$J$39:$AG$39,0))</f>
        <v>8825.8891854222002</v>
      </c>
      <c r="AJ374" s="8">
        <f t="shared" ca="1" si="553"/>
        <v>15256.073896584201</v>
      </c>
      <c r="AK374" s="21">
        <f t="shared" ref="AK374:AT374" ca="1" si="554">SUM(AK357:AK360,AK362)</f>
        <v>28765.859672980969</v>
      </c>
      <c r="AL374" s="21">
        <f t="shared" ca="1" si="554"/>
        <v>79493.470802333526</v>
      </c>
      <c r="AM374" s="21">
        <f t="shared" ca="1" si="554"/>
        <v>94396.607826884429</v>
      </c>
      <c r="AN374" s="21">
        <f t="shared" ca="1" si="554"/>
        <v>102146.72157090026</v>
      </c>
      <c r="AO374" s="21">
        <f t="shared" ca="1" si="554"/>
        <v>110116.70703182787</v>
      </c>
      <c r="AP374" s="21">
        <f t="shared" ca="1" si="554"/>
        <v>117563.59668248046</v>
      </c>
      <c r="AQ374" s="21">
        <f t="shared" ca="1" si="554"/>
        <v>124932.01312928698</v>
      </c>
      <c r="AR374" s="21">
        <f t="shared" ca="1" si="554"/>
        <v>132149.50443335771</v>
      </c>
      <c r="AS374" s="21">
        <f t="shared" ca="1" si="554"/>
        <v>138504.77903574434</v>
      </c>
      <c r="AT374" s="21">
        <f t="shared" ca="1" si="554"/>
        <v>145161.00399363157</v>
      </c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</row>
    <row r="375" spans="1:66" ht="13.5" customHeight="1" x14ac:dyDescent="0.3">
      <c r="A375" s="7"/>
      <c r="B375" s="7" t="s">
        <v>316</v>
      </c>
      <c r="C375" s="7"/>
      <c r="D375" s="15" t="s">
        <v>4</v>
      </c>
      <c r="E375" s="7"/>
      <c r="F375" s="7"/>
      <c r="G375" s="7"/>
      <c r="H375" s="7"/>
      <c r="I375" s="7"/>
      <c r="J375" s="8">
        <f ca="1">-SUM(J367,J368,J369,J370,J372)</f>
        <v>729</v>
      </c>
      <c r="K375" s="8">
        <f t="shared" ref="K375:AG375" ca="1" si="555">SUM(J375,-K367,-K368,-K369,-K370,-K372,K209,K211,K212,K214,K224)</f>
        <v>729</v>
      </c>
      <c r="L375" s="8">
        <f t="shared" ca="1" si="555"/>
        <v>729.00000000000023</v>
      </c>
      <c r="M375" s="8">
        <f t="shared" ca="1" si="555"/>
        <v>729</v>
      </c>
      <c r="N375" s="8">
        <f t="shared" ca="1" si="555"/>
        <v>729</v>
      </c>
      <c r="O375" s="8">
        <f t="shared" ca="1" si="555"/>
        <v>729</v>
      </c>
      <c r="P375" s="8">
        <f t="shared" ca="1" si="555"/>
        <v>729</v>
      </c>
      <c r="Q375" s="8">
        <f t="shared" ca="1" si="555"/>
        <v>729</v>
      </c>
      <c r="R375" s="8">
        <f t="shared" ca="1" si="555"/>
        <v>729.00000000000023</v>
      </c>
      <c r="S375" s="8">
        <f t="shared" ca="1" si="555"/>
        <v>729.00000000000023</v>
      </c>
      <c r="T375" s="8">
        <f t="shared" ca="1" si="555"/>
        <v>729.00000000000023</v>
      </c>
      <c r="U375" s="8">
        <f t="shared" ca="1" si="555"/>
        <v>729.00000000000023</v>
      </c>
      <c r="V375" s="8">
        <f t="shared" ca="1" si="555"/>
        <v>729</v>
      </c>
      <c r="W375" s="8">
        <f t="shared" ca="1" si="555"/>
        <v>729</v>
      </c>
      <c r="X375" s="8">
        <f t="shared" ca="1" si="555"/>
        <v>729.00000000000011</v>
      </c>
      <c r="Y375" s="8">
        <f t="shared" ca="1" si="555"/>
        <v>729</v>
      </c>
      <c r="Z375" s="8">
        <f t="shared" ca="1" si="555"/>
        <v>729</v>
      </c>
      <c r="AA375" s="8">
        <f t="shared" ca="1" si="555"/>
        <v>729</v>
      </c>
      <c r="AB375" s="8">
        <f t="shared" ca="1" si="555"/>
        <v>729</v>
      </c>
      <c r="AC375" s="8">
        <f t="shared" ca="1" si="555"/>
        <v>729</v>
      </c>
      <c r="AD375" s="8">
        <f t="shared" ca="1" si="555"/>
        <v>729</v>
      </c>
      <c r="AE375" s="8">
        <f t="shared" ca="1" si="555"/>
        <v>729</v>
      </c>
      <c r="AF375" s="8">
        <f t="shared" ca="1" si="555"/>
        <v>729</v>
      </c>
      <c r="AG375" s="8">
        <f t="shared" ca="1" si="555"/>
        <v>729</v>
      </c>
      <c r="AH375" s="7"/>
      <c r="AI375" s="8">
        <f t="shared" ref="AI375:AJ375" ca="1" si="556">INDEX($J375:$AG375,MATCH(AI$39,$J$39:$AG$39,0))</f>
        <v>729</v>
      </c>
      <c r="AJ375" s="142">
        <f t="shared" ca="1" si="556"/>
        <v>729</v>
      </c>
      <c r="AK375" s="8">
        <f t="shared" ref="AK375:AT375" ca="1" si="557">SUM(AK367:AK372)</f>
        <v>10744.730476016233</v>
      </c>
      <c r="AL375" s="8">
        <f t="shared" ca="1" si="557"/>
        <v>11984.979048847632</v>
      </c>
      <c r="AM375" s="8">
        <f t="shared" ca="1" si="557"/>
        <v>13347.310267252755</v>
      </c>
      <c r="AN375" s="8">
        <f t="shared" ca="1" si="557"/>
        <v>14584.700233907159</v>
      </c>
      <c r="AO375" s="8">
        <f t="shared" ca="1" si="557"/>
        <v>15757.227363441891</v>
      </c>
      <c r="AP375" s="8">
        <f t="shared" ca="1" si="557"/>
        <v>16859.734062307452</v>
      </c>
      <c r="AQ375" s="8">
        <f t="shared" ca="1" si="557"/>
        <v>17955.094751302746</v>
      </c>
      <c r="AR375" s="8">
        <f t="shared" ca="1" si="557"/>
        <v>19031.868452694409</v>
      </c>
      <c r="AS375" s="8">
        <f t="shared" ca="1" si="557"/>
        <v>19982.980006047881</v>
      </c>
      <c r="AT375" s="8">
        <f t="shared" ca="1" si="557"/>
        <v>20981.615012450278</v>
      </c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</row>
    <row r="376" spans="1:66" ht="13.5" customHeight="1" x14ac:dyDescent="0.3">
      <c r="A376" s="7"/>
      <c r="B376" s="7" t="s">
        <v>680</v>
      </c>
      <c r="C376" s="7"/>
      <c r="D376" s="15" t="s">
        <v>4</v>
      </c>
      <c r="E376" s="7"/>
      <c r="F376" s="7"/>
      <c r="G376" s="7"/>
      <c r="H376" s="7"/>
      <c r="I376" s="7"/>
      <c r="J376" s="8">
        <f t="shared" ref="J376:AG376" si="558">J220</f>
        <v>0</v>
      </c>
      <c r="K376" s="8">
        <f t="shared" si="558"/>
        <v>0</v>
      </c>
      <c r="L376" s="8">
        <f t="shared" si="558"/>
        <v>0</v>
      </c>
      <c r="M376" s="8">
        <f t="shared" si="558"/>
        <v>0</v>
      </c>
      <c r="N376" s="8">
        <f t="shared" si="558"/>
        <v>0</v>
      </c>
      <c r="O376" s="8">
        <f t="shared" si="558"/>
        <v>0</v>
      </c>
      <c r="P376" s="8">
        <f t="shared" si="558"/>
        <v>0</v>
      </c>
      <c r="Q376" s="8">
        <f t="shared" si="558"/>
        <v>0</v>
      </c>
      <c r="R376" s="8">
        <f t="shared" si="558"/>
        <v>0</v>
      </c>
      <c r="S376" s="8">
        <f t="shared" si="558"/>
        <v>0</v>
      </c>
      <c r="T376" s="8">
        <f t="shared" si="558"/>
        <v>0</v>
      </c>
      <c r="U376" s="8">
        <f t="shared" si="558"/>
        <v>0</v>
      </c>
      <c r="V376" s="8">
        <f t="shared" si="558"/>
        <v>0</v>
      </c>
      <c r="W376" s="8">
        <f t="shared" si="558"/>
        <v>0</v>
      </c>
      <c r="X376" s="8">
        <f t="shared" si="558"/>
        <v>0</v>
      </c>
      <c r="Y376" s="8">
        <f t="shared" si="558"/>
        <v>0</v>
      </c>
      <c r="Z376" s="8">
        <f t="shared" si="558"/>
        <v>0</v>
      </c>
      <c r="AA376" s="8">
        <f t="shared" si="558"/>
        <v>0</v>
      </c>
      <c r="AB376" s="8">
        <f t="shared" si="558"/>
        <v>0</v>
      </c>
      <c r="AC376" s="8">
        <f t="shared" si="558"/>
        <v>0</v>
      </c>
      <c r="AD376" s="8">
        <f t="shared" si="558"/>
        <v>0</v>
      </c>
      <c r="AE376" s="8">
        <f t="shared" si="558"/>
        <v>0</v>
      </c>
      <c r="AF376" s="8">
        <f t="shared" si="558"/>
        <v>0</v>
      </c>
      <c r="AG376" s="8">
        <f t="shared" si="558"/>
        <v>0</v>
      </c>
      <c r="AH376" s="7"/>
      <c r="AI376" s="8">
        <f t="shared" ref="AI376:AT376" si="559">-AI220</f>
        <v>0</v>
      </c>
      <c r="AJ376" s="8">
        <f t="shared" si="559"/>
        <v>0</v>
      </c>
      <c r="AK376" s="8">
        <f t="shared" si="559"/>
        <v>0</v>
      </c>
      <c r="AL376" s="8">
        <f t="shared" si="559"/>
        <v>0</v>
      </c>
      <c r="AM376" s="8">
        <f t="shared" si="559"/>
        <v>0</v>
      </c>
      <c r="AN376" s="8">
        <f t="shared" si="559"/>
        <v>0</v>
      </c>
      <c r="AO376" s="8">
        <f t="shared" si="559"/>
        <v>0</v>
      </c>
      <c r="AP376" s="8">
        <f t="shared" si="559"/>
        <v>0</v>
      </c>
      <c r="AQ376" s="8">
        <f t="shared" si="559"/>
        <v>0</v>
      </c>
      <c r="AR376" s="8">
        <f t="shared" si="559"/>
        <v>0</v>
      </c>
      <c r="AS376" s="8">
        <f t="shared" si="559"/>
        <v>0</v>
      </c>
      <c r="AT376" s="8">
        <f t="shared" si="559"/>
        <v>0</v>
      </c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</row>
    <row r="377" spans="1:66" ht="13.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</row>
    <row r="378" spans="1:66" ht="13.5" customHeight="1" x14ac:dyDescent="0.3">
      <c r="A378" s="7"/>
      <c r="B378" s="7" t="s">
        <v>294</v>
      </c>
      <c r="C378" s="7"/>
      <c r="D378" s="15" t="s">
        <v>4</v>
      </c>
      <c r="E378" s="7"/>
      <c r="F378" s="7"/>
      <c r="G378" s="7"/>
      <c r="H378" s="7"/>
      <c r="I378" s="7"/>
      <c r="J378" s="55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</row>
    <row r="379" spans="1:66" ht="13.5" customHeight="1" x14ac:dyDescent="0.3">
      <c r="A379" s="7"/>
      <c r="B379" s="7"/>
      <c r="C379" s="7" t="s">
        <v>250</v>
      </c>
      <c r="D379" s="15" t="s">
        <v>4</v>
      </c>
      <c r="E379" s="7"/>
      <c r="F379" s="7"/>
      <c r="G379" s="7"/>
      <c r="H379" s="7"/>
      <c r="I379" s="7"/>
      <c r="J379" s="8">
        <f t="shared" ref="J379:AG379" ca="1" si="560">I374-J374</f>
        <v>-12418.486102342509</v>
      </c>
      <c r="K379" s="8">
        <f t="shared" ca="1" si="560"/>
        <v>188.76308333333327</v>
      </c>
      <c r="L379" s="8">
        <f t="shared" ca="1" si="560"/>
        <v>190.15564356249888</v>
      </c>
      <c r="M379" s="8">
        <f t="shared" ca="1" si="560"/>
        <v>1584.312365201562</v>
      </c>
      <c r="N379" s="8">
        <f t="shared" ca="1" si="560"/>
        <v>1629.3658248229149</v>
      </c>
      <c r="O379" s="8">
        <f t="shared" ca="1" si="560"/>
        <v>1784.0466535190435</v>
      </c>
      <c r="P379" s="8">
        <f t="shared" ca="1" si="560"/>
        <v>826.54301032036255</v>
      </c>
      <c r="Q379" s="8">
        <f t="shared" ca="1" si="560"/>
        <v>1776.8037417860778</v>
      </c>
      <c r="R379" s="8">
        <f t="shared" ca="1" si="560"/>
        <v>3699.2168091249669</v>
      </c>
      <c r="S379" s="8">
        <f t="shared" ca="1" si="560"/>
        <v>184.41748852385638</v>
      </c>
      <c r="T379" s="8">
        <f t="shared" ca="1" si="560"/>
        <v>182.30848812888348</v>
      </c>
      <c r="U379" s="8">
        <f t="shared" ca="1" si="560"/>
        <v>183.55799401900916</v>
      </c>
      <c r="V379" s="8">
        <f t="shared" ca="1" si="560"/>
        <v>-22414.219967124169</v>
      </c>
      <c r="W379" s="8">
        <f t="shared" ca="1" si="560"/>
        <v>181.03579616359639</v>
      </c>
      <c r="X379" s="8">
        <f t="shared" ca="1" si="560"/>
        <v>172.51226414009579</v>
      </c>
      <c r="Y379" s="8">
        <f t="shared" ca="1" si="560"/>
        <v>3445.2725634757517</v>
      </c>
      <c r="Z379" s="8">
        <f t="shared" ca="1" si="560"/>
        <v>3548.3204467605228</v>
      </c>
      <c r="AA379" s="8">
        <f t="shared" ca="1" si="560"/>
        <v>3743.389085773706</v>
      </c>
      <c r="AB379" s="8">
        <f t="shared" ca="1" si="560"/>
        <v>2455.6360422298949</v>
      </c>
      <c r="AC379" s="8">
        <f t="shared" ca="1" si="560"/>
        <v>4034.6886789366836</v>
      </c>
      <c r="AD379" s="8">
        <f t="shared" ca="1" si="560"/>
        <v>3970.9124799670935</v>
      </c>
      <c r="AE379" s="8">
        <f t="shared" ca="1" si="560"/>
        <v>291.6784775762851</v>
      </c>
      <c r="AF379" s="8">
        <f t="shared" ca="1" si="560"/>
        <v>284.28656759156769</v>
      </c>
      <c r="AG379" s="8">
        <f t="shared" ca="1" si="560"/>
        <v>286.48756450896849</v>
      </c>
      <c r="AH379" s="7"/>
      <c r="AI379" s="8">
        <f t="shared" ref="AI379:AT379" ca="1" si="561">AH374-AI374</f>
        <v>-8825.8891854222002</v>
      </c>
      <c r="AJ379" s="8">
        <f t="shared" ca="1" si="561"/>
        <v>-6430.1847111620009</v>
      </c>
      <c r="AK379" s="8">
        <f t="shared" ca="1" si="561"/>
        <v>-13509.785776396768</v>
      </c>
      <c r="AL379" s="8">
        <f t="shared" ca="1" si="561"/>
        <v>-50727.611129352561</v>
      </c>
      <c r="AM379" s="8">
        <f t="shared" ca="1" si="561"/>
        <v>-14903.137024550902</v>
      </c>
      <c r="AN379" s="8">
        <f t="shared" ca="1" si="561"/>
        <v>-7750.1137440158345</v>
      </c>
      <c r="AO379" s="8">
        <f t="shared" ca="1" si="561"/>
        <v>-7969.9854609276081</v>
      </c>
      <c r="AP379" s="8">
        <f t="shared" ca="1" si="561"/>
        <v>-7446.8896506525925</v>
      </c>
      <c r="AQ379" s="8">
        <f t="shared" ca="1" si="561"/>
        <v>-7368.4164468065137</v>
      </c>
      <c r="AR379" s="8">
        <f t="shared" ca="1" si="561"/>
        <v>-7217.4913040707324</v>
      </c>
      <c r="AS379" s="8">
        <f t="shared" ca="1" si="561"/>
        <v>-6355.2746023866348</v>
      </c>
      <c r="AT379" s="8">
        <f t="shared" ca="1" si="561"/>
        <v>-6656.2249578872288</v>
      </c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</row>
    <row r="380" spans="1:66" ht="13.5" customHeight="1" x14ac:dyDescent="0.3">
      <c r="A380" s="7"/>
      <c r="B380" s="7"/>
      <c r="C380" s="7" t="s">
        <v>316</v>
      </c>
      <c r="D380" s="15" t="s">
        <v>4</v>
      </c>
      <c r="E380" s="7"/>
      <c r="F380" s="7"/>
      <c r="G380" s="7"/>
      <c r="H380" s="7"/>
      <c r="I380" s="7"/>
      <c r="J380" s="8">
        <f ca="1">I375-J375</f>
        <v>-729</v>
      </c>
      <c r="K380" s="8">
        <f t="shared" ref="K380:AG380" ca="1" si="562">J375-K375</f>
        <v>0</v>
      </c>
      <c r="L380" s="8">
        <f t="shared" ca="1" si="562"/>
        <v>0</v>
      </c>
      <c r="M380" s="8">
        <f t="shared" ca="1" si="562"/>
        <v>0</v>
      </c>
      <c r="N380" s="8">
        <f t="shared" ca="1" si="562"/>
        <v>0</v>
      </c>
      <c r="O380" s="8">
        <f t="shared" ca="1" si="562"/>
        <v>0</v>
      </c>
      <c r="P380" s="8">
        <f t="shared" ca="1" si="562"/>
        <v>0</v>
      </c>
      <c r="Q380" s="8">
        <f t="shared" ca="1" si="562"/>
        <v>0</v>
      </c>
      <c r="R380" s="8">
        <f t="shared" ca="1" si="562"/>
        <v>0</v>
      </c>
      <c r="S380" s="8">
        <f t="shared" ca="1" si="562"/>
        <v>0</v>
      </c>
      <c r="T380" s="8">
        <f t="shared" ca="1" si="562"/>
        <v>0</v>
      </c>
      <c r="U380" s="8">
        <f t="shared" ca="1" si="562"/>
        <v>0</v>
      </c>
      <c r="V380" s="8">
        <f t="shared" ca="1" si="562"/>
        <v>0</v>
      </c>
      <c r="W380" s="8">
        <f t="shared" ca="1" si="562"/>
        <v>0</v>
      </c>
      <c r="X380" s="8">
        <f t="shared" ca="1" si="562"/>
        <v>0</v>
      </c>
      <c r="Y380" s="8">
        <f t="shared" ca="1" si="562"/>
        <v>0</v>
      </c>
      <c r="Z380" s="8">
        <f t="shared" ca="1" si="562"/>
        <v>0</v>
      </c>
      <c r="AA380" s="8">
        <f t="shared" ca="1" si="562"/>
        <v>0</v>
      </c>
      <c r="AB380" s="8">
        <f t="shared" ca="1" si="562"/>
        <v>0</v>
      </c>
      <c r="AC380" s="8">
        <f t="shared" ca="1" si="562"/>
        <v>0</v>
      </c>
      <c r="AD380" s="8">
        <f t="shared" ca="1" si="562"/>
        <v>0</v>
      </c>
      <c r="AE380" s="8">
        <f t="shared" ca="1" si="562"/>
        <v>0</v>
      </c>
      <c r="AF380" s="8">
        <f t="shared" ca="1" si="562"/>
        <v>0</v>
      </c>
      <c r="AG380" s="8">
        <f t="shared" ca="1" si="562"/>
        <v>0</v>
      </c>
      <c r="AH380" s="7"/>
      <c r="AI380" s="8">
        <f ca="1">AH375-AI375</f>
        <v>-729</v>
      </c>
      <c r="AJ380" s="8">
        <f t="shared" ref="AJ380:AT380" ca="1" si="563">AI375-AJ375</f>
        <v>0</v>
      </c>
      <c r="AK380" s="8">
        <f t="shared" ca="1" si="563"/>
        <v>-10015.730476016233</v>
      </c>
      <c r="AL380" s="8">
        <f t="shared" ca="1" si="563"/>
        <v>-1240.2485728313986</v>
      </c>
      <c r="AM380" s="8">
        <f t="shared" ca="1" si="563"/>
        <v>-1362.3312184051229</v>
      </c>
      <c r="AN380" s="8">
        <f t="shared" ca="1" si="563"/>
        <v>-1237.3899666544039</v>
      </c>
      <c r="AO380" s="8">
        <f t="shared" ca="1" si="563"/>
        <v>-1172.527129534732</v>
      </c>
      <c r="AP380" s="8">
        <f t="shared" ca="1" si="563"/>
        <v>-1102.5066988655617</v>
      </c>
      <c r="AQ380" s="8">
        <f t="shared" ca="1" si="563"/>
        <v>-1095.3606889952935</v>
      </c>
      <c r="AR380" s="8">
        <f t="shared" ca="1" si="563"/>
        <v>-1076.7737013916631</v>
      </c>
      <c r="AS380" s="8">
        <f t="shared" ca="1" si="563"/>
        <v>-951.11155335347212</v>
      </c>
      <c r="AT380" s="8">
        <f t="shared" ca="1" si="563"/>
        <v>-998.63500640239727</v>
      </c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</row>
    <row r="381" spans="1:66" ht="13.5" customHeight="1" x14ac:dyDescent="0.3">
      <c r="A381" s="7"/>
      <c r="B381" s="7"/>
      <c r="C381" s="7" t="s">
        <v>680</v>
      </c>
      <c r="D381" s="15" t="s">
        <v>4</v>
      </c>
      <c r="E381" s="7"/>
      <c r="F381" s="7"/>
      <c r="G381" s="7"/>
      <c r="H381" s="7"/>
      <c r="I381" s="7"/>
      <c r="J381" s="8">
        <f>I376-J376</f>
        <v>0</v>
      </c>
      <c r="K381" s="8">
        <f t="shared" ref="K381:AG381" si="564">J376-K376</f>
        <v>0</v>
      </c>
      <c r="L381" s="8">
        <f t="shared" si="564"/>
        <v>0</v>
      </c>
      <c r="M381" s="8">
        <f t="shared" si="564"/>
        <v>0</v>
      </c>
      <c r="N381" s="8">
        <f t="shared" si="564"/>
        <v>0</v>
      </c>
      <c r="O381" s="8">
        <f t="shared" si="564"/>
        <v>0</v>
      </c>
      <c r="P381" s="8">
        <f t="shared" si="564"/>
        <v>0</v>
      </c>
      <c r="Q381" s="8">
        <f t="shared" si="564"/>
        <v>0</v>
      </c>
      <c r="R381" s="8">
        <f t="shared" si="564"/>
        <v>0</v>
      </c>
      <c r="S381" s="8">
        <f t="shared" si="564"/>
        <v>0</v>
      </c>
      <c r="T381" s="8">
        <f t="shared" si="564"/>
        <v>0</v>
      </c>
      <c r="U381" s="8">
        <f t="shared" si="564"/>
        <v>0</v>
      </c>
      <c r="V381" s="8">
        <f t="shared" si="564"/>
        <v>0</v>
      </c>
      <c r="W381" s="8">
        <f t="shared" si="564"/>
        <v>0</v>
      </c>
      <c r="X381" s="8">
        <f t="shared" si="564"/>
        <v>0</v>
      </c>
      <c r="Y381" s="8">
        <f t="shared" si="564"/>
        <v>0</v>
      </c>
      <c r="Z381" s="8">
        <f t="shared" si="564"/>
        <v>0</v>
      </c>
      <c r="AA381" s="8">
        <f t="shared" si="564"/>
        <v>0</v>
      </c>
      <c r="AB381" s="8">
        <f t="shared" si="564"/>
        <v>0</v>
      </c>
      <c r="AC381" s="8">
        <f t="shared" si="564"/>
        <v>0</v>
      </c>
      <c r="AD381" s="8">
        <f t="shared" si="564"/>
        <v>0</v>
      </c>
      <c r="AE381" s="8">
        <f t="shared" si="564"/>
        <v>0</v>
      </c>
      <c r="AF381" s="8">
        <f t="shared" si="564"/>
        <v>0</v>
      </c>
      <c r="AG381" s="8">
        <f t="shared" si="564"/>
        <v>0</v>
      </c>
      <c r="AH381" s="7"/>
      <c r="AI381" s="8">
        <f>AH376-AI376</f>
        <v>0</v>
      </c>
      <c r="AJ381" s="8">
        <f>AI376-AJ376</f>
        <v>0</v>
      </c>
      <c r="AK381" s="8">
        <f>AJ376-AK376</f>
        <v>0</v>
      </c>
      <c r="AL381" s="8">
        <f t="shared" ref="AL381:AT381" si="565">AK376-AL376</f>
        <v>0</v>
      </c>
      <c r="AM381" s="8">
        <f t="shared" si="565"/>
        <v>0</v>
      </c>
      <c r="AN381" s="8">
        <f t="shared" si="565"/>
        <v>0</v>
      </c>
      <c r="AO381" s="8">
        <f t="shared" si="565"/>
        <v>0</v>
      </c>
      <c r="AP381" s="8">
        <f t="shared" si="565"/>
        <v>0</v>
      </c>
      <c r="AQ381" s="8">
        <f t="shared" si="565"/>
        <v>0</v>
      </c>
      <c r="AR381" s="8">
        <f t="shared" si="565"/>
        <v>0</v>
      </c>
      <c r="AS381" s="8">
        <f t="shared" si="565"/>
        <v>0</v>
      </c>
      <c r="AT381" s="8">
        <f t="shared" si="565"/>
        <v>0</v>
      </c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</row>
    <row r="382" spans="1:66" ht="13.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</row>
    <row r="383" spans="1:66" ht="13.5" customHeight="1" x14ac:dyDescent="0.3">
      <c r="A383" s="2" t="s">
        <v>0</v>
      </c>
      <c r="B383" s="3" t="s">
        <v>63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41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1"/>
      <c r="BK383" s="41"/>
      <c r="BL383" s="41"/>
      <c r="BM383" s="41"/>
      <c r="BN383" s="41"/>
    </row>
    <row r="384" spans="1:66" ht="13.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137">
        <f t="shared" ref="AI384:AT384" si="566">AI37</f>
        <v>2026</v>
      </c>
      <c r="AJ384" s="137">
        <f t="shared" si="566"/>
        <v>2027</v>
      </c>
      <c r="AK384" s="137">
        <f t="shared" si="566"/>
        <v>2028</v>
      </c>
      <c r="AL384" s="137">
        <f t="shared" si="566"/>
        <v>2029</v>
      </c>
      <c r="AM384" s="137">
        <f t="shared" si="566"/>
        <v>2030</v>
      </c>
      <c r="AN384" s="137">
        <f t="shared" si="566"/>
        <v>2031</v>
      </c>
      <c r="AO384" s="137">
        <f t="shared" si="566"/>
        <v>2032</v>
      </c>
      <c r="AP384" s="137">
        <f t="shared" si="566"/>
        <v>2033</v>
      </c>
      <c r="AQ384" s="137">
        <f t="shared" si="566"/>
        <v>2034</v>
      </c>
      <c r="AR384" s="137">
        <f t="shared" si="566"/>
        <v>2035</v>
      </c>
      <c r="AS384" s="137">
        <f t="shared" si="566"/>
        <v>2036</v>
      </c>
      <c r="AT384" s="137">
        <f t="shared" si="566"/>
        <v>2037</v>
      </c>
      <c r="AU384" s="7" t="s">
        <v>317</v>
      </c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</row>
    <row r="385" spans="1:66" ht="13.5" customHeight="1" x14ac:dyDescent="0.3">
      <c r="A385" s="7"/>
      <c r="B385" s="7"/>
      <c r="C385" s="7" t="s">
        <v>318</v>
      </c>
      <c r="D385" s="15" t="s">
        <v>4</v>
      </c>
      <c r="E385" s="7"/>
      <c r="F385" s="7"/>
      <c r="G385" s="7"/>
      <c r="H385" s="7"/>
      <c r="I385" s="7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7"/>
      <c r="AI385" s="8">
        <f t="shared" ref="AI385:AT385" ca="1" si="567">(AI234-AI229)*(1-$E$238)+AI321+AI335+AI323</f>
        <v>-402651.59153593017</v>
      </c>
      <c r="AJ385" s="8">
        <f t="shared" ca="1" si="567"/>
        <v>-21205.547869369722</v>
      </c>
      <c r="AK385" s="8">
        <f t="shared" ca="1" si="567"/>
        <v>5509.2598565569133</v>
      </c>
      <c r="AL385" s="8">
        <f t="shared" ca="1" si="567"/>
        <v>-5057.5278952477165</v>
      </c>
      <c r="AM385" s="8">
        <f t="shared" ca="1" si="567"/>
        <v>59690.974281897892</v>
      </c>
      <c r="AN385" s="8">
        <f t="shared" ca="1" si="567"/>
        <v>153734.68505681676</v>
      </c>
      <c r="AO385" s="8">
        <f t="shared" ca="1" si="567"/>
        <v>169852.18044547678</v>
      </c>
      <c r="AP385" s="8">
        <f t="shared" ca="1" si="567"/>
        <v>182803.44125807955</v>
      </c>
      <c r="AQ385" s="8">
        <f t="shared" ca="1" si="567"/>
        <v>195135.1297013553</v>
      </c>
      <c r="AR385" s="8">
        <f t="shared" ca="1" si="567"/>
        <v>207317.17770434753</v>
      </c>
      <c r="AS385" s="8">
        <f t="shared" ca="1" si="567"/>
        <v>218911.13066674824</v>
      </c>
      <c r="AT385" s="8">
        <f t="shared" ca="1" si="567"/>
        <v>229673.24242073987</v>
      </c>
      <c r="AU385" s="55">
        <f ca="1">AR385/($E$388-$AQ$4)</f>
        <v>6917373.3755575605</v>
      </c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</row>
    <row r="386" spans="1:66" ht="13.5" customHeight="1" x14ac:dyDescent="0.3">
      <c r="A386" s="7"/>
      <c r="B386" s="7"/>
      <c r="C386" s="143" t="s">
        <v>319</v>
      </c>
      <c r="D386" s="15" t="s">
        <v>4</v>
      </c>
      <c r="E386" s="7"/>
      <c r="F386" s="7"/>
      <c r="G386" s="7"/>
      <c r="H386" s="7"/>
      <c r="I386" s="7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55"/>
      <c r="AI386" s="8">
        <f ca="1">AI385</f>
        <v>-402651.59153593017</v>
      </c>
      <c r="AJ386" s="8">
        <f t="shared" ref="AJ386:AT386" ca="1" si="568">AI386+AJ385</f>
        <v>-423857.13940529991</v>
      </c>
      <c r="AK386" s="8">
        <f t="shared" ca="1" si="568"/>
        <v>-418347.87954874302</v>
      </c>
      <c r="AL386" s="8">
        <f t="shared" ca="1" si="568"/>
        <v>-423405.40744399076</v>
      </c>
      <c r="AM386" s="8">
        <f t="shared" ca="1" si="568"/>
        <v>-363714.43316209287</v>
      </c>
      <c r="AN386" s="8">
        <f t="shared" ca="1" si="568"/>
        <v>-209979.74810527611</v>
      </c>
      <c r="AO386" s="8">
        <f t="shared" ca="1" si="568"/>
        <v>-40127.56765979933</v>
      </c>
      <c r="AP386" s="8">
        <f t="shared" ca="1" si="568"/>
        <v>142675.87359828022</v>
      </c>
      <c r="AQ386" s="8">
        <f t="shared" ca="1" si="568"/>
        <v>337811.00329963549</v>
      </c>
      <c r="AR386" s="8">
        <f t="shared" ca="1" si="568"/>
        <v>545128.18100398302</v>
      </c>
      <c r="AS386" s="8">
        <f t="shared" ca="1" si="568"/>
        <v>764039.31167073129</v>
      </c>
      <c r="AT386" s="8">
        <f t="shared" ca="1" si="568"/>
        <v>993712.55409147113</v>
      </c>
      <c r="AU386" s="55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</row>
    <row r="387" spans="1:66" ht="13.5" customHeight="1" x14ac:dyDescent="0.3">
      <c r="A387" s="10"/>
      <c r="B387" s="10"/>
      <c r="C387" s="10" t="s">
        <v>320</v>
      </c>
      <c r="D387" s="15" t="s">
        <v>4</v>
      </c>
      <c r="E387" s="10"/>
      <c r="F387" s="10"/>
      <c r="G387" s="10"/>
      <c r="H387" s="10"/>
      <c r="I387" s="10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  <c r="AA387" s="144"/>
      <c r="AB387" s="144"/>
      <c r="AC387" s="144"/>
      <c r="AD387" s="144"/>
      <c r="AE387" s="144"/>
      <c r="AF387" s="144"/>
      <c r="AG387" s="144"/>
      <c r="AH387" s="10"/>
      <c r="AI387" s="145">
        <f t="shared" ref="AI387:AT387" si="569">1/(1+$E$388)^AI476</f>
        <v>0.9760249612366354</v>
      </c>
      <c r="AJ387" s="145">
        <f t="shared" si="569"/>
        <v>0.92080388657186785</v>
      </c>
      <c r="AK387" s="145">
        <f t="shared" si="569"/>
        <v>0.86870708352743709</v>
      </c>
      <c r="AL387" s="145">
        <f t="shared" si="569"/>
        <v>0.81955778855397521</v>
      </c>
      <c r="AM387" s="145">
        <f t="shared" si="569"/>
        <v>0.77318923894588953</v>
      </c>
      <c r="AN387" s="145">
        <f t="shared" si="569"/>
        <v>0.72944410701839368</v>
      </c>
      <c r="AO387" s="145">
        <f t="shared" si="569"/>
        <v>0.68817396629740091</v>
      </c>
      <c r="AP387" s="145">
        <f t="shared" si="569"/>
        <v>0.64923878791107226</v>
      </c>
      <c r="AQ387" s="145">
        <f t="shared" si="569"/>
        <v>0.61250646547428123</v>
      </c>
      <c r="AR387" s="145">
        <f t="shared" si="569"/>
        <v>0.57785236685394115</v>
      </c>
      <c r="AS387" s="145">
        <f t="shared" si="569"/>
        <v>0.54515891129433713</v>
      </c>
      <c r="AT387" s="145">
        <f t="shared" si="569"/>
        <v>0.51431517046766251</v>
      </c>
      <c r="AU387" s="101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</row>
    <row r="388" spans="1:66" ht="13.5" customHeight="1" x14ac:dyDescent="0.3">
      <c r="A388" s="10"/>
      <c r="B388" s="10"/>
      <c r="C388" s="10" t="s">
        <v>321</v>
      </c>
      <c r="D388" s="15" t="s">
        <v>4</v>
      </c>
      <c r="E388" s="146">
        <f>WACC!E18</f>
        <v>5.9970505631067969E-2</v>
      </c>
      <c r="F388" s="10" t="s">
        <v>322</v>
      </c>
      <c r="G388" s="10"/>
      <c r="H388" s="10"/>
      <c r="I388" s="10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  <c r="AA388" s="144"/>
      <c r="AB388" s="144"/>
      <c r="AC388" s="144"/>
      <c r="AD388" s="144"/>
      <c r="AE388" s="144"/>
      <c r="AF388" s="144"/>
      <c r="AG388" s="144"/>
      <c r="AH388" s="101"/>
      <c r="AI388" s="11">
        <f t="shared" ref="AI388:AS388" ca="1" si="570">AI385*AI387</f>
        <v>-392998.00402072578</v>
      </c>
      <c r="AJ388" s="11">
        <f t="shared" ca="1" si="570"/>
        <v>-19526.150895001432</v>
      </c>
      <c r="AK388" s="11">
        <f t="shared" ca="1" si="570"/>
        <v>4785.9330623843425</v>
      </c>
      <c r="AL388" s="11">
        <f t="shared" ca="1" si="570"/>
        <v>-4144.9363773792593</v>
      </c>
      <c r="AM388" s="11">
        <f t="shared" ca="1" si="570"/>
        <v>46152.418976959299</v>
      </c>
      <c r="AN388" s="11">
        <f t="shared" ca="1" si="570"/>
        <v>112140.86005902369</v>
      </c>
      <c r="AO388" s="11">
        <f t="shared" ca="1" si="570"/>
        <v>116887.8487014256</v>
      </c>
      <c r="AP388" s="11">
        <f t="shared" ca="1" si="570"/>
        <v>118683.08462836847</v>
      </c>
      <c r="AQ388" s="11">
        <f t="shared" ca="1" si="570"/>
        <v>119521.52858324257</v>
      </c>
      <c r="AR388" s="11">
        <f t="shared" ca="1" si="570"/>
        <v>119798.72182593634</v>
      </c>
      <c r="AS388" s="11">
        <f t="shared" ca="1" si="570"/>
        <v>119341.35366449686</v>
      </c>
      <c r="AT388" s="11">
        <f t="shared" ref="AT388" ca="1" si="571">AT385*AT387</f>
        <v>118124.4328274836</v>
      </c>
      <c r="AU388" s="101">
        <f ca="1">AU385*AR387</f>
        <v>3997220.5774783725</v>
      </c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</row>
    <row r="389" spans="1:66" ht="13.5" customHeight="1" x14ac:dyDescent="0.3">
      <c r="A389" s="10"/>
      <c r="B389" s="10"/>
      <c r="C389" s="147" t="s">
        <v>323</v>
      </c>
      <c r="D389" s="15" t="s">
        <v>4</v>
      </c>
      <c r="E389" s="10"/>
      <c r="F389" s="10"/>
      <c r="G389" s="10"/>
      <c r="H389" s="10"/>
      <c r="I389" s="10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  <c r="AA389" s="144"/>
      <c r="AB389" s="144"/>
      <c r="AC389" s="144"/>
      <c r="AD389" s="144"/>
      <c r="AE389" s="144"/>
      <c r="AF389" s="144"/>
      <c r="AG389" s="144"/>
      <c r="AH389" s="10"/>
      <c r="AI389" s="11">
        <f ca="1">AI388</f>
        <v>-392998.00402072578</v>
      </c>
      <c r="AJ389" s="11">
        <f t="shared" ref="AJ389:AT389" ca="1" si="572">AI389+AJ388</f>
        <v>-412524.15491572721</v>
      </c>
      <c r="AK389" s="11">
        <f t="shared" ca="1" si="572"/>
        <v>-407738.22185334284</v>
      </c>
      <c r="AL389" s="11">
        <f t="shared" ca="1" si="572"/>
        <v>-411883.15823072213</v>
      </c>
      <c r="AM389" s="11">
        <f t="shared" ca="1" si="572"/>
        <v>-365730.73925376282</v>
      </c>
      <c r="AN389" s="11">
        <f t="shared" ca="1" si="572"/>
        <v>-253589.87919473913</v>
      </c>
      <c r="AO389" s="11">
        <f t="shared" ca="1" si="572"/>
        <v>-136702.03049331353</v>
      </c>
      <c r="AP389" s="11">
        <f t="shared" ca="1" si="572"/>
        <v>-18018.945864945068</v>
      </c>
      <c r="AQ389" s="11">
        <f t="shared" ca="1" si="572"/>
        <v>101502.5827182975</v>
      </c>
      <c r="AR389" s="11">
        <f t="shared" ca="1" si="572"/>
        <v>221301.30454423383</v>
      </c>
      <c r="AS389" s="11">
        <f t="shared" ca="1" si="572"/>
        <v>340642.65820873069</v>
      </c>
      <c r="AT389" s="11">
        <f t="shared" ca="1" si="572"/>
        <v>458767.09103621426</v>
      </c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</row>
    <row r="390" spans="1:66" ht="13.5" customHeight="1" x14ac:dyDescent="0.3">
      <c r="A390" s="7"/>
      <c r="B390" s="7"/>
      <c r="C390" s="143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</row>
    <row r="391" spans="1:66" ht="13.5" hidden="1" customHeight="1" outlineLevel="1" x14ac:dyDescent="0.3">
      <c r="A391" s="7"/>
      <c r="B391" s="7"/>
      <c r="C391" s="5" t="s">
        <v>324</v>
      </c>
      <c r="D391" s="7"/>
      <c r="E391" s="7"/>
      <c r="F391" s="7"/>
      <c r="G391" s="7"/>
      <c r="H391" s="7"/>
      <c r="I391" s="7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7"/>
      <c r="AI391" s="12">
        <f t="shared" ref="AI391:AT391" ca="1" si="573">(AI392*AI87+AI393*AI57+AI66*AI394+AI395*AI96)/1000</f>
        <v>236948.0865084375</v>
      </c>
      <c r="AJ391" s="12">
        <f t="shared" ca="1" si="573"/>
        <v>220352.57098613499</v>
      </c>
      <c r="AK391" s="12">
        <f t="shared" ca="1" si="573"/>
        <v>285911.07181282237</v>
      </c>
      <c r="AL391" s="12">
        <f t="shared" ca="1" si="573"/>
        <v>385783.74047427869</v>
      </c>
      <c r="AM391" s="12">
        <f t="shared" ca="1" si="573"/>
        <v>509605.60173818888</v>
      </c>
      <c r="AN391" s="12">
        <f t="shared" ca="1" si="573"/>
        <v>561944.64188362507</v>
      </c>
      <c r="AO391" s="12">
        <f t="shared" ca="1" si="573"/>
        <v>606900.21323431516</v>
      </c>
      <c r="AP391" s="12">
        <f t="shared" ca="1" si="573"/>
        <v>649383.22816071729</v>
      </c>
      <c r="AQ391" s="12">
        <f t="shared" ca="1" si="573"/>
        <v>691593.13799116388</v>
      </c>
      <c r="AR391" s="12">
        <f t="shared" ca="1" si="573"/>
        <v>733088.72627063363</v>
      </c>
      <c r="AS391" s="12">
        <f t="shared" ca="1" si="573"/>
        <v>769743.16258416534</v>
      </c>
      <c r="AT391" s="12">
        <f t="shared" ca="1" si="573"/>
        <v>808230.3207133736</v>
      </c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</row>
    <row r="392" spans="1:66" ht="13.5" hidden="1" customHeight="1" outlineLevel="2" x14ac:dyDescent="0.3">
      <c r="A392" s="7"/>
      <c r="B392" s="7"/>
      <c r="C392" s="143" t="s">
        <v>325</v>
      </c>
      <c r="D392" s="7" t="s">
        <v>87</v>
      </c>
      <c r="E392" s="7" t="s">
        <v>326</v>
      </c>
      <c r="F392" s="7"/>
      <c r="G392" s="7"/>
      <c r="H392" s="7"/>
      <c r="I392" s="7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7"/>
      <c r="AI392" s="8">
        <f t="shared" ref="AI392:AT392" si="574">AI117</f>
        <v>608080</v>
      </c>
      <c r="AJ392" s="8">
        <f t="shared" si="574"/>
        <v>671928.39999999991</v>
      </c>
      <c r="AK392" s="8">
        <f t="shared" si="574"/>
        <v>739121.24</v>
      </c>
      <c r="AL392" s="8">
        <f t="shared" si="574"/>
        <v>809337.75780000002</v>
      </c>
      <c r="AM392" s="8">
        <f t="shared" si="574"/>
        <v>882178.15600200009</v>
      </c>
      <c r="AN392" s="8">
        <f t="shared" si="574"/>
        <v>957163.29926216998</v>
      </c>
      <c r="AO392" s="8">
        <f t="shared" si="574"/>
        <v>1033736.3632031437</v>
      </c>
      <c r="AP392" s="8">
        <f t="shared" si="574"/>
        <v>1106097.9086273639</v>
      </c>
      <c r="AQ392" s="8">
        <f t="shared" si="574"/>
        <v>1177994.2726881423</v>
      </c>
      <c r="AR392" s="8">
        <f t="shared" si="574"/>
        <v>1248673.9290494309</v>
      </c>
      <c r="AS392" s="8">
        <f t="shared" si="574"/>
        <v>1311107.6255019025</v>
      </c>
      <c r="AT392" s="8">
        <f t="shared" si="574"/>
        <v>1376663.0067769976</v>
      </c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</row>
    <row r="393" spans="1:66" ht="13.5" hidden="1" customHeight="1" outlineLevel="2" x14ac:dyDescent="0.3">
      <c r="A393" s="7"/>
      <c r="B393" s="7"/>
      <c r="C393" s="143" t="s">
        <v>327</v>
      </c>
      <c r="D393" s="7" t="s">
        <v>87</v>
      </c>
      <c r="E393" s="7" t="s">
        <v>326</v>
      </c>
      <c r="F393" s="7"/>
      <c r="G393" s="7"/>
      <c r="H393" s="7"/>
      <c r="I393" s="7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7"/>
      <c r="AI393" s="8">
        <f t="shared" ref="AI393:AT393" si="575">AI115</f>
        <v>1080000</v>
      </c>
      <c r="AJ393" s="8">
        <f t="shared" si="575"/>
        <v>1193400</v>
      </c>
      <c r="AK393" s="8">
        <f t="shared" si="575"/>
        <v>1312740</v>
      </c>
      <c r="AL393" s="8">
        <f t="shared" si="575"/>
        <v>1437450.3</v>
      </c>
      <c r="AM393" s="8">
        <f t="shared" si="575"/>
        <v>1566820.827</v>
      </c>
      <c r="AN393" s="8">
        <f t="shared" si="575"/>
        <v>1700000.5972950002</v>
      </c>
      <c r="AO393" s="8">
        <f t="shared" si="575"/>
        <v>1836000.6450786004</v>
      </c>
      <c r="AP393" s="8">
        <f t="shared" si="575"/>
        <v>1964520.6902341025</v>
      </c>
      <c r="AQ393" s="8">
        <f t="shared" si="575"/>
        <v>2092214.5350993192</v>
      </c>
      <c r="AR393" s="8">
        <f t="shared" si="575"/>
        <v>2217747.4072052781</v>
      </c>
      <c r="AS393" s="8">
        <f t="shared" si="575"/>
        <v>2328634.7775655421</v>
      </c>
      <c r="AT393" s="8">
        <f t="shared" si="575"/>
        <v>2445066.5164438193</v>
      </c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</row>
    <row r="394" spans="1:66" ht="13.5" hidden="1" customHeight="1" outlineLevel="2" x14ac:dyDescent="0.3">
      <c r="A394" s="7"/>
      <c r="B394" s="7"/>
      <c r="C394" s="143" t="s">
        <v>328</v>
      </c>
      <c r="D394" s="7" t="s">
        <v>87</v>
      </c>
      <c r="E394" s="7" t="s">
        <v>326</v>
      </c>
      <c r="F394" s="7"/>
      <c r="G394" s="7"/>
      <c r="H394" s="7"/>
      <c r="I394" s="7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7"/>
      <c r="AI394" s="8">
        <f t="shared" ref="AI394:AT394" si="576">AI116</f>
        <v>1650000</v>
      </c>
      <c r="AJ394" s="8">
        <f t="shared" si="576"/>
        <v>1823250</v>
      </c>
      <c r="AK394" s="8">
        <f t="shared" si="576"/>
        <v>2005575.0000000002</v>
      </c>
      <c r="AL394" s="8">
        <f t="shared" si="576"/>
        <v>2196104.625</v>
      </c>
      <c r="AM394" s="8">
        <f t="shared" si="576"/>
        <v>2393754.0412500002</v>
      </c>
      <c r="AN394" s="8">
        <f t="shared" si="576"/>
        <v>2597223.1347562503</v>
      </c>
      <c r="AO394" s="8">
        <f t="shared" si="576"/>
        <v>2805000.9855367504</v>
      </c>
      <c r="AP394" s="8">
        <f t="shared" si="576"/>
        <v>3001351.054524323</v>
      </c>
      <c r="AQ394" s="8">
        <f t="shared" si="576"/>
        <v>3196438.8730684035</v>
      </c>
      <c r="AR394" s="8">
        <f t="shared" si="576"/>
        <v>3388225.2054525078</v>
      </c>
      <c r="AS394" s="8">
        <f t="shared" si="576"/>
        <v>3557636.4657251337</v>
      </c>
      <c r="AT394" s="8">
        <f t="shared" si="576"/>
        <v>3735518.2890113899</v>
      </c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</row>
    <row r="395" spans="1:66" ht="13.5" hidden="1" customHeight="1" outlineLevel="2" x14ac:dyDescent="0.3">
      <c r="A395" s="7"/>
      <c r="B395" s="7"/>
      <c r="C395" s="143" t="s">
        <v>329</v>
      </c>
      <c r="D395" s="7" t="s">
        <v>87</v>
      </c>
      <c r="E395" s="7" t="s">
        <v>326</v>
      </c>
      <c r="F395" s="7"/>
      <c r="G395" s="7"/>
      <c r="H395" s="7"/>
      <c r="I395" s="7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7"/>
      <c r="AI395" s="8">
        <f t="shared" ref="AI395:AT395" si="577">AI118</f>
        <v>728200</v>
      </c>
      <c r="AJ395" s="8">
        <f t="shared" si="577"/>
        <v>804661</v>
      </c>
      <c r="AK395" s="8">
        <f t="shared" si="577"/>
        <v>885127.10000000009</v>
      </c>
      <c r="AL395" s="8">
        <f t="shared" si="577"/>
        <v>969214.17450000008</v>
      </c>
      <c r="AM395" s="8">
        <f t="shared" si="577"/>
        <v>1056443.4502050001</v>
      </c>
      <c r="AN395" s="8">
        <f t="shared" si="577"/>
        <v>1146241.1434724252</v>
      </c>
      <c r="AO395" s="8">
        <f t="shared" si="577"/>
        <v>1237940.4349502192</v>
      </c>
      <c r="AP395" s="8">
        <f t="shared" si="577"/>
        <v>1324596.2653967347</v>
      </c>
      <c r="AQ395" s="8">
        <f t="shared" si="577"/>
        <v>1410695.0226475222</v>
      </c>
      <c r="AR395" s="8">
        <f t="shared" si="577"/>
        <v>1495336.7240063734</v>
      </c>
      <c r="AS395" s="8">
        <f t="shared" si="577"/>
        <v>1570103.5602066922</v>
      </c>
      <c r="AT395" s="8">
        <f t="shared" si="577"/>
        <v>1648608.7382170269</v>
      </c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</row>
    <row r="396" spans="1:66" ht="13.5" hidden="1" customHeight="1" outlineLevel="2" x14ac:dyDescent="0.3">
      <c r="A396" s="7"/>
      <c r="B396" s="7"/>
      <c r="C396" s="143" t="s">
        <v>330</v>
      </c>
      <c r="D396" s="7"/>
      <c r="E396" s="7"/>
      <c r="F396" s="7"/>
      <c r="G396" s="7"/>
      <c r="H396" s="7"/>
      <c r="I396" s="7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  <c r="AA396" s="148"/>
      <c r="AB396" s="148"/>
      <c r="AC396" s="148"/>
      <c r="AD396" s="148"/>
      <c r="AE396" s="148"/>
      <c r="AF396" s="148"/>
      <c r="AG396" s="148"/>
      <c r="AH396" s="7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</row>
    <row r="397" spans="1:66" ht="13.5" hidden="1" customHeight="1" outlineLevel="2" x14ac:dyDescent="0.3">
      <c r="A397" s="7"/>
      <c r="B397" s="7"/>
      <c r="C397" s="143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</row>
    <row r="398" spans="1:66" ht="13.5" hidden="1" customHeight="1" outlineLevel="1" x14ac:dyDescent="0.3">
      <c r="A398" s="7"/>
      <c r="B398" s="7"/>
      <c r="C398" s="149" t="s">
        <v>331</v>
      </c>
      <c r="D398" s="15" t="s">
        <v>4</v>
      </c>
      <c r="E398" s="7"/>
      <c r="F398" s="7"/>
      <c r="G398" s="7"/>
      <c r="H398" s="7"/>
      <c r="I398" s="7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7"/>
      <c r="AI398" s="8">
        <f t="shared" ref="AI398:AT398" ca="1" si="578">-AI314-AI290</f>
        <v>-374392.51318212587</v>
      </c>
      <c r="AJ398" s="8">
        <f t="shared" ca="1" si="578"/>
        <v>-407441.05132820015</v>
      </c>
      <c r="AK398" s="8">
        <f t="shared" ca="1" si="578"/>
        <v>-391473.16089608148</v>
      </c>
      <c r="AL398" s="8">
        <f t="shared" ca="1" si="578"/>
        <v>-410486.73149319831</v>
      </c>
      <c r="AM398" s="8">
        <f t="shared" ca="1" si="578"/>
        <v>-439303.71833034832</v>
      </c>
      <c r="AN398" s="8">
        <f t="shared" ca="1" si="578"/>
        <v>-425140.34917598462</v>
      </c>
      <c r="AO398" s="8">
        <f t="shared" ca="1" si="578"/>
        <v>-403854.02436912712</v>
      </c>
      <c r="AP398" s="8">
        <f t="shared" ca="1" si="578"/>
        <v>-382129.5922011176</v>
      </c>
      <c r="AQ398" s="8">
        <f t="shared" ca="1" si="578"/>
        <v>-216839.31669785781</v>
      </c>
      <c r="AR398" s="8">
        <f t="shared" ca="1" si="578"/>
        <v>-42999.644845079929</v>
      </c>
      <c r="AS398" s="8">
        <f t="shared" ca="1" si="578"/>
        <v>7.2759576141834259E-11</v>
      </c>
      <c r="AT398" s="8">
        <f t="shared" ca="1" si="578"/>
        <v>7.2759576141834259E-11</v>
      </c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</row>
    <row r="399" spans="1:66" ht="13.5" hidden="1" customHeight="1" outlineLevel="1" x14ac:dyDescent="0.3">
      <c r="A399" s="7"/>
      <c r="B399" s="7"/>
      <c r="C399" s="149" t="s">
        <v>332</v>
      </c>
      <c r="D399" s="15" t="s">
        <v>4</v>
      </c>
      <c r="E399" s="7"/>
      <c r="F399" s="7"/>
      <c r="G399" s="7"/>
      <c r="H399" s="7"/>
      <c r="I399" s="7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7"/>
      <c r="AI399" s="8">
        <f t="shared" ref="AI399:AT399" ca="1" si="579">AI348</f>
        <v>34683.594534919139</v>
      </c>
      <c r="AJ399" s="8">
        <f t="shared" ca="1" si="579"/>
        <v>35004.147753126927</v>
      </c>
      <c r="AK399" s="8">
        <f t="shared" ca="1" si="579"/>
        <v>17543.26270860765</v>
      </c>
      <c r="AL399" s="8">
        <f t="shared" ca="1" si="579"/>
        <v>9283.2010030312485</v>
      </c>
      <c r="AM399" s="8">
        <f t="shared" ca="1" si="579"/>
        <v>73876.511617586468</v>
      </c>
      <c r="AN399" s="8">
        <f t="shared" ca="1" si="579"/>
        <v>189897.68800609239</v>
      </c>
      <c r="AO399" s="8">
        <f t="shared" ca="1" si="579"/>
        <v>315597.82630668173</v>
      </c>
      <c r="AP399" s="8">
        <f t="shared" ca="1" si="579"/>
        <v>454560.55075987044</v>
      </c>
      <c r="AQ399" s="8">
        <f t="shared" ca="1" si="579"/>
        <v>469907.72281637718</v>
      </c>
      <c r="AR399" s="8">
        <f t="shared" ca="1" si="579"/>
        <v>496916.52004642738</v>
      </c>
      <c r="AS399" s="8">
        <f t="shared" ca="1" si="579"/>
        <v>667931.23860104987</v>
      </c>
      <c r="AT399" s="8">
        <f t="shared" ca="1" si="579"/>
        <v>897604.48102178972</v>
      </c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</row>
    <row r="400" spans="1:66" ht="13.5" hidden="1" customHeight="1" outlineLevel="1" x14ac:dyDescent="0.3">
      <c r="A400" s="7"/>
      <c r="B400" s="7"/>
      <c r="C400" s="143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</row>
    <row r="401" spans="1:66" ht="13.5" hidden="1" customHeight="1" outlineLevel="1" x14ac:dyDescent="0.3">
      <c r="A401" s="7"/>
      <c r="B401" s="7"/>
      <c r="C401" s="5" t="s">
        <v>333</v>
      </c>
      <c r="D401" s="15" t="s">
        <v>4</v>
      </c>
      <c r="E401" s="7"/>
      <c r="F401" s="7"/>
      <c r="G401" s="7"/>
      <c r="H401" s="7"/>
      <c r="I401" s="7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  <c r="Z401" s="150"/>
      <c r="AA401" s="150"/>
      <c r="AB401" s="150"/>
      <c r="AC401" s="150"/>
      <c r="AD401" s="150"/>
      <c r="AE401" s="150"/>
      <c r="AF401" s="150"/>
      <c r="AG401" s="150"/>
      <c r="AH401" s="104"/>
      <c r="AI401" s="12">
        <f t="shared" ref="AI401:AR401" ca="1" si="580">AI385+AI391+AI398+AI399</f>
        <v>-505412.42367469938</v>
      </c>
      <c r="AJ401" s="12">
        <f t="shared" ca="1" si="580"/>
        <v>-173289.88045830798</v>
      </c>
      <c r="AK401" s="12">
        <f t="shared" ca="1" si="580"/>
        <v>-82509.566518094565</v>
      </c>
      <c r="AL401" s="12">
        <f t="shared" ca="1" si="580"/>
        <v>-20477.317911136113</v>
      </c>
      <c r="AM401" s="12">
        <f t="shared" ca="1" si="580"/>
        <v>203869.36930732493</v>
      </c>
      <c r="AN401" s="12">
        <f t="shared" ca="1" si="580"/>
        <v>480436.66577054962</v>
      </c>
      <c r="AO401" s="12">
        <f t="shared" ca="1" si="580"/>
        <v>688496.19561734656</v>
      </c>
      <c r="AP401" s="12">
        <f t="shared" ca="1" si="580"/>
        <v>904617.6279775498</v>
      </c>
      <c r="AQ401" s="12">
        <f t="shared" ca="1" si="580"/>
        <v>1139796.6738110385</v>
      </c>
      <c r="AR401" s="12">
        <f t="shared" ca="1" si="580"/>
        <v>1394322.7791763286</v>
      </c>
      <c r="AS401" s="12">
        <f ca="1">AS385+AS391+AS398+AS399</f>
        <v>1656585.5318519636</v>
      </c>
      <c r="AT401" s="12">
        <f ca="1">AT385+AT391+AT398+AT399</f>
        <v>1935508.0441559032</v>
      </c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</row>
    <row r="402" spans="1:66" ht="13.5" hidden="1" customHeight="1" outlineLevel="1" x14ac:dyDescent="0.3">
      <c r="A402" s="7"/>
      <c r="B402" s="7"/>
      <c r="C402" s="143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55">
        <v>1</v>
      </c>
      <c r="AJ402" s="55">
        <v>2</v>
      </c>
      <c r="AK402" s="55">
        <v>3</v>
      </c>
      <c r="AL402" s="55">
        <f t="shared" ref="AL402:AT402" si="581">AK402+1</f>
        <v>4</v>
      </c>
      <c r="AM402" s="55">
        <f t="shared" si="581"/>
        <v>5</v>
      </c>
      <c r="AN402" s="55">
        <f t="shared" si="581"/>
        <v>6</v>
      </c>
      <c r="AO402" s="55">
        <f t="shared" si="581"/>
        <v>7</v>
      </c>
      <c r="AP402" s="55">
        <f t="shared" si="581"/>
        <v>8</v>
      </c>
      <c r="AQ402" s="55">
        <f t="shared" si="581"/>
        <v>9</v>
      </c>
      <c r="AR402" s="55">
        <f t="shared" si="581"/>
        <v>10</v>
      </c>
      <c r="AS402" s="55">
        <f t="shared" si="581"/>
        <v>11</v>
      </c>
      <c r="AT402" s="55">
        <f t="shared" si="581"/>
        <v>12</v>
      </c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</row>
    <row r="403" spans="1:66" ht="13.5" hidden="1" customHeight="1" outlineLevel="1" x14ac:dyDescent="0.3">
      <c r="A403" s="7"/>
      <c r="B403" s="7"/>
      <c r="C403" s="151" t="s">
        <v>334</v>
      </c>
      <c r="D403" s="152" t="s">
        <v>335</v>
      </c>
      <c r="E403" s="153" t="s">
        <v>336</v>
      </c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</row>
    <row r="404" spans="1:66" ht="13.5" hidden="1" customHeight="1" outlineLevel="1" x14ac:dyDescent="0.3">
      <c r="A404" s="7"/>
      <c r="B404" s="7"/>
      <c r="C404" s="154">
        <v>2028</v>
      </c>
      <c r="D404" s="155">
        <f t="shared" ref="D404:D411" ca="1" si="582">-SUM(AI404:AR404)/AH404</f>
        <v>-1.3048132242590833</v>
      </c>
      <c r="E404" s="156">
        <f t="shared" ref="E404:E407" ca="1" si="583">IFERROR(IRR(K404:AS404),0)</f>
        <v>0</v>
      </c>
      <c r="F404" s="7"/>
      <c r="G404" s="7"/>
      <c r="H404" s="7"/>
      <c r="I404" s="55"/>
      <c r="J404" s="7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  <c r="AC404" s="104"/>
      <c r="AD404" s="104"/>
      <c r="AE404" s="104"/>
      <c r="AF404" s="104"/>
      <c r="AG404" s="104"/>
      <c r="AH404" s="104">
        <f t="shared" ref="AH404:AH412" si="584">-$AL$10-$AL$11</f>
        <v>-63234.771830999998</v>
      </c>
      <c r="AI404" s="55">
        <f t="shared" ref="AI404:AT412" si="585">IF(AI$384=$C404,AI$401,0)</f>
        <v>0</v>
      </c>
      <c r="AJ404" s="55">
        <f t="shared" si="585"/>
        <v>0</v>
      </c>
      <c r="AK404" s="55">
        <f t="shared" ca="1" si="585"/>
        <v>-82509.566518094565</v>
      </c>
      <c r="AL404" s="55">
        <f t="shared" si="585"/>
        <v>0</v>
      </c>
      <c r="AM404" s="55">
        <f t="shared" si="585"/>
        <v>0</v>
      </c>
      <c r="AN404" s="55">
        <f t="shared" si="585"/>
        <v>0</v>
      </c>
      <c r="AO404" s="55">
        <f t="shared" si="585"/>
        <v>0</v>
      </c>
      <c r="AP404" s="55">
        <f t="shared" si="585"/>
        <v>0</v>
      </c>
      <c r="AQ404" s="55">
        <f t="shared" si="585"/>
        <v>0</v>
      </c>
      <c r="AR404" s="55">
        <f t="shared" si="585"/>
        <v>0</v>
      </c>
      <c r="AS404" s="55">
        <f t="shared" si="585"/>
        <v>0</v>
      </c>
      <c r="AT404" s="55">
        <f t="shared" si="585"/>
        <v>0</v>
      </c>
      <c r="AU404" s="55">
        <f>AL404</f>
        <v>0</v>
      </c>
      <c r="AV404" s="7"/>
      <c r="AW404" s="49">
        <f t="shared" ref="AW404:AW412" si="586">(-AU404/AH404)^(1/BA404)-1</f>
        <v>-1</v>
      </c>
      <c r="AX404" s="7"/>
      <c r="AY404" s="7"/>
      <c r="AZ404" s="55"/>
      <c r="BA404" s="7">
        <v>4</v>
      </c>
      <c r="BB404" s="55">
        <f t="shared" ref="BB404:BB412" si="587">-AH404*2.5</f>
        <v>158086.92957750001</v>
      </c>
      <c r="BC404" s="7"/>
      <c r="BD404" s="49">
        <f t="shared" ref="BD404:BD412" si="588">(-BB404/AH404)^(1/BF404)-1</f>
        <v>0.25743342968293548</v>
      </c>
      <c r="BE404" s="7"/>
      <c r="BF404" s="7">
        <v>4</v>
      </c>
      <c r="BG404" s="7"/>
      <c r="BH404" s="7"/>
      <c r="BI404" s="7"/>
      <c r="BJ404" s="7"/>
      <c r="BK404" s="7"/>
      <c r="BL404" s="7"/>
      <c r="BM404" s="7"/>
      <c r="BN404" s="7"/>
    </row>
    <row r="405" spans="1:66" ht="13.5" hidden="1" customHeight="1" outlineLevel="1" x14ac:dyDescent="0.3">
      <c r="A405" s="7"/>
      <c r="B405" s="7"/>
      <c r="C405" s="154">
        <f t="shared" ref="C405:C412" si="589">C404+1</f>
        <v>2029</v>
      </c>
      <c r="D405" s="155">
        <f t="shared" ca="1" si="582"/>
        <v>-0.32383002766046803</v>
      </c>
      <c r="E405" s="156">
        <f t="shared" ca="1" si="583"/>
        <v>0</v>
      </c>
      <c r="F405" s="7"/>
      <c r="G405" s="7"/>
      <c r="H405" s="7"/>
      <c r="I405" s="55"/>
      <c r="J405" s="7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  <c r="AC405" s="104"/>
      <c r="AD405" s="104"/>
      <c r="AE405" s="104"/>
      <c r="AF405" s="104"/>
      <c r="AG405" s="104"/>
      <c r="AH405" s="104">
        <f t="shared" si="584"/>
        <v>-63234.771830999998</v>
      </c>
      <c r="AI405" s="55">
        <f t="shared" si="585"/>
        <v>0</v>
      </c>
      <c r="AJ405" s="55">
        <f t="shared" si="585"/>
        <v>0</v>
      </c>
      <c r="AK405" s="55">
        <f t="shared" si="585"/>
        <v>0</v>
      </c>
      <c r="AL405" s="55">
        <f t="shared" ca="1" si="585"/>
        <v>-20477.317911136113</v>
      </c>
      <c r="AM405" s="55">
        <f t="shared" si="585"/>
        <v>0</v>
      </c>
      <c r="AN405" s="55">
        <f t="shared" si="585"/>
        <v>0</v>
      </c>
      <c r="AO405" s="55">
        <f t="shared" si="585"/>
        <v>0</v>
      </c>
      <c r="AP405" s="55">
        <f t="shared" si="585"/>
        <v>0</v>
      </c>
      <c r="AQ405" s="55">
        <f t="shared" si="585"/>
        <v>0</v>
      </c>
      <c r="AR405" s="55">
        <f t="shared" si="585"/>
        <v>0</v>
      </c>
      <c r="AS405" s="55">
        <f t="shared" si="585"/>
        <v>0</v>
      </c>
      <c r="AT405" s="55">
        <f t="shared" si="585"/>
        <v>0</v>
      </c>
      <c r="AU405" s="55">
        <f>AM405</f>
        <v>0</v>
      </c>
      <c r="AV405" s="7"/>
      <c r="AW405" s="49">
        <f t="shared" si="586"/>
        <v>-1</v>
      </c>
      <c r="AX405" s="7"/>
      <c r="AY405" s="7"/>
      <c r="AZ405" s="7"/>
      <c r="BA405" s="7">
        <f t="shared" ref="BA405:BA412" si="590">BA404+1</f>
        <v>5</v>
      </c>
      <c r="BB405" s="55">
        <f t="shared" si="587"/>
        <v>158086.92957750001</v>
      </c>
      <c r="BC405" s="7"/>
      <c r="BD405" s="49">
        <f t="shared" si="588"/>
        <v>0.20112443398143132</v>
      </c>
      <c r="BE405" s="7"/>
      <c r="BF405" s="7">
        <f t="shared" ref="BF405:BF412" si="591">BF404+1</f>
        <v>5</v>
      </c>
      <c r="BG405" s="7"/>
      <c r="BH405" s="7"/>
      <c r="BI405" s="7"/>
      <c r="BJ405" s="7"/>
      <c r="BK405" s="7"/>
      <c r="BL405" s="7"/>
      <c r="BM405" s="7"/>
      <c r="BN405" s="7"/>
    </row>
    <row r="406" spans="1:66" ht="13.5" hidden="1" customHeight="1" outlineLevel="1" x14ac:dyDescent="0.3">
      <c r="A406" s="7"/>
      <c r="B406" s="7"/>
      <c r="C406" s="154">
        <f t="shared" si="589"/>
        <v>2030</v>
      </c>
      <c r="D406" s="155">
        <f t="shared" ca="1" si="582"/>
        <v>3.2240073523500992</v>
      </c>
      <c r="E406" s="156">
        <f t="shared" ca="1" si="583"/>
        <v>0.26380248421878294</v>
      </c>
      <c r="F406" s="7"/>
      <c r="G406" s="7"/>
      <c r="H406" s="7"/>
      <c r="I406" s="7"/>
      <c r="J406" s="7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  <c r="AC406" s="104"/>
      <c r="AD406" s="104"/>
      <c r="AE406" s="104"/>
      <c r="AF406" s="104"/>
      <c r="AG406" s="104"/>
      <c r="AH406" s="104">
        <f t="shared" si="584"/>
        <v>-63234.771830999998</v>
      </c>
      <c r="AI406" s="55">
        <f t="shared" si="585"/>
        <v>0</v>
      </c>
      <c r="AJ406" s="55">
        <f t="shared" si="585"/>
        <v>0</v>
      </c>
      <c r="AK406" s="55">
        <f t="shared" si="585"/>
        <v>0</v>
      </c>
      <c r="AL406" s="55">
        <f t="shared" si="585"/>
        <v>0</v>
      </c>
      <c r="AM406" s="55">
        <f t="shared" ca="1" si="585"/>
        <v>203869.36930732493</v>
      </c>
      <c r="AN406" s="55">
        <f t="shared" si="585"/>
        <v>0</v>
      </c>
      <c r="AO406" s="55">
        <f t="shared" si="585"/>
        <v>0</v>
      </c>
      <c r="AP406" s="55">
        <f t="shared" si="585"/>
        <v>0</v>
      </c>
      <c r="AQ406" s="55">
        <f t="shared" si="585"/>
        <v>0</v>
      </c>
      <c r="AR406" s="55">
        <f t="shared" si="585"/>
        <v>0</v>
      </c>
      <c r="AS406" s="55">
        <f t="shared" si="585"/>
        <v>0</v>
      </c>
      <c r="AT406" s="55">
        <f t="shared" si="585"/>
        <v>0</v>
      </c>
      <c r="AU406" s="55">
        <f>-AH406*2.5</f>
        <v>158086.92957750001</v>
      </c>
      <c r="AV406" s="7"/>
      <c r="AW406" s="49">
        <f t="shared" si="586"/>
        <v>0.16499305075071291</v>
      </c>
      <c r="AX406" s="7"/>
      <c r="AY406" s="7"/>
      <c r="AZ406" s="7"/>
      <c r="BA406" s="7">
        <f t="shared" si="590"/>
        <v>6</v>
      </c>
      <c r="BB406" s="55">
        <f t="shared" si="587"/>
        <v>158086.92957750001</v>
      </c>
      <c r="BC406" s="7"/>
      <c r="BD406" s="49">
        <f t="shared" si="588"/>
        <v>0.16499305075071291</v>
      </c>
      <c r="BE406" s="7"/>
      <c r="BF406" s="7">
        <f t="shared" si="591"/>
        <v>6</v>
      </c>
      <c r="BG406" s="7"/>
      <c r="BH406" s="7"/>
      <c r="BI406" s="7"/>
      <c r="BJ406" s="7"/>
      <c r="BK406" s="7"/>
      <c r="BL406" s="7"/>
      <c r="BM406" s="7"/>
      <c r="BN406" s="7"/>
    </row>
    <row r="407" spans="1:66" ht="13.5" hidden="1" customHeight="1" outlineLevel="1" x14ac:dyDescent="0.3">
      <c r="A407" s="7"/>
      <c r="B407" s="7"/>
      <c r="C407" s="154">
        <f t="shared" si="589"/>
        <v>2031</v>
      </c>
      <c r="D407" s="155">
        <f t="shared" ca="1" si="582"/>
        <v>7.5976658388924871</v>
      </c>
      <c r="E407" s="156">
        <f t="shared" ca="1" si="583"/>
        <v>0.40210336438693917</v>
      </c>
      <c r="F407" s="7"/>
      <c r="G407" s="7"/>
      <c r="H407" s="7"/>
      <c r="I407" s="7"/>
      <c r="J407" s="7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  <c r="AC407" s="104"/>
      <c r="AD407" s="104"/>
      <c r="AE407" s="104"/>
      <c r="AF407" s="104"/>
      <c r="AG407" s="104"/>
      <c r="AH407" s="104">
        <f t="shared" si="584"/>
        <v>-63234.771830999998</v>
      </c>
      <c r="AI407" s="55">
        <f t="shared" si="585"/>
        <v>0</v>
      </c>
      <c r="AJ407" s="55">
        <f t="shared" si="585"/>
        <v>0</v>
      </c>
      <c r="AK407" s="55">
        <f t="shared" si="585"/>
        <v>0</v>
      </c>
      <c r="AL407" s="55">
        <f t="shared" si="585"/>
        <v>0</v>
      </c>
      <c r="AM407" s="55">
        <f t="shared" si="585"/>
        <v>0</v>
      </c>
      <c r="AN407" s="55">
        <f t="shared" ca="1" si="585"/>
        <v>480436.66577054962</v>
      </c>
      <c r="AO407" s="55">
        <f t="shared" si="585"/>
        <v>0</v>
      </c>
      <c r="AP407" s="55">
        <f t="shared" si="585"/>
        <v>0</v>
      </c>
      <c r="AQ407" s="55">
        <f t="shared" si="585"/>
        <v>0</v>
      </c>
      <c r="AR407" s="55">
        <f t="shared" si="585"/>
        <v>0</v>
      </c>
      <c r="AS407" s="55">
        <f t="shared" si="585"/>
        <v>0</v>
      </c>
      <c r="AT407" s="55">
        <f t="shared" si="585"/>
        <v>0</v>
      </c>
      <c r="AU407" s="55">
        <f>AO407</f>
        <v>0</v>
      </c>
      <c r="AV407" s="7"/>
      <c r="AW407" s="49">
        <f t="shared" si="586"/>
        <v>-1</v>
      </c>
      <c r="AX407" s="7"/>
      <c r="AY407" s="7"/>
      <c r="AZ407" s="7"/>
      <c r="BA407" s="7">
        <f t="shared" si="590"/>
        <v>7</v>
      </c>
      <c r="BB407" s="55">
        <f t="shared" si="587"/>
        <v>158086.92957750001</v>
      </c>
      <c r="BC407" s="7"/>
      <c r="BD407" s="49">
        <f t="shared" si="588"/>
        <v>0.13985228104759684</v>
      </c>
      <c r="BE407" s="7"/>
      <c r="BF407" s="7">
        <f t="shared" si="591"/>
        <v>7</v>
      </c>
      <c r="BG407" s="7"/>
      <c r="BH407" s="7"/>
      <c r="BI407" s="7"/>
      <c r="BJ407" s="7"/>
      <c r="BK407" s="7"/>
      <c r="BL407" s="7"/>
      <c r="BM407" s="7"/>
      <c r="BN407" s="7"/>
    </row>
    <row r="408" spans="1:66" ht="13.5" hidden="1" customHeight="1" outlineLevel="1" x14ac:dyDescent="0.3">
      <c r="A408" s="7"/>
      <c r="B408" s="7"/>
      <c r="C408" s="154">
        <f t="shared" si="589"/>
        <v>2032</v>
      </c>
      <c r="D408" s="155">
        <f t="shared" ca="1" si="582"/>
        <v>10.887936742420893</v>
      </c>
      <c r="E408" s="156">
        <f t="shared" ref="E408:E412" ca="1" si="592">IRR(K408:AS408)</f>
        <v>0.40648493302058064</v>
      </c>
      <c r="F408" s="7"/>
      <c r="G408" s="7"/>
      <c r="H408" s="7"/>
      <c r="I408" s="7"/>
      <c r="J408" s="7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  <c r="AC408" s="104"/>
      <c r="AD408" s="104"/>
      <c r="AE408" s="104"/>
      <c r="AF408" s="104"/>
      <c r="AG408" s="104"/>
      <c r="AH408" s="104">
        <f t="shared" si="584"/>
        <v>-63234.771830999998</v>
      </c>
      <c r="AI408" s="55">
        <f t="shared" si="585"/>
        <v>0</v>
      </c>
      <c r="AJ408" s="55">
        <f t="shared" si="585"/>
        <v>0</v>
      </c>
      <c r="AK408" s="55">
        <f t="shared" si="585"/>
        <v>0</v>
      </c>
      <c r="AL408" s="55">
        <f t="shared" si="585"/>
        <v>0</v>
      </c>
      <c r="AM408" s="55">
        <f t="shared" si="585"/>
        <v>0</v>
      </c>
      <c r="AN408" s="55">
        <f t="shared" si="585"/>
        <v>0</v>
      </c>
      <c r="AO408" s="55">
        <f t="shared" ca="1" si="585"/>
        <v>688496.19561734656</v>
      </c>
      <c r="AP408" s="55">
        <f t="shared" si="585"/>
        <v>0</v>
      </c>
      <c r="AQ408" s="55">
        <f t="shared" si="585"/>
        <v>0</v>
      </c>
      <c r="AR408" s="55">
        <f t="shared" si="585"/>
        <v>0</v>
      </c>
      <c r="AS408" s="55">
        <f t="shared" si="585"/>
        <v>0</v>
      </c>
      <c r="AT408" s="55">
        <f t="shared" si="585"/>
        <v>0</v>
      </c>
      <c r="AU408" s="55">
        <f>AP408</f>
        <v>0</v>
      </c>
      <c r="AV408" s="7"/>
      <c r="AW408" s="49">
        <f t="shared" si="586"/>
        <v>-1</v>
      </c>
      <c r="AX408" s="7"/>
      <c r="AY408" s="7"/>
      <c r="AZ408" s="7"/>
      <c r="BA408" s="7">
        <f t="shared" si="590"/>
        <v>8</v>
      </c>
      <c r="BB408" s="55">
        <f t="shared" si="587"/>
        <v>158086.92957750001</v>
      </c>
      <c r="BC408" s="7"/>
      <c r="BD408" s="49">
        <f t="shared" si="588"/>
        <v>0.12135339197013861</v>
      </c>
      <c r="BE408" s="7"/>
      <c r="BF408" s="7">
        <f t="shared" si="591"/>
        <v>8</v>
      </c>
      <c r="BG408" s="7"/>
      <c r="BH408" s="7"/>
      <c r="BI408" s="7"/>
      <c r="BJ408" s="7"/>
      <c r="BK408" s="7"/>
      <c r="BL408" s="7"/>
      <c r="BM408" s="7"/>
      <c r="BN408" s="7"/>
    </row>
    <row r="409" spans="1:66" ht="13.5" hidden="1" customHeight="1" outlineLevel="1" x14ac:dyDescent="0.3">
      <c r="A409" s="7"/>
      <c r="B409" s="7"/>
      <c r="C409" s="154">
        <f t="shared" si="589"/>
        <v>2033</v>
      </c>
      <c r="D409" s="155">
        <f t="shared" ca="1" si="582"/>
        <v>14.305699250330388</v>
      </c>
      <c r="E409" s="156">
        <f t="shared" ca="1" si="592"/>
        <v>0.39456459859846094</v>
      </c>
      <c r="F409" s="7"/>
      <c r="G409" s="7"/>
      <c r="H409" s="7"/>
      <c r="I409" s="7"/>
      <c r="J409" s="7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  <c r="AC409" s="104"/>
      <c r="AD409" s="104"/>
      <c r="AE409" s="104"/>
      <c r="AF409" s="104"/>
      <c r="AG409" s="104"/>
      <c r="AH409" s="104">
        <f t="shared" si="584"/>
        <v>-63234.771830999998</v>
      </c>
      <c r="AI409" s="55">
        <f t="shared" si="585"/>
        <v>0</v>
      </c>
      <c r="AJ409" s="55">
        <f t="shared" si="585"/>
        <v>0</v>
      </c>
      <c r="AK409" s="55">
        <f t="shared" si="585"/>
        <v>0</v>
      </c>
      <c r="AL409" s="55">
        <f t="shared" si="585"/>
        <v>0</v>
      </c>
      <c r="AM409" s="55">
        <f t="shared" si="585"/>
        <v>0</v>
      </c>
      <c r="AN409" s="55">
        <f t="shared" si="585"/>
        <v>0</v>
      </c>
      <c r="AO409" s="55">
        <f t="shared" si="585"/>
        <v>0</v>
      </c>
      <c r="AP409" s="55">
        <f t="shared" ca="1" si="585"/>
        <v>904617.6279775498</v>
      </c>
      <c r="AQ409" s="55">
        <f t="shared" si="585"/>
        <v>0</v>
      </c>
      <c r="AR409" s="55">
        <f t="shared" si="585"/>
        <v>0</v>
      </c>
      <c r="AS409" s="55">
        <f t="shared" si="585"/>
        <v>0</v>
      </c>
      <c r="AT409" s="55">
        <f t="shared" si="585"/>
        <v>0</v>
      </c>
      <c r="AU409" s="55">
        <f>AQ409</f>
        <v>0</v>
      </c>
      <c r="AV409" s="7"/>
      <c r="AW409" s="49">
        <f t="shared" si="586"/>
        <v>-1</v>
      </c>
      <c r="AX409" s="7"/>
      <c r="AY409" s="7"/>
      <c r="AZ409" s="7"/>
      <c r="BA409" s="7">
        <f t="shared" si="590"/>
        <v>9</v>
      </c>
      <c r="BB409" s="55">
        <f t="shared" si="587"/>
        <v>158086.92957750001</v>
      </c>
      <c r="BC409" s="7"/>
      <c r="BD409" s="49">
        <f t="shared" si="588"/>
        <v>0.10717317888991107</v>
      </c>
      <c r="BE409" s="7"/>
      <c r="BF409" s="7">
        <f t="shared" si="591"/>
        <v>9</v>
      </c>
      <c r="BG409" s="7"/>
      <c r="BH409" s="7"/>
      <c r="BI409" s="7"/>
      <c r="BJ409" s="7"/>
      <c r="BK409" s="7"/>
      <c r="BL409" s="7"/>
      <c r="BM409" s="7"/>
      <c r="BN409" s="7"/>
    </row>
    <row r="410" spans="1:66" ht="13.5" hidden="1" customHeight="1" outlineLevel="1" x14ac:dyDescent="0.3">
      <c r="A410" s="7"/>
      <c r="B410" s="7"/>
      <c r="C410" s="154">
        <f t="shared" si="589"/>
        <v>2034</v>
      </c>
      <c r="D410" s="155">
        <f t="shared" ca="1" si="582"/>
        <v>18.024840460518092</v>
      </c>
      <c r="E410" s="156">
        <f t="shared" ca="1" si="592"/>
        <v>0.37892698278302306</v>
      </c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104">
        <f t="shared" si="584"/>
        <v>-63234.771830999998</v>
      </c>
      <c r="AI410" s="55">
        <f t="shared" si="585"/>
        <v>0</v>
      </c>
      <c r="AJ410" s="55">
        <f t="shared" si="585"/>
        <v>0</v>
      </c>
      <c r="AK410" s="55">
        <f t="shared" si="585"/>
        <v>0</v>
      </c>
      <c r="AL410" s="55">
        <f t="shared" si="585"/>
        <v>0</v>
      </c>
      <c r="AM410" s="55">
        <f t="shared" si="585"/>
        <v>0</v>
      </c>
      <c r="AN410" s="55">
        <f t="shared" si="585"/>
        <v>0</v>
      </c>
      <c r="AO410" s="55">
        <f t="shared" si="585"/>
        <v>0</v>
      </c>
      <c r="AP410" s="55">
        <f t="shared" si="585"/>
        <v>0</v>
      </c>
      <c r="AQ410" s="55">
        <f t="shared" ca="1" si="585"/>
        <v>1139796.6738110385</v>
      </c>
      <c r="AR410" s="55">
        <f t="shared" si="585"/>
        <v>0</v>
      </c>
      <c r="AS410" s="55">
        <f t="shared" si="585"/>
        <v>0</v>
      </c>
      <c r="AT410" s="55">
        <f t="shared" si="585"/>
        <v>0</v>
      </c>
      <c r="AU410" s="55">
        <f>AR410</f>
        <v>0</v>
      </c>
      <c r="AV410" s="7"/>
      <c r="AW410" s="49">
        <f t="shared" si="586"/>
        <v>-1</v>
      </c>
      <c r="AX410" s="7"/>
      <c r="AY410" s="7"/>
      <c r="AZ410" s="7"/>
      <c r="BA410" s="7">
        <f t="shared" si="590"/>
        <v>10</v>
      </c>
      <c r="BB410" s="55">
        <f t="shared" si="587"/>
        <v>158086.92957750001</v>
      </c>
      <c r="BC410" s="7"/>
      <c r="BD410" s="49">
        <f t="shared" si="588"/>
        <v>9.5958226385217227E-2</v>
      </c>
      <c r="BE410" s="7"/>
      <c r="BF410" s="7">
        <f t="shared" si="591"/>
        <v>10</v>
      </c>
      <c r="BG410" s="7"/>
      <c r="BH410" s="7"/>
      <c r="BI410" s="7"/>
      <c r="BJ410" s="7"/>
      <c r="BK410" s="7"/>
      <c r="BL410" s="7"/>
      <c r="BM410" s="7"/>
      <c r="BN410" s="7"/>
    </row>
    <row r="411" spans="1:66" ht="13.5" hidden="1" customHeight="1" outlineLevel="1" x14ac:dyDescent="0.3">
      <c r="A411" s="7"/>
      <c r="B411" s="7"/>
      <c r="C411" s="154">
        <f t="shared" si="589"/>
        <v>2035</v>
      </c>
      <c r="D411" s="155">
        <f t="shared" ca="1" si="582"/>
        <v>22.049937697296798</v>
      </c>
      <c r="E411" s="156">
        <f t="shared" ca="1" si="592"/>
        <v>0.36251325730078898</v>
      </c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104">
        <f t="shared" si="584"/>
        <v>-63234.771830999998</v>
      </c>
      <c r="AI411" s="55">
        <f t="shared" si="585"/>
        <v>0</v>
      </c>
      <c r="AJ411" s="55">
        <f t="shared" si="585"/>
        <v>0</v>
      </c>
      <c r="AK411" s="55">
        <f t="shared" si="585"/>
        <v>0</v>
      </c>
      <c r="AL411" s="55">
        <f t="shared" si="585"/>
        <v>0</v>
      </c>
      <c r="AM411" s="55">
        <f t="shared" si="585"/>
        <v>0</v>
      </c>
      <c r="AN411" s="55">
        <f t="shared" si="585"/>
        <v>0</v>
      </c>
      <c r="AO411" s="55">
        <f t="shared" si="585"/>
        <v>0</v>
      </c>
      <c r="AP411" s="55">
        <f t="shared" si="585"/>
        <v>0</v>
      </c>
      <c r="AQ411" s="55">
        <f t="shared" si="585"/>
        <v>0</v>
      </c>
      <c r="AR411" s="55">
        <f t="shared" ca="1" si="585"/>
        <v>1394322.7791763286</v>
      </c>
      <c r="AS411" s="55">
        <f t="shared" si="585"/>
        <v>0</v>
      </c>
      <c r="AT411" s="55">
        <f t="shared" si="585"/>
        <v>0</v>
      </c>
      <c r="AU411" s="55">
        <f ca="1">AR411</f>
        <v>1394322.7791763286</v>
      </c>
      <c r="AV411" s="7"/>
      <c r="AW411" s="49">
        <f t="shared" ca="1" si="586"/>
        <v>0.32473174146646655</v>
      </c>
      <c r="AX411" s="7"/>
      <c r="AY411" s="7"/>
      <c r="AZ411" s="7"/>
      <c r="BA411" s="7">
        <f t="shared" si="590"/>
        <v>11</v>
      </c>
      <c r="BB411" s="55">
        <f t="shared" si="587"/>
        <v>158086.92957750001</v>
      </c>
      <c r="BC411" s="7"/>
      <c r="BD411" s="49">
        <f t="shared" si="588"/>
        <v>8.6866904242483889E-2</v>
      </c>
      <c r="BE411" s="7"/>
      <c r="BF411" s="7">
        <f t="shared" si="591"/>
        <v>11</v>
      </c>
      <c r="BG411" s="7"/>
      <c r="BH411" s="7"/>
      <c r="BI411" s="7"/>
      <c r="BJ411" s="7"/>
      <c r="BK411" s="7"/>
      <c r="BL411" s="7"/>
      <c r="BM411" s="7"/>
      <c r="BN411" s="7"/>
    </row>
    <row r="412" spans="1:66" ht="13.5" hidden="1" customHeight="1" outlineLevel="1" x14ac:dyDescent="0.3">
      <c r="A412" s="7"/>
      <c r="B412" s="7"/>
      <c r="C412" s="154">
        <f t="shared" si="589"/>
        <v>2036</v>
      </c>
      <c r="D412" s="157">
        <f ca="1">-SUM(AI412:AS412)/AH412</f>
        <v>26.197382925320287</v>
      </c>
      <c r="E412" s="158">
        <f t="shared" ca="1" si="592"/>
        <v>0.34565130562701363</v>
      </c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104">
        <f t="shared" si="584"/>
        <v>-63234.771830999998</v>
      </c>
      <c r="AI412" s="55">
        <f t="shared" si="585"/>
        <v>0</v>
      </c>
      <c r="AJ412" s="55">
        <f t="shared" si="585"/>
        <v>0</v>
      </c>
      <c r="AK412" s="55">
        <f t="shared" si="585"/>
        <v>0</v>
      </c>
      <c r="AL412" s="55">
        <f t="shared" si="585"/>
        <v>0</v>
      </c>
      <c r="AM412" s="55">
        <f t="shared" si="585"/>
        <v>0</v>
      </c>
      <c r="AN412" s="55">
        <f t="shared" si="585"/>
        <v>0</v>
      </c>
      <c r="AO412" s="55">
        <f t="shared" si="585"/>
        <v>0</v>
      </c>
      <c r="AP412" s="55">
        <f t="shared" si="585"/>
        <v>0</v>
      </c>
      <c r="AQ412" s="55">
        <f t="shared" si="585"/>
        <v>0</v>
      </c>
      <c r="AR412" s="55">
        <f t="shared" si="585"/>
        <v>0</v>
      </c>
      <c r="AS412" s="55">
        <f t="shared" ca="1" si="585"/>
        <v>1656585.5318519636</v>
      </c>
      <c r="AT412" s="55">
        <f t="shared" si="585"/>
        <v>0</v>
      </c>
      <c r="AU412" s="55">
        <f>AR412</f>
        <v>0</v>
      </c>
      <c r="AV412" s="7"/>
      <c r="AW412" s="49">
        <f t="shared" si="586"/>
        <v>-1</v>
      </c>
      <c r="AX412" s="7"/>
      <c r="AY412" s="7"/>
      <c r="AZ412" s="7"/>
      <c r="BA412" s="7">
        <f t="shared" si="590"/>
        <v>12</v>
      </c>
      <c r="BB412" s="55">
        <f t="shared" si="587"/>
        <v>158086.92957750001</v>
      </c>
      <c r="BC412" s="7"/>
      <c r="BD412" s="49">
        <f t="shared" si="588"/>
        <v>7.9348438063776117E-2</v>
      </c>
      <c r="BE412" s="7"/>
      <c r="BF412" s="7">
        <f t="shared" si="591"/>
        <v>12</v>
      </c>
      <c r="BG412" s="7"/>
      <c r="BH412" s="7"/>
      <c r="BI412" s="7"/>
      <c r="BJ412" s="7"/>
      <c r="BK412" s="7"/>
      <c r="BL412" s="7"/>
      <c r="BM412" s="7"/>
      <c r="BN412" s="7"/>
    </row>
    <row r="413" spans="1:66" ht="13.5" customHeight="1" collapsed="1" x14ac:dyDescent="0.3">
      <c r="A413" s="7"/>
      <c r="B413" s="7"/>
      <c r="C413" s="143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</row>
    <row r="414" spans="1:66" ht="13.5" customHeight="1" x14ac:dyDescent="0.3">
      <c r="A414" s="7"/>
      <c r="B414" s="7"/>
      <c r="C414" s="7"/>
      <c r="D414" s="5" t="s">
        <v>337</v>
      </c>
      <c r="E414" s="5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</row>
    <row r="415" spans="1:66" ht="13.5" customHeight="1" x14ac:dyDescent="0.3">
      <c r="A415" s="7"/>
      <c r="B415" s="7"/>
      <c r="C415" s="159" t="s">
        <v>80</v>
      </c>
      <c r="D415" s="160">
        <f ca="1">SUM(AI388:AT388)</f>
        <v>458767.09103621426</v>
      </c>
      <c r="E415" s="161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</row>
    <row r="416" spans="1:66" ht="13.5" customHeight="1" x14ac:dyDescent="0.3">
      <c r="A416" s="7"/>
      <c r="B416" s="7"/>
      <c r="C416" s="159" t="s">
        <v>81</v>
      </c>
      <c r="D416" s="433">
        <f ca="1">IRR(AI385:AT385)</f>
        <v>0.17060884929013875</v>
      </c>
      <c r="E416" s="19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</row>
    <row r="417" spans="1:66" ht="13.5" customHeight="1" x14ac:dyDescent="0.3">
      <c r="A417" s="7"/>
      <c r="B417" s="7"/>
      <c r="C417" s="162" t="s">
        <v>82</v>
      </c>
      <c r="D417" s="163" cm="1">
        <f t="array" aca="1" ref="D417" ca="1">COUNTIF(AI386:AT386,"&lt;0")+INDEX(AI386:AT386,1,COUNTIF(AI386:AT386,"&lt;0"))/((INDEX(AI386:AT386,1,COUNTIF(AI386:AT386,"&lt;0"))*-1+INDEX(AI386:AT386,1,COUNTIF(AI386:AT386,"&lt;0")+1)))*-1</f>
        <v>7.2195121020897401</v>
      </c>
      <c r="E417" s="164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</row>
    <row r="418" spans="1:66" ht="13.5" customHeight="1" x14ac:dyDescent="0.3">
      <c r="A418" s="7"/>
      <c r="B418" s="7"/>
      <c r="C418" s="162" t="s">
        <v>83</v>
      </c>
      <c r="D418" s="163" cm="1">
        <f t="array" aca="1" ref="D418" ca="1">COUNTIF(AI389:AT389,"&lt;0")+INDEX(AI389:AT389,1,COUNTIF(AI389:AT389,"&lt;0"))/((INDEX(AI389:AT389,1,COUNTIF(AI389:AT389,"&lt;0"))*-1+INDEX(AI389:AT389,1,COUNTIF(AI389:AT389,"&lt;0")+1)))*-1</f>
        <v>8.150758997801768</v>
      </c>
      <c r="E418" s="164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</row>
    <row r="419" spans="1:66" ht="13.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</row>
    <row r="420" spans="1:66" ht="13.5" customHeight="1" x14ac:dyDescent="0.3">
      <c r="A420" s="10"/>
      <c r="B420" s="10"/>
      <c r="C420" s="10" t="s">
        <v>338</v>
      </c>
      <c r="D420" s="15" t="s">
        <v>4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8">
        <f t="shared" ref="AI420:AT420" si="593">IF(AI57=AI41,AI391,0)*AI387</f>
        <v>0</v>
      </c>
      <c r="AJ420" s="8">
        <f t="shared" si="593"/>
        <v>0</v>
      </c>
      <c r="AK420" s="8">
        <f t="shared" ca="1" si="593"/>
        <v>0</v>
      </c>
      <c r="AL420" s="8">
        <f t="shared" ca="1" si="593"/>
        <v>0</v>
      </c>
      <c r="AM420" s="8">
        <f t="shared" ca="1" si="593"/>
        <v>394021.56737051235</v>
      </c>
      <c r="AN420" s="8">
        <f t="shared" ca="1" si="593"/>
        <v>409907.20749257191</v>
      </c>
      <c r="AO420" s="8">
        <f t="shared" ca="1" si="593"/>
        <v>417652.92688819702</v>
      </c>
      <c r="AP420" s="8">
        <f t="shared" ca="1" si="593"/>
        <v>421604.77994084341</v>
      </c>
      <c r="AQ420" s="8">
        <f t="shared" ca="1" si="593"/>
        <v>423605.26849723462</v>
      </c>
      <c r="AR420" s="8">
        <f t="shared" ca="1" si="593"/>
        <v>423617.0555894266</v>
      </c>
      <c r="AS420" s="8">
        <f t="shared" ca="1" si="593"/>
        <v>419632.34449064353</v>
      </c>
      <c r="AT420" s="8">
        <f t="shared" ca="1" si="593"/>
        <v>415685.11517483229</v>
      </c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</row>
    <row r="421" spans="1:66" ht="13.5" customHeight="1" x14ac:dyDescent="0.3">
      <c r="A421" s="7"/>
      <c r="B421" s="7"/>
      <c r="C421" s="10" t="s">
        <v>339</v>
      </c>
      <c r="D421" s="15" t="s">
        <v>4</v>
      </c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8">
        <f t="shared" ref="AI421:AT421" si="594">IF(AI57=AI41,AI389,0)</f>
        <v>0</v>
      </c>
      <c r="AJ421" s="8">
        <f t="shared" si="594"/>
        <v>0</v>
      </c>
      <c r="AK421" s="8">
        <f t="shared" ca="1" si="594"/>
        <v>0</v>
      </c>
      <c r="AL421" s="8">
        <f t="shared" ca="1" si="594"/>
        <v>0</v>
      </c>
      <c r="AM421" s="8">
        <f t="shared" ca="1" si="594"/>
        <v>-365730.73925376282</v>
      </c>
      <c r="AN421" s="8">
        <f t="shared" ca="1" si="594"/>
        <v>-253589.87919473913</v>
      </c>
      <c r="AO421" s="8">
        <f t="shared" ca="1" si="594"/>
        <v>-136702.03049331353</v>
      </c>
      <c r="AP421" s="8">
        <f t="shared" ca="1" si="594"/>
        <v>-18018.945864945068</v>
      </c>
      <c r="AQ421" s="8">
        <f t="shared" ca="1" si="594"/>
        <v>101502.5827182975</v>
      </c>
      <c r="AR421" s="8">
        <f t="shared" ca="1" si="594"/>
        <v>221301.30454423383</v>
      </c>
      <c r="AS421" s="8">
        <f t="shared" ca="1" si="594"/>
        <v>340642.65820873069</v>
      </c>
      <c r="AT421" s="8">
        <f t="shared" ca="1" si="594"/>
        <v>458767.09103621426</v>
      </c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</row>
    <row r="422" spans="1:66" ht="13.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</row>
    <row r="423" spans="1:66" ht="13.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</row>
    <row r="424" spans="1:66" ht="13.5" customHeight="1" x14ac:dyDescent="0.3">
      <c r="A424" s="2" t="s">
        <v>0</v>
      </c>
      <c r="B424" s="3" t="s">
        <v>651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</row>
    <row r="425" spans="1:66" ht="13.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</row>
    <row r="426" spans="1:66" ht="13.5" customHeight="1" x14ac:dyDescent="0.3">
      <c r="A426" s="7"/>
      <c r="B426" s="5" t="s">
        <v>650</v>
      </c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137">
        <f>AI444</f>
        <v>2026</v>
      </c>
      <c r="AJ426" s="137">
        <f t="shared" ref="AJ426:AS426" si="595">AJ444</f>
        <v>2027</v>
      </c>
      <c r="AK426" s="137">
        <f t="shared" si="595"/>
        <v>2028</v>
      </c>
      <c r="AL426" s="137">
        <f t="shared" si="595"/>
        <v>2029</v>
      </c>
      <c r="AM426" s="137">
        <f t="shared" si="595"/>
        <v>2030</v>
      </c>
      <c r="AN426" s="137">
        <f t="shared" si="595"/>
        <v>2031</v>
      </c>
      <c r="AO426" s="137">
        <f t="shared" si="595"/>
        <v>2032</v>
      </c>
      <c r="AP426" s="137">
        <f t="shared" si="595"/>
        <v>2033</v>
      </c>
      <c r="AQ426" s="137">
        <f t="shared" si="595"/>
        <v>2034</v>
      </c>
      <c r="AR426" s="137">
        <f t="shared" si="595"/>
        <v>2035</v>
      </c>
      <c r="AS426" s="137">
        <f t="shared" si="595"/>
        <v>2036</v>
      </c>
      <c r="AT426" s="137">
        <f t="shared" ref="AT426" si="596">AT444</f>
        <v>2037</v>
      </c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</row>
    <row r="427" spans="1:66" ht="13.5" customHeight="1" x14ac:dyDescent="0.3">
      <c r="A427" s="7"/>
      <c r="B427" s="7"/>
      <c r="C427" s="7" t="s">
        <v>639</v>
      </c>
      <c r="D427" s="7" t="s">
        <v>4</v>
      </c>
      <c r="E427" s="7"/>
      <c r="F427" s="10" t="s">
        <v>640</v>
      </c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327">
        <f t="shared" ref="AI427:AT427" ca="1" si="597">AI243*AI428</f>
        <v>33109.589687177577</v>
      </c>
      <c r="AJ427" s="327">
        <f t="shared" ca="1" si="597"/>
        <v>-24411.518267009655</v>
      </c>
      <c r="AK427" s="327">
        <f t="shared" ca="1" si="597"/>
        <v>30351.15581696239</v>
      </c>
      <c r="AL427" s="327">
        <f t="shared" ca="1" si="597"/>
        <v>52695.600439420305</v>
      </c>
      <c r="AM427" s="327">
        <f t="shared" ca="1" si="597"/>
        <v>89003.238836817385</v>
      </c>
      <c r="AN427" s="327">
        <f t="shared" ca="1" si="597"/>
        <v>198661.25497344209</v>
      </c>
      <c r="AO427" s="327">
        <f t="shared" ca="1" si="597"/>
        <v>220683.05197567388</v>
      </c>
      <c r="AP427" s="327">
        <f t="shared" ca="1" si="597"/>
        <v>236130.73269024712</v>
      </c>
      <c r="AQ427" s="327">
        <f t="shared" ca="1" si="597"/>
        <v>251438.31922719636</v>
      </c>
      <c r="AR427" s="327">
        <f t="shared" ca="1" si="597"/>
        <v>266453.98906801239</v>
      </c>
      <c r="AS427" s="327">
        <f t="shared" ca="1" si="597"/>
        <v>279711.58170886041</v>
      </c>
      <c r="AT427" s="327">
        <f t="shared" ca="1" si="597"/>
        <v>293599.81366203685</v>
      </c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</row>
    <row r="428" spans="1:66" ht="13.5" customHeight="1" x14ac:dyDescent="0.3">
      <c r="A428" s="7"/>
      <c r="B428" s="7"/>
      <c r="C428" s="7" t="s">
        <v>641</v>
      </c>
      <c r="D428" s="7" t="s">
        <v>4</v>
      </c>
      <c r="E428" s="332">
        <v>1</v>
      </c>
      <c r="F428" s="325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362">
        <f>E428</f>
        <v>1</v>
      </c>
      <c r="AJ428" s="362">
        <f>AI428</f>
        <v>1</v>
      </c>
      <c r="AK428" s="362">
        <f t="shared" ref="AK428:AS428" si="598">AJ428</f>
        <v>1</v>
      </c>
      <c r="AL428" s="362">
        <f t="shared" si="598"/>
        <v>1</v>
      </c>
      <c r="AM428" s="362">
        <f t="shared" si="598"/>
        <v>1</v>
      </c>
      <c r="AN428" s="362">
        <f t="shared" si="598"/>
        <v>1</v>
      </c>
      <c r="AO428" s="362">
        <f t="shared" si="598"/>
        <v>1</v>
      </c>
      <c r="AP428" s="362">
        <f t="shared" si="598"/>
        <v>1</v>
      </c>
      <c r="AQ428" s="362">
        <f t="shared" si="598"/>
        <v>1</v>
      </c>
      <c r="AR428" s="362">
        <f t="shared" si="598"/>
        <v>1</v>
      </c>
      <c r="AS428" s="362">
        <f t="shared" si="598"/>
        <v>1</v>
      </c>
      <c r="AT428" s="362">
        <f t="shared" ref="AT428" si="599">AS428</f>
        <v>1</v>
      </c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</row>
    <row r="429" spans="1:66" ht="13.5" customHeight="1" x14ac:dyDescent="0.3">
      <c r="A429" s="7"/>
      <c r="B429" s="7"/>
      <c r="C429" s="7" t="s">
        <v>688</v>
      </c>
      <c r="D429" s="7" t="s">
        <v>4</v>
      </c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327">
        <f t="shared" ref="AI429:AT429" ca="1" si="600">AI126</f>
        <v>236948.0865084375</v>
      </c>
      <c r="AJ429" s="327">
        <f t="shared" ca="1" si="600"/>
        <v>220352.57098613499</v>
      </c>
      <c r="AK429" s="327">
        <f t="shared" ca="1" si="600"/>
        <v>285911.07181282237</v>
      </c>
      <c r="AL429" s="327">
        <f t="shared" ca="1" si="600"/>
        <v>385783.74047427869</v>
      </c>
      <c r="AM429" s="327">
        <f t="shared" ca="1" si="600"/>
        <v>509605.60173818888</v>
      </c>
      <c r="AN429" s="327">
        <f t="shared" ca="1" si="600"/>
        <v>561944.64188362507</v>
      </c>
      <c r="AO429" s="327">
        <f t="shared" ca="1" si="600"/>
        <v>606900.21323431516</v>
      </c>
      <c r="AP429" s="327">
        <f t="shared" ca="1" si="600"/>
        <v>649383.22816071729</v>
      </c>
      <c r="AQ429" s="327">
        <f t="shared" ca="1" si="600"/>
        <v>691593.13799116376</v>
      </c>
      <c r="AR429" s="327">
        <f t="shared" ca="1" si="600"/>
        <v>733088.72627063363</v>
      </c>
      <c r="AS429" s="327">
        <f t="shared" ca="1" si="600"/>
        <v>769743.16258416534</v>
      </c>
      <c r="AT429" s="327">
        <f t="shared" ca="1" si="600"/>
        <v>808230.3207133736</v>
      </c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</row>
    <row r="430" spans="1:66" ht="13.5" customHeight="1" x14ac:dyDescent="0.3">
      <c r="A430" s="7"/>
      <c r="B430" s="5" t="s">
        <v>642</v>
      </c>
      <c r="C430" s="5"/>
      <c r="D430" s="5" t="s">
        <v>4</v>
      </c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329">
        <f ca="1">AI427+AI429</f>
        <v>270057.67619561509</v>
      </c>
      <c r="AJ430" s="329">
        <f t="shared" ref="AJ430:AT430" ca="1" si="601">AJ427+AJ429</f>
        <v>195941.05271912535</v>
      </c>
      <c r="AK430" s="329">
        <f t="shared" ca="1" si="601"/>
        <v>316262.22762978473</v>
      </c>
      <c r="AL430" s="329">
        <f t="shared" ca="1" si="601"/>
        <v>438479.34091369901</v>
      </c>
      <c r="AM430" s="329">
        <f t="shared" ca="1" si="601"/>
        <v>598608.84057500632</v>
      </c>
      <c r="AN430" s="329">
        <f t="shared" ca="1" si="601"/>
        <v>760605.89685706713</v>
      </c>
      <c r="AO430" s="329">
        <f t="shared" ca="1" si="601"/>
        <v>827583.26520998904</v>
      </c>
      <c r="AP430" s="329">
        <f t="shared" ca="1" si="601"/>
        <v>885513.96085096442</v>
      </c>
      <c r="AQ430" s="329">
        <f t="shared" ca="1" si="601"/>
        <v>943031.45721836016</v>
      </c>
      <c r="AR430" s="329">
        <f t="shared" ca="1" si="601"/>
        <v>999542.71533864597</v>
      </c>
      <c r="AS430" s="329">
        <f t="shared" ca="1" si="601"/>
        <v>1049454.7442930257</v>
      </c>
      <c r="AT430" s="329">
        <f t="shared" ca="1" si="601"/>
        <v>1101830.1343754104</v>
      </c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</row>
    <row r="431" spans="1:66" ht="13.5" customHeight="1" x14ac:dyDescent="0.3">
      <c r="A431" s="7"/>
      <c r="B431" s="5"/>
      <c r="C431" s="7" t="s">
        <v>643</v>
      </c>
      <c r="D431" s="7" t="s">
        <v>4</v>
      </c>
      <c r="E431" s="7"/>
      <c r="F431" s="10" t="s">
        <v>646</v>
      </c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327">
        <f t="shared" ref="AI431:AT431" ca="1" si="602">AI348</f>
        <v>34683.594534919139</v>
      </c>
      <c r="AJ431" s="327">
        <f t="shared" ca="1" si="602"/>
        <v>35004.147753126927</v>
      </c>
      <c r="AK431" s="327">
        <f t="shared" ca="1" si="602"/>
        <v>17543.26270860765</v>
      </c>
      <c r="AL431" s="327">
        <f t="shared" ca="1" si="602"/>
        <v>9283.2010030312485</v>
      </c>
      <c r="AM431" s="327">
        <f t="shared" ca="1" si="602"/>
        <v>73876.511617586468</v>
      </c>
      <c r="AN431" s="327">
        <f t="shared" ca="1" si="602"/>
        <v>189897.68800609239</v>
      </c>
      <c r="AO431" s="327">
        <f t="shared" ca="1" si="602"/>
        <v>315597.82630668173</v>
      </c>
      <c r="AP431" s="327">
        <f t="shared" ca="1" si="602"/>
        <v>454560.55075987044</v>
      </c>
      <c r="AQ431" s="327">
        <f t="shared" ca="1" si="602"/>
        <v>469907.72281637718</v>
      </c>
      <c r="AR431" s="327">
        <f t="shared" ca="1" si="602"/>
        <v>496916.52004642738</v>
      </c>
      <c r="AS431" s="327">
        <f t="shared" ca="1" si="602"/>
        <v>667931.23860104987</v>
      </c>
      <c r="AT431" s="327">
        <f t="shared" ca="1" si="602"/>
        <v>897604.48102178972</v>
      </c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</row>
    <row r="432" spans="1:66" ht="13.5" customHeight="1" x14ac:dyDescent="0.3">
      <c r="A432" s="7"/>
      <c r="B432" s="5"/>
      <c r="C432" s="7" t="s">
        <v>644</v>
      </c>
      <c r="D432" s="7" t="s">
        <v>4</v>
      </c>
      <c r="E432" s="7"/>
      <c r="F432" s="10" t="s">
        <v>646</v>
      </c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327">
        <f t="shared" ref="AI432:AT432" si="603">-AI267</f>
        <v>-358330.37370900001</v>
      </c>
      <c r="AJ432" s="327">
        <f t="shared" si="603"/>
        <v>-358330.37370900001</v>
      </c>
      <c r="AK432" s="327">
        <f t="shared" si="603"/>
        <v>-318914.03260101</v>
      </c>
      <c r="AL432" s="327">
        <f t="shared" si="603"/>
        <v>-279497.69149301999</v>
      </c>
      <c r="AM432" s="327">
        <f t="shared" si="603"/>
        <v>-240081.35038502997</v>
      </c>
      <c r="AN432" s="327">
        <f t="shared" si="603"/>
        <v>-200665.00927703996</v>
      </c>
      <c r="AO432" s="327">
        <f t="shared" si="603"/>
        <v>-161248.66816904995</v>
      </c>
      <c r="AP432" s="327">
        <f t="shared" si="603"/>
        <v>-121832.32706105994</v>
      </c>
      <c r="AQ432" s="327">
        <f t="shared" si="603"/>
        <v>-82415.985953069932</v>
      </c>
      <c r="AR432" s="327">
        <f t="shared" si="603"/>
        <v>-42999.644845079929</v>
      </c>
      <c r="AS432" s="327">
        <f t="shared" si="603"/>
        <v>7.2759576141834259E-11</v>
      </c>
      <c r="AT432" s="327">
        <f t="shared" si="603"/>
        <v>7.2759576141834259E-11</v>
      </c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</row>
    <row r="433" spans="1:66" ht="13.5" customHeight="1" x14ac:dyDescent="0.3">
      <c r="A433" s="7"/>
      <c r="B433" s="5"/>
      <c r="C433" s="7" t="s">
        <v>645</v>
      </c>
      <c r="D433" s="7" t="s">
        <v>4</v>
      </c>
      <c r="E433" s="7"/>
      <c r="F433" s="10" t="s">
        <v>646</v>
      </c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327">
        <f t="shared" ref="AI433:AT433" ca="1" si="604">-AI266</f>
        <v>-16062.139473125866</v>
      </c>
      <c r="AJ433" s="327">
        <f t="shared" ca="1" si="604"/>
        <v>-49110.677619200171</v>
      </c>
      <c r="AK433" s="327">
        <f t="shared" ca="1" si="604"/>
        <v>-72559.12829507151</v>
      </c>
      <c r="AL433" s="327">
        <f t="shared" ca="1" si="604"/>
        <v>-130989.04000017836</v>
      </c>
      <c r="AM433" s="327">
        <f t="shared" ca="1" si="604"/>
        <v>-199222.36794531834</v>
      </c>
      <c r="AN433" s="327">
        <f t="shared" ca="1" si="604"/>
        <v>-224475.33989894463</v>
      </c>
      <c r="AO433" s="327">
        <f t="shared" ca="1" si="604"/>
        <v>-242605.35620007719</v>
      </c>
      <c r="AP433" s="327">
        <f t="shared" ca="1" si="604"/>
        <v>-260297.26514005766</v>
      </c>
      <c r="AQ433" s="327">
        <f t="shared" ca="1" si="604"/>
        <v>-134423.33074478788</v>
      </c>
      <c r="AR433" s="327">
        <f t="shared" ca="1" si="604"/>
        <v>0</v>
      </c>
      <c r="AS433" s="327">
        <f t="shared" ca="1" si="604"/>
        <v>0</v>
      </c>
      <c r="AT433" s="327">
        <f t="shared" ca="1" si="604"/>
        <v>0</v>
      </c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</row>
    <row r="434" spans="1:66" ht="13.5" customHeight="1" x14ac:dyDescent="0.3">
      <c r="A434" s="7"/>
      <c r="B434" s="5" t="s">
        <v>647</v>
      </c>
      <c r="C434" s="5"/>
      <c r="D434" s="5" t="s">
        <v>4</v>
      </c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329">
        <f t="shared" ref="AI434:AT434" ca="1" si="605">AI430+SUM(AI431:AI433)</f>
        <v>-69651.24245159165</v>
      </c>
      <c r="AJ434" s="329">
        <f t="shared" ca="1" si="605"/>
        <v>-176495.85085594788</v>
      </c>
      <c r="AK434" s="329">
        <f t="shared" ca="1" si="605"/>
        <v>-57667.670557689155</v>
      </c>
      <c r="AL434" s="329">
        <f t="shared" ca="1" si="605"/>
        <v>37275.810423531919</v>
      </c>
      <c r="AM434" s="329">
        <f t="shared" ca="1" si="605"/>
        <v>233181.63386224449</v>
      </c>
      <c r="AN434" s="329">
        <f t="shared" ca="1" si="605"/>
        <v>525363.23568717495</v>
      </c>
      <c r="AO434" s="329">
        <f t="shared" ca="1" si="605"/>
        <v>739327.06714754365</v>
      </c>
      <c r="AP434" s="329">
        <f t="shared" ca="1" si="605"/>
        <v>957944.9194097172</v>
      </c>
      <c r="AQ434" s="329">
        <f t="shared" ca="1" si="605"/>
        <v>1196099.8633368795</v>
      </c>
      <c r="AR434" s="329">
        <f t="shared" ca="1" si="605"/>
        <v>1453459.5905399935</v>
      </c>
      <c r="AS434" s="329">
        <f t="shared" ca="1" si="605"/>
        <v>1717385.9828940756</v>
      </c>
      <c r="AT434" s="329">
        <f t="shared" ca="1" si="605"/>
        <v>1999434.6153972002</v>
      </c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</row>
    <row r="435" spans="1:66" ht="13.5" customHeight="1" x14ac:dyDescent="0.3">
      <c r="A435" s="7"/>
      <c r="B435" s="5"/>
      <c r="C435" s="5"/>
      <c r="D435" s="5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328"/>
      <c r="AJ435" s="328"/>
      <c r="AK435" s="328"/>
      <c r="AL435" s="328"/>
      <c r="AM435" s="328"/>
      <c r="AN435" s="328"/>
      <c r="AO435" s="328"/>
      <c r="AP435" s="328"/>
      <c r="AQ435" s="328"/>
      <c r="AR435" s="328"/>
      <c r="AS435" s="328"/>
      <c r="AT435" s="328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</row>
    <row r="436" spans="1:66" ht="13.5" customHeight="1" x14ac:dyDescent="0.3">
      <c r="A436" s="7"/>
      <c r="B436" s="5" t="s">
        <v>648</v>
      </c>
      <c r="C436" s="5"/>
      <c r="D436" s="5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333">
        <f>AI444</f>
        <v>2026</v>
      </c>
      <c r="AJ436" s="333">
        <f t="shared" ref="AJ436:AS436" si="606">AJ444</f>
        <v>2027</v>
      </c>
      <c r="AK436" s="333">
        <f t="shared" si="606"/>
        <v>2028</v>
      </c>
      <c r="AL436" s="333">
        <f t="shared" si="606"/>
        <v>2029</v>
      </c>
      <c r="AM436" s="333">
        <f t="shared" si="606"/>
        <v>2030</v>
      </c>
      <c r="AN436" s="333">
        <f t="shared" si="606"/>
        <v>2031</v>
      </c>
      <c r="AO436" s="333">
        <f t="shared" si="606"/>
        <v>2032</v>
      </c>
      <c r="AP436" s="333">
        <f t="shared" si="606"/>
        <v>2033</v>
      </c>
      <c r="AQ436" s="333">
        <f t="shared" si="606"/>
        <v>2034</v>
      </c>
      <c r="AR436" s="333">
        <f t="shared" si="606"/>
        <v>2035</v>
      </c>
      <c r="AS436" s="333">
        <f t="shared" si="606"/>
        <v>2036</v>
      </c>
      <c r="AT436" s="333">
        <f t="shared" ref="AT436" si="607">AT444</f>
        <v>2037</v>
      </c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</row>
    <row r="437" spans="1:66" ht="13.5" customHeight="1" x14ac:dyDescent="0.3">
      <c r="A437" s="7"/>
      <c r="B437" s="5"/>
      <c r="C437" s="5" t="s">
        <v>649</v>
      </c>
      <c r="D437" s="7" t="s">
        <v>4</v>
      </c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327">
        <f t="shared" ref="AI437:AN437" ca="1" si="608">AI434</f>
        <v>-69651.24245159165</v>
      </c>
      <c r="AJ437" s="327">
        <f t="shared" ca="1" si="608"/>
        <v>-176495.85085594788</v>
      </c>
      <c r="AK437" s="327">
        <f t="shared" ca="1" si="608"/>
        <v>-57667.670557689155</v>
      </c>
      <c r="AL437" s="327">
        <f t="shared" ca="1" si="608"/>
        <v>37275.810423531919</v>
      </c>
      <c r="AM437" s="327">
        <f t="shared" ca="1" si="608"/>
        <v>233181.63386224449</v>
      </c>
      <c r="AN437" s="327">
        <f t="shared" ca="1" si="608"/>
        <v>525363.23568717495</v>
      </c>
      <c r="AO437" s="327">
        <f ca="1">AO434</f>
        <v>739327.06714754365</v>
      </c>
      <c r="AP437" s="327">
        <f t="shared" ref="AP437:AT437" ca="1" si="609">AP434</f>
        <v>957944.9194097172</v>
      </c>
      <c r="AQ437" s="327">
        <f t="shared" ca="1" si="609"/>
        <v>1196099.8633368795</v>
      </c>
      <c r="AR437" s="327">
        <f t="shared" ca="1" si="609"/>
        <v>1453459.5905399935</v>
      </c>
      <c r="AS437" s="327">
        <f t="shared" ca="1" si="609"/>
        <v>1717385.9828940756</v>
      </c>
      <c r="AT437" s="327">
        <f t="shared" ca="1" si="609"/>
        <v>1999434.6153972002</v>
      </c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</row>
    <row r="438" spans="1:66" ht="13.5" customHeight="1" x14ac:dyDescent="0.3">
      <c r="A438" s="7"/>
      <c r="B438" s="5"/>
      <c r="C438" s="5" t="s">
        <v>654</v>
      </c>
      <c r="D438" s="7" t="s">
        <v>4</v>
      </c>
      <c r="E438" s="330">
        <f>Input!F39</f>
        <v>63234.771830999998</v>
      </c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327">
        <f t="shared" ref="AI438:AT438" si="610">$E$438</f>
        <v>63234.771830999998</v>
      </c>
      <c r="AJ438" s="327">
        <f t="shared" si="610"/>
        <v>63234.771830999998</v>
      </c>
      <c r="AK438" s="327">
        <f t="shared" si="610"/>
        <v>63234.771830999998</v>
      </c>
      <c r="AL438" s="327">
        <f t="shared" si="610"/>
        <v>63234.771830999998</v>
      </c>
      <c r="AM438" s="327">
        <f t="shared" si="610"/>
        <v>63234.771830999998</v>
      </c>
      <c r="AN438" s="327">
        <f t="shared" si="610"/>
        <v>63234.771830999998</v>
      </c>
      <c r="AO438" s="327">
        <f t="shared" si="610"/>
        <v>63234.771830999998</v>
      </c>
      <c r="AP438" s="327">
        <f t="shared" si="610"/>
        <v>63234.771830999998</v>
      </c>
      <c r="AQ438" s="327">
        <f t="shared" si="610"/>
        <v>63234.771830999998</v>
      </c>
      <c r="AR438" s="327">
        <f t="shared" si="610"/>
        <v>63234.771830999998</v>
      </c>
      <c r="AS438" s="327">
        <f t="shared" si="610"/>
        <v>63234.771830999998</v>
      </c>
      <c r="AT438" s="327">
        <f t="shared" si="610"/>
        <v>63234.771830999998</v>
      </c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</row>
    <row r="439" spans="1:66" ht="13.5" customHeight="1" x14ac:dyDescent="0.3">
      <c r="A439" s="7"/>
      <c r="B439" s="5" t="s">
        <v>652</v>
      </c>
      <c r="C439" s="5"/>
      <c r="D439" s="7" t="s">
        <v>655</v>
      </c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362" t="str">
        <f ca="1">IF(AI437/AI438&lt;0,"-",AI437/AI438)</f>
        <v>-</v>
      </c>
      <c r="AJ439" s="362" t="str">
        <f ca="1">IF(AJ437/AJ438&lt;0,"-",AJ437/AJ438)</f>
        <v>-</v>
      </c>
      <c r="AK439" s="362" t="str">
        <f ca="1">IF(AK437/AK438&lt;0,"-",AK437/AK438)</f>
        <v>-</v>
      </c>
      <c r="AL439" s="362">
        <f ca="1">IF(AL437/AL438&lt;0,"-",AL437/AL438)</f>
        <v>0.58948280106322692</v>
      </c>
      <c r="AM439" s="362">
        <f ca="1">IF(AM437/AM438&lt;0,"-",AM437/AM438)</f>
        <v>3.6875539692851445</v>
      </c>
      <c r="AN439" s="362">
        <f t="shared" ref="AN439:AT439" ca="1" si="611">IF(AN437/AN438&lt;0,"-",AN437/AN438)</f>
        <v>8.3081383940350158</v>
      </c>
      <c r="AO439" s="362">
        <f ca="1">IF(AO437/AO438&lt;0,"-",AO437/AO438)</f>
        <v>11.691780419852776</v>
      </c>
      <c r="AP439" s="362">
        <f t="shared" ca="1" si="611"/>
        <v>15.149021522049638</v>
      </c>
      <c r="AQ439" s="362">
        <f t="shared" ca="1" si="611"/>
        <v>18.915223834974093</v>
      </c>
      <c r="AR439" s="362">
        <f t="shared" ca="1" si="611"/>
        <v>22.985132205813613</v>
      </c>
      <c r="AS439" s="362">
        <f t="shared" ca="1" si="611"/>
        <v>27.158886371629954</v>
      </c>
      <c r="AT439" s="362">
        <f t="shared" ca="1" si="611"/>
        <v>31.619227167306775</v>
      </c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</row>
    <row r="440" spans="1:66" ht="13.5" customHeight="1" x14ac:dyDescent="0.3">
      <c r="A440" s="7"/>
      <c r="B440" s="5" t="s">
        <v>336</v>
      </c>
      <c r="C440" s="5"/>
      <c r="D440" s="7" t="s">
        <v>10</v>
      </c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331" t="str">
        <f t="shared" ref="AI440:AT440" ca="1" si="612">IFERROR((AI439^(1/YEARFRAC($F$5,AI39,1))-1),"-")</f>
        <v>-</v>
      </c>
      <c r="AJ440" s="331" t="str">
        <f t="shared" ca="1" si="612"/>
        <v>-</v>
      </c>
      <c r="AK440" s="331" t="str">
        <f t="shared" ca="1" si="612"/>
        <v>-</v>
      </c>
      <c r="AL440" s="331">
        <f t="shared" ca="1" si="612"/>
        <v>-0.14656665260237856</v>
      </c>
      <c r="AM440" s="331">
        <f t="shared" ca="1" si="612"/>
        <v>0.35128583946681879</v>
      </c>
      <c r="AN440" s="331">
        <f t="shared" ca="1" si="612"/>
        <v>0.48719395861854542</v>
      </c>
      <c r="AO440" s="331">
        <f t="shared" ca="1" si="612"/>
        <v>0.47426164257645609</v>
      </c>
      <c r="AP440" s="331">
        <f t="shared" ca="1" si="612"/>
        <v>0.44854333647348366</v>
      </c>
      <c r="AQ440" s="331">
        <f t="shared" ca="1" si="612"/>
        <v>0.42296147814569385</v>
      </c>
      <c r="AR440" s="331">
        <f t="shared" ca="1" si="612"/>
        <v>0.39910192347793583</v>
      </c>
      <c r="AS440" s="331">
        <f t="shared" ca="1" si="612"/>
        <v>0.37640656960471186</v>
      </c>
      <c r="AT440" s="331">
        <f t="shared" ca="1" si="612"/>
        <v>0.35622784160758414</v>
      </c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</row>
    <row r="441" spans="1:66" ht="13.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</row>
    <row r="442" spans="1:66" ht="13.5" customHeight="1" x14ac:dyDescent="0.3">
      <c r="A442" s="2" t="s">
        <v>0</v>
      </c>
      <c r="B442" s="3" t="s">
        <v>340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</row>
    <row r="443" spans="1:66" ht="14.2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</row>
    <row r="444" spans="1:66" ht="14.25" customHeight="1" x14ac:dyDescent="0.3">
      <c r="A444" s="7"/>
      <c r="B444" s="5" t="s">
        <v>341</v>
      </c>
      <c r="C444" s="7"/>
      <c r="D444" s="7"/>
      <c r="E444" s="7"/>
      <c r="F444" s="7"/>
      <c r="G444" s="7"/>
      <c r="H444" s="7"/>
      <c r="I444" s="7"/>
      <c r="J444" s="79">
        <f t="shared" ref="J444:AG444" si="613">J319</f>
        <v>46265</v>
      </c>
      <c r="K444" s="79">
        <f t="shared" si="613"/>
        <v>46295</v>
      </c>
      <c r="L444" s="79">
        <f t="shared" si="613"/>
        <v>46325</v>
      </c>
      <c r="M444" s="79">
        <f t="shared" si="613"/>
        <v>46356</v>
      </c>
      <c r="N444" s="79">
        <f t="shared" si="613"/>
        <v>46386</v>
      </c>
      <c r="O444" s="79">
        <f t="shared" si="613"/>
        <v>46417</v>
      </c>
      <c r="P444" s="79">
        <f t="shared" si="613"/>
        <v>46446</v>
      </c>
      <c r="Q444" s="79">
        <f t="shared" si="613"/>
        <v>46474</v>
      </c>
      <c r="R444" s="79">
        <f t="shared" si="613"/>
        <v>46505</v>
      </c>
      <c r="S444" s="79">
        <f t="shared" si="613"/>
        <v>46535</v>
      </c>
      <c r="T444" s="79">
        <f t="shared" si="613"/>
        <v>46566</v>
      </c>
      <c r="U444" s="79">
        <f t="shared" si="613"/>
        <v>46596</v>
      </c>
      <c r="V444" s="79">
        <f t="shared" si="613"/>
        <v>46627</v>
      </c>
      <c r="W444" s="79">
        <f t="shared" si="613"/>
        <v>46658</v>
      </c>
      <c r="X444" s="79">
        <f t="shared" si="613"/>
        <v>46688</v>
      </c>
      <c r="Y444" s="79">
        <f t="shared" si="613"/>
        <v>46719</v>
      </c>
      <c r="Z444" s="79">
        <f t="shared" si="613"/>
        <v>46749</v>
      </c>
      <c r="AA444" s="79">
        <f t="shared" si="613"/>
        <v>46780</v>
      </c>
      <c r="AB444" s="79">
        <f t="shared" si="613"/>
        <v>46811</v>
      </c>
      <c r="AC444" s="79">
        <f t="shared" si="613"/>
        <v>46840</v>
      </c>
      <c r="AD444" s="79">
        <f t="shared" si="613"/>
        <v>46871</v>
      </c>
      <c r="AE444" s="79">
        <f t="shared" si="613"/>
        <v>46901</v>
      </c>
      <c r="AF444" s="79">
        <f t="shared" si="613"/>
        <v>46932</v>
      </c>
      <c r="AG444" s="79">
        <f t="shared" si="613"/>
        <v>46962</v>
      </c>
      <c r="AH444" s="7"/>
      <c r="AI444" s="137">
        <f t="shared" ref="AI444:AT444" si="614">AI384</f>
        <v>2026</v>
      </c>
      <c r="AJ444" s="137">
        <f t="shared" si="614"/>
        <v>2027</v>
      </c>
      <c r="AK444" s="137">
        <f t="shared" si="614"/>
        <v>2028</v>
      </c>
      <c r="AL444" s="137">
        <f t="shared" si="614"/>
        <v>2029</v>
      </c>
      <c r="AM444" s="137">
        <f t="shared" si="614"/>
        <v>2030</v>
      </c>
      <c r="AN444" s="137">
        <f t="shared" si="614"/>
        <v>2031</v>
      </c>
      <c r="AO444" s="137">
        <f t="shared" si="614"/>
        <v>2032</v>
      </c>
      <c r="AP444" s="137">
        <f t="shared" si="614"/>
        <v>2033</v>
      </c>
      <c r="AQ444" s="137">
        <f t="shared" si="614"/>
        <v>2034</v>
      </c>
      <c r="AR444" s="137">
        <f t="shared" si="614"/>
        <v>2035</v>
      </c>
      <c r="AS444" s="137">
        <f t="shared" si="614"/>
        <v>2036</v>
      </c>
      <c r="AT444" s="137">
        <f t="shared" si="614"/>
        <v>2037</v>
      </c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</row>
    <row r="445" spans="1:66" ht="14.25" customHeight="1" x14ac:dyDescent="0.3">
      <c r="A445" s="7"/>
      <c r="B445" s="5" t="s">
        <v>342</v>
      </c>
      <c r="C445" s="7"/>
      <c r="D445" s="7"/>
      <c r="E445" s="15" t="s">
        <v>4</v>
      </c>
      <c r="F445" s="7"/>
      <c r="G445" s="7"/>
      <c r="H445" s="7"/>
      <c r="I445" s="7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7"/>
      <c r="AI445" s="8">
        <f>-(AI331+AI330)</f>
        <v>244825.14554</v>
      </c>
      <c r="AJ445" s="8">
        <v>0</v>
      </c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</row>
    <row r="446" spans="1:66" ht="14.25" customHeight="1" outlineLevel="1" x14ac:dyDescent="0.3">
      <c r="A446" s="7"/>
      <c r="B446" s="7"/>
      <c r="C446" s="7" t="s">
        <v>292</v>
      </c>
      <c r="D446" s="165" t="s">
        <v>343</v>
      </c>
      <c r="E446" s="165" t="s">
        <v>344</v>
      </c>
      <c r="F446" s="7"/>
      <c r="G446" s="7"/>
      <c r="H446" s="7"/>
      <c r="I446" s="7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</row>
    <row r="447" spans="1:66" ht="14.25" customHeight="1" outlineLevel="1" x14ac:dyDescent="0.3">
      <c r="A447" s="7"/>
      <c r="B447" s="7"/>
      <c r="C447" s="166">
        <f t="array" ref="C447:C456">TRANSPOSE(AI444:AR444)</f>
        <v>2026</v>
      </c>
      <c r="D447" s="68">
        <f t="array" ref="D447:D456">TRANSPOSE(AI445:AR445)</f>
        <v>244825.14554</v>
      </c>
      <c r="E447" s="167">
        <v>20</v>
      </c>
      <c r="F447" s="7"/>
      <c r="G447" s="68">
        <f t="shared" ref="G447:G456" si="615">AK447</f>
        <v>12241.257277000001</v>
      </c>
      <c r="H447" s="7"/>
      <c r="I447" s="7"/>
      <c r="J447" s="88">
        <f>$G447/12</f>
        <v>1020.1047730833334</v>
      </c>
      <c r="K447" s="88">
        <f t="shared" ref="K447:AG447" si="616">$G$447/12</f>
        <v>1020.1047730833334</v>
      </c>
      <c r="L447" s="88">
        <f t="shared" si="616"/>
        <v>1020.1047730833334</v>
      </c>
      <c r="M447" s="88">
        <f t="shared" si="616"/>
        <v>1020.1047730833334</v>
      </c>
      <c r="N447" s="88">
        <f t="shared" si="616"/>
        <v>1020.1047730833334</v>
      </c>
      <c r="O447" s="88">
        <f t="shared" si="616"/>
        <v>1020.1047730833334</v>
      </c>
      <c r="P447" s="88">
        <f t="shared" si="616"/>
        <v>1020.1047730833334</v>
      </c>
      <c r="Q447" s="88">
        <f t="shared" si="616"/>
        <v>1020.1047730833334</v>
      </c>
      <c r="R447" s="88">
        <f t="shared" si="616"/>
        <v>1020.1047730833334</v>
      </c>
      <c r="S447" s="88">
        <f t="shared" si="616"/>
        <v>1020.1047730833334</v>
      </c>
      <c r="T447" s="88">
        <f t="shared" si="616"/>
        <v>1020.1047730833334</v>
      </c>
      <c r="U447" s="88">
        <f t="shared" si="616"/>
        <v>1020.1047730833334</v>
      </c>
      <c r="V447" s="88">
        <f t="shared" si="616"/>
        <v>1020.1047730833334</v>
      </c>
      <c r="W447" s="88">
        <f t="shared" si="616"/>
        <v>1020.1047730833334</v>
      </c>
      <c r="X447" s="88">
        <f t="shared" si="616"/>
        <v>1020.1047730833334</v>
      </c>
      <c r="Y447" s="88">
        <f t="shared" si="616"/>
        <v>1020.1047730833334</v>
      </c>
      <c r="Z447" s="88">
        <f t="shared" si="616"/>
        <v>1020.1047730833334</v>
      </c>
      <c r="AA447" s="88">
        <f t="shared" si="616"/>
        <v>1020.1047730833334</v>
      </c>
      <c r="AB447" s="88">
        <f t="shared" si="616"/>
        <v>1020.1047730833334</v>
      </c>
      <c r="AC447" s="88">
        <f t="shared" si="616"/>
        <v>1020.1047730833334</v>
      </c>
      <c r="AD447" s="88">
        <f t="shared" si="616"/>
        <v>1020.1047730833334</v>
      </c>
      <c r="AE447" s="88">
        <f t="shared" si="616"/>
        <v>1020.1047730833334</v>
      </c>
      <c r="AF447" s="88">
        <f t="shared" si="616"/>
        <v>1020.1047730833334</v>
      </c>
      <c r="AG447" s="88">
        <f t="shared" si="616"/>
        <v>1020.1047730833334</v>
      </c>
      <c r="AH447" s="7"/>
      <c r="AI447" s="8">
        <f t="shared" ref="AI447:AJ447" si="617">SUMIF($J$37:$AG$37,AI$37,$J447:$AG447)</f>
        <v>5100.5238654166669</v>
      </c>
      <c r="AJ447" s="8">
        <f t="shared" si="617"/>
        <v>12241.257277000004</v>
      </c>
      <c r="AK447" s="88">
        <f t="shared" ref="AK447:AT447" si="618">IF(AK$444&gt;=$C447, IF(AK$444&lt;$C447+$E$447, $D447/$E$447, 0), 0)</f>
        <v>12241.257277000001</v>
      </c>
      <c r="AL447" s="88">
        <f t="shared" si="618"/>
        <v>12241.257277000001</v>
      </c>
      <c r="AM447" s="88">
        <f t="shared" si="618"/>
        <v>12241.257277000001</v>
      </c>
      <c r="AN447" s="88">
        <f t="shared" si="618"/>
        <v>12241.257277000001</v>
      </c>
      <c r="AO447" s="88">
        <f t="shared" si="618"/>
        <v>12241.257277000001</v>
      </c>
      <c r="AP447" s="88">
        <f t="shared" si="618"/>
        <v>12241.257277000001</v>
      </c>
      <c r="AQ447" s="88">
        <f t="shared" si="618"/>
        <v>12241.257277000001</v>
      </c>
      <c r="AR447" s="88">
        <f t="shared" si="618"/>
        <v>12241.257277000001</v>
      </c>
      <c r="AS447" s="88">
        <f t="shared" si="618"/>
        <v>12241.257277000001</v>
      </c>
      <c r="AT447" s="88">
        <f t="shared" si="618"/>
        <v>12241.257277000001</v>
      </c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</row>
    <row r="448" spans="1:66" ht="14.25" customHeight="1" outlineLevel="1" x14ac:dyDescent="0.3">
      <c r="A448" s="7"/>
      <c r="B448" s="7"/>
      <c r="C448" s="166">
        <v>2027</v>
      </c>
      <c r="D448" s="68">
        <v>0</v>
      </c>
      <c r="E448" s="167">
        <v>20</v>
      </c>
      <c r="F448" s="7"/>
      <c r="G448" s="68">
        <f t="shared" si="615"/>
        <v>0</v>
      </c>
      <c r="H448" s="7"/>
      <c r="I448" s="7"/>
      <c r="J448" s="88">
        <v>0</v>
      </c>
      <c r="K448" s="88">
        <v>0</v>
      </c>
      <c r="L448" s="88">
        <v>0</v>
      </c>
      <c r="M448" s="88">
        <v>0</v>
      </c>
      <c r="N448" s="88">
        <v>0</v>
      </c>
      <c r="O448" s="88">
        <v>0</v>
      </c>
      <c r="P448" s="88">
        <v>0</v>
      </c>
      <c r="Q448" s="88">
        <v>0</v>
      </c>
      <c r="R448" s="88">
        <v>0</v>
      </c>
      <c r="S448" s="88">
        <v>0</v>
      </c>
      <c r="T448" s="88">
        <v>0</v>
      </c>
      <c r="U448" s="88">
        <v>0</v>
      </c>
      <c r="V448" s="88">
        <v>0</v>
      </c>
      <c r="W448" s="88">
        <v>0</v>
      </c>
      <c r="X448" s="88">
        <v>0</v>
      </c>
      <c r="Y448" s="88">
        <v>0</v>
      </c>
      <c r="Z448" s="88">
        <v>0</v>
      </c>
      <c r="AA448" s="88">
        <v>0</v>
      </c>
      <c r="AB448" s="88">
        <v>0</v>
      </c>
      <c r="AC448" s="88">
        <v>0</v>
      </c>
      <c r="AD448" s="88">
        <v>0</v>
      </c>
      <c r="AE448" s="88">
        <v>0</v>
      </c>
      <c r="AF448" s="88">
        <v>0</v>
      </c>
      <c r="AG448" s="88">
        <v>0</v>
      </c>
      <c r="AH448" s="7"/>
      <c r="AI448" s="88">
        <f t="shared" ref="AI448:AT456" si="619">IF(AI$187&gt;=$C448, IF(AI$187&lt;$C448+$E$190, $D448/$E$190, 0), 0)</f>
        <v>0</v>
      </c>
      <c r="AJ448" s="88">
        <f t="shared" si="619"/>
        <v>0</v>
      </c>
      <c r="AK448" s="88">
        <f t="shared" si="619"/>
        <v>0</v>
      </c>
      <c r="AL448" s="88">
        <f t="shared" si="619"/>
        <v>0</v>
      </c>
      <c r="AM448" s="88">
        <f t="shared" si="619"/>
        <v>0</v>
      </c>
      <c r="AN448" s="88">
        <f t="shared" si="619"/>
        <v>0</v>
      </c>
      <c r="AO448" s="88">
        <f t="shared" si="619"/>
        <v>0</v>
      </c>
      <c r="AP448" s="88">
        <f t="shared" si="619"/>
        <v>0</v>
      </c>
      <c r="AQ448" s="88">
        <f t="shared" si="619"/>
        <v>0</v>
      </c>
      <c r="AR448" s="88">
        <f t="shared" si="619"/>
        <v>0</v>
      </c>
      <c r="AS448" s="88">
        <f t="shared" si="619"/>
        <v>0</v>
      </c>
      <c r="AT448" s="88">
        <f t="shared" si="619"/>
        <v>0</v>
      </c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</row>
    <row r="449" spans="1:66" ht="14.25" customHeight="1" outlineLevel="1" x14ac:dyDescent="0.3">
      <c r="A449" s="7"/>
      <c r="B449" s="7"/>
      <c r="C449" s="166">
        <v>2028</v>
      </c>
      <c r="D449" s="68">
        <v>0</v>
      </c>
      <c r="E449" s="167">
        <v>20</v>
      </c>
      <c r="F449" s="7"/>
      <c r="G449" s="68">
        <f t="shared" si="615"/>
        <v>0</v>
      </c>
      <c r="H449" s="7"/>
      <c r="I449" s="7"/>
      <c r="J449" s="88">
        <v>0</v>
      </c>
      <c r="K449" s="88">
        <v>0</v>
      </c>
      <c r="L449" s="88">
        <v>0</v>
      </c>
      <c r="M449" s="88">
        <v>0</v>
      </c>
      <c r="N449" s="88">
        <v>0</v>
      </c>
      <c r="O449" s="88">
        <v>0</v>
      </c>
      <c r="P449" s="88">
        <v>0</v>
      </c>
      <c r="Q449" s="88">
        <v>0</v>
      </c>
      <c r="R449" s="88">
        <v>0</v>
      </c>
      <c r="S449" s="88">
        <v>0</v>
      </c>
      <c r="T449" s="88">
        <v>0</v>
      </c>
      <c r="U449" s="88">
        <v>0</v>
      </c>
      <c r="V449" s="88">
        <v>0</v>
      </c>
      <c r="W449" s="88">
        <v>0</v>
      </c>
      <c r="X449" s="88">
        <v>0</v>
      </c>
      <c r="Y449" s="88">
        <v>0</v>
      </c>
      <c r="Z449" s="88">
        <v>0</v>
      </c>
      <c r="AA449" s="88">
        <v>0</v>
      </c>
      <c r="AB449" s="88">
        <v>0</v>
      </c>
      <c r="AC449" s="88">
        <v>0</v>
      </c>
      <c r="AD449" s="88">
        <v>0</v>
      </c>
      <c r="AE449" s="88">
        <v>0</v>
      </c>
      <c r="AF449" s="88">
        <v>0</v>
      </c>
      <c r="AG449" s="88">
        <v>0</v>
      </c>
      <c r="AH449" s="7"/>
      <c r="AI449" s="88">
        <f t="shared" si="619"/>
        <v>0</v>
      </c>
      <c r="AJ449" s="88">
        <f t="shared" si="619"/>
        <v>0</v>
      </c>
      <c r="AK449" s="88">
        <f t="shared" si="619"/>
        <v>0</v>
      </c>
      <c r="AL449" s="88">
        <f t="shared" si="619"/>
        <v>0</v>
      </c>
      <c r="AM449" s="88">
        <f t="shared" si="619"/>
        <v>0</v>
      </c>
      <c r="AN449" s="88">
        <f t="shared" si="619"/>
        <v>0</v>
      </c>
      <c r="AO449" s="88">
        <f t="shared" si="619"/>
        <v>0</v>
      </c>
      <c r="AP449" s="88">
        <f t="shared" si="619"/>
        <v>0</v>
      </c>
      <c r="AQ449" s="88">
        <f t="shared" si="619"/>
        <v>0</v>
      </c>
      <c r="AR449" s="88">
        <f t="shared" si="619"/>
        <v>0</v>
      </c>
      <c r="AS449" s="88">
        <f t="shared" si="619"/>
        <v>0</v>
      </c>
      <c r="AT449" s="88">
        <f t="shared" si="619"/>
        <v>0</v>
      </c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</row>
    <row r="450" spans="1:66" ht="14.25" customHeight="1" outlineLevel="1" x14ac:dyDescent="0.3">
      <c r="A450" s="7"/>
      <c r="B450" s="7"/>
      <c r="C450" s="166">
        <v>2029</v>
      </c>
      <c r="D450" s="68">
        <v>0</v>
      </c>
      <c r="E450" s="167">
        <v>20</v>
      </c>
      <c r="F450" s="7"/>
      <c r="G450" s="68">
        <f t="shared" si="615"/>
        <v>0</v>
      </c>
      <c r="H450" s="7"/>
      <c r="I450" s="7"/>
      <c r="J450" s="88">
        <v>0</v>
      </c>
      <c r="K450" s="88">
        <v>0</v>
      </c>
      <c r="L450" s="88">
        <v>0</v>
      </c>
      <c r="M450" s="88">
        <v>0</v>
      </c>
      <c r="N450" s="88">
        <v>0</v>
      </c>
      <c r="O450" s="88">
        <v>0</v>
      </c>
      <c r="P450" s="88">
        <v>0</v>
      </c>
      <c r="Q450" s="88">
        <v>0</v>
      </c>
      <c r="R450" s="88">
        <v>0</v>
      </c>
      <c r="S450" s="88">
        <v>0</v>
      </c>
      <c r="T450" s="88">
        <v>0</v>
      </c>
      <c r="U450" s="88">
        <v>0</v>
      </c>
      <c r="V450" s="88">
        <v>0</v>
      </c>
      <c r="W450" s="88">
        <v>0</v>
      </c>
      <c r="X450" s="88">
        <v>0</v>
      </c>
      <c r="Y450" s="88">
        <v>0</v>
      </c>
      <c r="Z450" s="88">
        <v>0</v>
      </c>
      <c r="AA450" s="88">
        <v>0</v>
      </c>
      <c r="AB450" s="88">
        <v>0</v>
      </c>
      <c r="AC450" s="88">
        <v>0</v>
      </c>
      <c r="AD450" s="88">
        <v>0</v>
      </c>
      <c r="AE450" s="88">
        <v>0</v>
      </c>
      <c r="AF450" s="88">
        <v>0</v>
      </c>
      <c r="AG450" s="88">
        <v>0</v>
      </c>
      <c r="AH450" s="7"/>
      <c r="AI450" s="88">
        <f t="shared" si="619"/>
        <v>0</v>
      </c>
      <c r="AJ450" s="88">
        <f t="shared" si="619"/>
        <v>0</v>
      </c>
      <c r="AK450" s="88">
        <f t="shared" si="619"/>
        <v>0</v>
      </c>
      <c r="AL450" s="88">
        <f t="shared" si="619"/>
        <v>0</v>
      </c>
      <c r="AM450" s="88">
        <f t="shared" si="619"/>
        <v>0</v>
      </c>
      <c r="AN450" s="88">
        <f t="shared" si="619"/>
        <v>0</v>
      </c>
      <c r="AO450" s="88">
        <f t="shared" si="619"/>
        <v>0</v>
      </c>
      <c r="AP450" s="88">
        <f t="shared" si="619"/>
        <v>0</v>
      </c>
      <c r="AQ450" s="88">
        <f t="shared" si="619"/>
        <v>0</v>
      </c>
      <c r="AR450" s="88">
        <f t="shared" si="619"/>
        <v>0</v>
      </c>
      <c r="AS450" s="88">
        <f t="shared" si="619"/>
        <v>0</v>
      </c>
      <c r="AT450" s="88">
        <f t="shared" si="619"/>
        <v>0</v>
      </c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</row>
    <row r="451" spans="1:66" ht="14.25" customHeight="1" outlineLevel="1" x14ac:dyDescent="0.3">
      <c r="A451" s="7"/>
      <c r="B451" s="7"/>
      <c r="C451" s="166">
        <v>2030</v>
      </c>
      <c r="D451" s="68">
        <v>0</v>
      </c>
      <c r="E451" s="167">
        <v>20</v>
      </c>
      <c r="F451" s="7"/>
      <c r="G451" s="68">
        <f t="shared" si="615"/>
        <v>0</v>
      </c>
      <c r="H451" s="7"/>
      <c r="I451" s="7"/>
      <c r="J451" s="88">
        <v>0</v>
      </c>
      <c r="K451" s="88">
        <v>0</v>
      </c>
      <c r="L451" s="88">
        <v>0</v>
      </c>
      <c r="M451" s="88">
        <v>0</v>
      </c>
      <c r="N451" s="88">
        <v>0</v>
      </c>
      <c r="O451" s="88">
        <v>0</v>
      </c>
      <c r="P451" s="88">
        <v>0</v>
      </c>
      <c r="Q451" s="88">
        <v>0</v>
      </c>
      <c r="R451" s="88">
        <v>0</v>
      </c>
      <c r="S451" s="88">
        <v>0</v>
      </c>
      <c r="T451" s="88">
        <v>0</v>
      </c>
      <c r="U451" s="88">
        <v>0</v>
      </c>
      <c r="V451" s="88">
        <v>0</v>
      </c>
      <c r="W451" s="88">
        <v>0</v>
      </c>
      <c r="X451" s="88">
        <v>0</v>
      </c>
      <c r="Y451" s="88">
        <v>0</v>
      </c>
      <c r="Z451" s="88">
        <v>0</v>
      </c>
      <c r="AA451" s="88">
        <v>0</v>
      </c>
      <c r="AB451" s="88">
        <v>0</v>
      </c>
      <c r="AC451" s="88">
        <v>0</v>
      </c>
      <c r="AD451" s="88">
        <v>0</v>
      </c>
      <c r="AE451" s="88">
        <v>0</v>
      </c>
      <c r="AF451" s="88">
        <v>0</v>
      </c>
      <c r="AG451" s="88">
        <v>0</v>
      </c>
      <c r="AH451" s="7"/>
      <c r="AI451" s="88">
        <f t="shared" si="619"/>
        <v>0</v>
      </c>
      <c r="AJ451" s="88">
        <f t="shared" si="619"/>
        <v>0</v>
      </c>
      <c r="AK451" s="88">
        <f t="shared" si="619"/>
        <v>0</v>
      </c>
      <c r="AL451" s="88">
        <f t="shared" si="619"/>
        <v>0</v>
      </c>
      <c r="AM451" s="88">
        <f t="shared" si="619"/>
        <v>0</v>
      </c>
      <c r="AN451" s="88">
        <f t="shared" si="619"/>
        <v>0</v>
      </c>
      <c r="AO451" s="88">
        <f t="shared" si="619"/>
        <v>0</v>
      </c>
      <c r="AP451" s="88">
        <f t="shared" si="619"/>
        <v>0</v>
      </c>
      <c r="AQ451" s="88">
        <f t="shared" si="619"/>
        <v>0</v>
      </c>
      <c r="AR451" s="88">
        <f t="shared" si="619"/>
        <v>0</v>
      </c>
      <c r="AS451" s="88">
        <f t="shared" si="619"/>
        <v>0</v>
      </c>
      <c r="AT451" s="88">
        <f t="shared" si="619"/>
        <v>0</v>
      </c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</row>
    <row r="452" spans="1:66" ht="14.25" customHeight="1" outlineLevel="1" x14ac:dyDescent="0.3">
      <c r="A452" s="7"/>
      <c r="B452" s="7"/>
      <c r="C452" s="166">
        <v>2031</v>
      </c>
      <c r="D452" s="68">
        <v>0</v>
      </c>
      <c r="E452" s="167">
        <v>20</v>
      </c>
      <c r="F452" s="7"/>
      <c r="G452" s="68">
        <f t="shared" si="615"/>
        <v>0</v>
      </c>
      <c r="H452" s="7"/>
      <c r="I452" s="7"/>
      <c r="J452" s="88">
        <v>0</v>
      </c>
      <c r="K452" s="88">
        <v>0</v>
      </c>
      <c r="L452" s="88">
        <v>0</v>
      </c>
      <c r="M452" s="88">
        <v>0</v>
      </c>
      <c r="N452" s="88">
        <v>0</v>
      </c>
      <c r="O452" s="88">
        <v>0</v>
      </c>
      <c r="P452" s="88">
        <v>0</v>
      </c>
      <c r="Q452" s="88">
        <v>0</v>
      </c>
      <c r="R452" s="88">
        <v>0</v>
      </c>
      <c r="S452" s="88">
        <v>0</v>
      </c>
      <c r="T452" s="88">
        <v>0</v>
      </c>
      <c r="U452" s="88">
        <v>0</v>
      </c>
      <c r="V452" s="88">
        <v>0</v>
      </c>
      <c r="W452" s="88">
        <v>0</v>
      </c>
      <c r="X452" s="88">
        <v>0</v>
      </c>
      <c r="Y452" s="88">
        <v>0</v>
      </c>
      <c r="Z452" s="88">
        <v>0</v>
      </c>
      <c r="AA452" s="88">
        <v>0</v>
      </c>
      <c r="AB452" s="88">
        <v>0</v>
      </c>
      <c r="AC452" s="88">
        <v>0</v>
      </c>
      <c r="AD452" s="88">
        <v>0</v>
      </c>
      <c r="AE452" s="88">
        <v>0</v>
      </c>
      <c r="AF452" s="88">
        <v>0</v>
      </c>
      <c r="AG452" s="88">
        <v>0</v>
      </c>
      <c r="AH452" s="7"/>
      <c r="AI452" s="88">
        <f t="shared" si="619"/>
        <v>0</v>
      </c>
      <c r="AJ452" s="88">
        <f t="shared" si="619"/>
        <v>0</v>
      </c>
      <c r="AK452" s="88">
        <f t="shared" si="619"/>
        <v>0</v>
      </c>
      <c r="AL452" s="88">
        <f t="shared" si="619"/>
        <v>0</v>
      </c>
      <c r="AM452" s="88">
        <f t="shared" si="619"/>
        <v>0</v>
      </c>
      <c r="AN452" s="88">
        <f t="shared" si="619"/>
        <v>0</v>
      </c>
      <c r="AO452" s="88">
        <f t="shared" si="619"/>
        <v>0</v>
      </c>
      <c r="AP452" s="88">
        <f t="shared" si="619"/>
        <v>0</v>
      </c>
      <c r="AQ452" s="88">
        <f t="shared" si="619"/>
        <v>0</v>
      </c>
      <c r="AR452" s="88">
        <f t="shared" si="619"/>
        <v>0</v>
      </c>
      <c r="AS452" s="88">
        <f t="shared" si="619"/>
        <v>0</v>
      </c>
      <c r="AT452" s="88">
        <f t="shared" si="619"/>
        <v>0</v>
      </c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</row>
    <row r="453" spans="1:66" ht="14.25" customHeight="1" outlineLevel="1" x14ac:dyDescent="0.3">
      <c r="A453" s="7"/>
      <c r="B453" s="7"/>
      <c r="C453" s="166">
        <v>2032</v>
      </c>
      <c r="D453" s="68">
        <v>0</v>
      </c>
      <c r="E453" s="167">
        <v>20</v>
      </c>
      <c r="F453" s="7"/>
      <c r="G453" s="68">
        <f t="shared" si="615"/>
        <v>0</v>
      </c>
      <c r="H453" s="7"/>
      <c r="I453" s="7"/>
      <c r="J453" s="88">
        <v>0</v>
      </c>
      <c r="K453" s="88">
        <v>0</v>
      </c>
      <c r="L453" s="88">
        <v>0</v>
      </c>
      <c r="M453" s="88">
        <v>0</v>
      </c>
      <c r="N453" s="88">
        <v>0</v>
      </c>
      <c r="O453" s="88">
        <v>0</v>
      </c>
      <c r="P453" s="88">
        <v>0</v>
      </c>
      <c r="Q453" s="88">
        <v>0</v>
      </c>
      <c r="R453" s="88">
        <v>0</v>
      </c>
      <c r="S453" s="88">
        <v>0</v>
      </c>
      <c r="T453" s="88">
        <v>0</v>
      </c>
      <c r="U453" s="88">
        <v>0</v>
      </c>
      <c r="V453" s="88">
        <v>0</v>
      </c>
      <c r="W453" s="88">
        <v>0</v>
      </c>
      <c r="X453" s="88">
        <v>0</v>
      </c>
      <c r="Y453" s="88">
        <v>0</v>
      </c>
      <c r="Z453" s="88">
        <v>0</v>
      </c>
      <c r="AA453" s="88">
        <v>0</v>
      </c>
      <c r="AB453" s="88">
        <v>0</v>
      </c>
      <c r="AC453" s="88">
        <v>0</v>
      </c>
      <c r="AD453" s="88">
        <v>0</v>
      </c>
      <c r="AE453" s="88">
        <v>0</v>
      </c>
      <c r="AF453" s="88">
        <v>0</v>
      </c>
      <c r="AG453" s="88">
        <v>0</v>
      </c>
      <c r="AH453" s="7"/>
      <c r="AI453" s="88">
        <f t="shared" si="619"/>
        <v>0</v>
      </c>
      <c r="AJ453" s="88">
        <f t="shared" si="619"/>
        <v>0</v>
      </c>
      <c r="AK453" s="88">
        <f t="shared" si="619"/>
        <v>0</v>
      </c>
      <c r="AL453" s="88">
        <f t="shared" si="619"/>
        <v>0</v>
      </c>
      <c r="AM453" s="88">
        <f t="shared" si="619"/>
        <v>0</v>
      </c>
      <c r="AN453" s="88">
        <f t="shared" si="619"/>
        <v>0</v>
      </c>
      <c r="AO453" s="88">
        <f t="shared" si="619"/>
        <v>0</v>
      </c>
      <c r="AP453" s="88">
        <f t="shared" si="619"/>
        <v>0</v>
      </c>
      <c r="AQ453" s="88">
        <f t="shared" si="619"/>
        <v>0</v>
      </c>
      <c r="AR453" s="88">
        <f t="shared" si="619"/>
        <v>0</v>
      </c>
      <c r="AS453" s="88">
        <f t="shared" si="619"/>
        <v>0</v>
      </c>
      <c r="AT453" s="88">
        <f t="shared" si="619"/>
        <v>0</v>
      </c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</row>
    <row r="454" spans="1:66" ht="14.25" customHeight="1" outlineLevel="1" x14ac:dyDescent="0.3">
      <c r="A454" s="7"/>
      <c r="B454" s="7"/>
      <c r="C454" s="166">
        <v>2033</v>
      </c>
      <c r="D454" s="68">
        <v>0</v>
      </c>
      <c r="E454" s="167">
        <v>20</v>
      </c>
      <c r="F454" s="7"/>
      <c r="G454" s="68">
        <f t="shared" si="615"/>
        <v>0</v>
      </c>
      <c r="H454" s="7"/>
      <c r="I454" s="7"/>
      <c r="J454" s="88">
        <v>0</v>
      </c>
      <c r="K454" s="88">
        <v>0</v>
      </c>
      <c r="L454" s="88">
        <v>0</v>
      </c>
      <c r="M454" s="88">
        <v>0</v>
      </c>
      <c r="N454" s="88">
        <v>0</v>
      </c>
      <c r="O454" s="88">
        <v>0</v>
      </c>
      <c r="P454" s="88">
        <v>0</v>
      </c>
      <c r="Q454" s="88">
        <v>0</v>
      </c>
      <c r="R454" s="88">
        <v>0</v>
      </c>
      <c r="S454" s="88">
        <v>0</v>
      </c>
      <c r="T454" s="88">
        <v>0</v>
      </c>
      <c r="U454" s="88">
        <v>0</v>
      </c>
      <c r="V454" s="88">
        <v>0</v>
      </c>
      <c r="W454" s="88">
        <v>0</v>
      </c>
      <c r="X454" s="88">
        <v>0</v>
      </c>
      <c r="Y454" s="88">
        <v>0</v>
      </c>
      <c r="Z454" s="88">
        <v>0</v>
      </c>
      <c r="AA454" s="88">
        <v>0</v>
      </c>
      <c r="AB454" s="88">
        <v>0</v>
      </c>
      <c r="AC454" s="88">
        <v>0</v>
      </c>
      <c r="AD454" s="88">
        <v>0</v>
      </c>
      <c r="AE454" s="88">
        <v>0</v>
      </c>
      <c r="AF454" s="88">
        <v>0</v>
      </c>
      <c r="AG454" s="88">
        <v>0</v>
      </c>
      <c r="AH454" s="7"/>
      <c r="AI454" s="88">
        <f t="shared" si="619"/>
        <v>0</v>
      </c>
      <c r="AJ454" s="88">
        <f t="shared" si="619"/>
        <v>0</v>
      </c>
      <c r="AK454" s="88">
        <f t="shared" si="619"/>
        <v>0</v>
      </c>
      <c r="AL454" s="88">
        <f t="shared" si="619"/>
        <v>0</v>
      </c>
      <c r="AM454" s="88">
        <f t="shared" si="619"/>
        <v>0</v>
      </c>
      <c r="AN454" s="88">
        <f t="shared" si="619"/>
        <v>0</v>
      </c>
      <c r="AO454" s="88">
        <f t="shared" si="619"/>
        <v>0</v>
      </c>
      <c r="AP454" s="88">
        <f t="shared" si="619"/>
        <v>0</v>
      </c>
      <c r="AQ454" s="88">
        <f t="shared" si="619"/>
        <v>0</v>
      </c>
      <c r="AR454" s="88">
        <f t="shared" si="619"/>
        <v>0</v>
      </c>
      <c r="AS454" s="88">
        <f t="shared" si="619"/>
        <v>0</v>
      </c>
      <c r="AT454" s="88">
        <f t="shared" si="619"/>
        <v>0</v>
      </c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</row>
    <row r="455" spans="1:66" ht="14.25" customHeight="1" outlineLevel="1" x14ac:dyDescent="0.3">
      <c r="A455" s="7"/>
      <c r="B455" s="7"/>
      <c r="C455" s="166">
        <v>2034</v>
      </c>
      <c r="D455" s="68">
        <v>0</v>
      </c>
      <c r="E455" s="167">
        <v>20</v>
      </c>
      <c r="F455" s="7"/>
      <c r="G455" s="68">
        <f t="shared" si="615"/>
        <v>0</v>
      </c>
      <c r="H455" s="7"/>
      <c r="I455" s="7"/>
      <c r="J455" s="88">
        <v>0</v>
      </c>
      <c r="K455" s="88">
        <v>0</v>
      </c>
      <c r="L455" s="88">
        <v>0</v>
      </c>
      <c r="M455" s="88">
        <v>0</v>
      </c>
      <c r="N455" s="88">
        <v>0</v>
      </c>
      <c r="O455" s="88">
        <v>0</v>
      </c>
      <c r="P455" s="88">
        <v>0</v>
      </c>
      <c r="Q455" s="88">
        <v>0</v>
      </c>
      <c r="R455" s="88">
        <v>0</v>
      </c>
      <c r="S455" s="88">
        <v>0</v>
      </c>
      <c r="T455" s="88">
        <v>0</v>
      </c>
      <c r="U455" s="88">
        <v>0</v>
      </c>
      <c r="V455" s="88">
        <v>0</v>
      </c>
      <c r="W455" s="88">
        <v>0</v>
      </c>
      <c r="X455" s="88">
        <v>0</v>
      </c>
      <c r="Y455" s="88">
        <v>0</v>
      </c>
      <c r="Z455" s="88">
        <v>0</v>
      </c>
      <c r="AA455" s="88">
        <v>0</v>
      </c>
      <c r="AB455" s="88">
        <v>0</v>
      </c>
      <c r="AC455" s="88">
        <v>0</v>
      </c>
      <c r="AD455" s="88">
        <v>0</v>
      </c>
      <c r="AE455" s="88">
        <v>0</v>
      </c>
      <c r="AF455" s="88">
        <v>0</v>
      </c>
      <c r="AG455" s="88">
        <v>0</v>
      </c>
      <c r="AH455" s="7"/>
      <c r="AI455" s="88">
        <f t="shared" si="619"/>
        <v>0</v>
      </c>
      <c r="AJ455" s="88">
        <f t="shared" si="619"/>
        <v>0</v>
      </c>
      <c r="AK455" s="88">
        <f t="shared" si="619"/>
        <v>0</v>
      </c>
      <c r="AL455" s="88">
        <f t="shared" si="619"/>
        <v>0</v>
      </c>
      <c r="AM455" s="88">
        <f t="shared" si="619"/>
        <v>0</v>
      </c>
      <c r="AN455" s="88">
        <f t="shared" si="619"/>
        <v>0</v>
      </c>
      <c r="AO455" s="88">
        <f t="shared" si="619"/>
        <v>0</v>
      </c>
      <c r="AP455" s="88">
        <f t="shared" si="619"/>
        <v>0</v>
      </c>
      <c r="AQ455" s="88">
        <f t="shared" si="619"/>
        <v>0</v>
      </c>
      <c r="AR455" s="88">
        <f t="shared" si="619"/>
        <v>0</v>
      </c>
      <c r="AS455" s="88">
        <f t="shared" si="619"/>
        <v>0</v>
      </c>
      <c r="AT455" s="88">
        <f t="shared" si="619"/>
        <v>0</v>
      </c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</row>
    <row r="456" spans="1:66" ht="14.25" customHeight="1" outlineLevel="1" x14ac:dyDescent="0.3">
      <c r="A456" s="7"/>
      <c r="B456" s="7"/>
      <c r="C456" s="166">
        <v>2035</v>
      </c>
      <c r="D456" s="68">
        <v>0</v>
      </c>
      <c r="E456" s="167">
        <v>20</v>
      </c>
      <c r="F456" s="7"/>
      <c r="G456" s="68">
        <f t="shared" si="615"/>
        <v>0</v>
      </c>
      <c r="H456" s="7"/>
      <c r="I456" s="7"/>
      <c r="J456" s="88">
        <v>0</v>
      </c>
      <c r="K456" s="88">
        <v>0</v>
      </c>
      <c r="L456" s="88">
        <v>0</v>
      </c>
      <c r="M456" s="88">
        <v>0</v>
      </c>
      <c r="N456" s="88">
        <v>0</v>
      </c>
      <c r="O456" s="88">
        <v>0</v>
      </c>
      <c r="P456" s="88">
        <v>0</v>
      </c>
      <c r="Q456" s="88">
        <v>0</v>
      </c>
      <c r="R456" s="88">
        <v>0</v>
      </c>
      <c r="S456" s="88">
        <v>0</v>
      </c>
      <c r="T456" s="88">
        <v>0</v>
      </c>
      <c r="U456" s="88">
        <v>0</v>
      </c>
      <c r="V456" s="88">
        <v>0</v>
      </c>
      <c r="W456" s="88">
        <v>0</v>
      </c>
      <c r="X456" s="88">
        <v>0</v>
      </c>
      <c r="Y456" s="88">
        <v>0</v>
      </c>
      <c r="Z456" s="88">
        <v>0</v>
      </c>
      <c r="AA456" s="88">
        <v>0</v>
      </c>
      <c r="AB456" s="88">
        <v>0</v>
      </c>
      <c r="AC456" s="88">
        <v>0</v>
      </c>
      <c r="AD456" s="88">
        <v>0</v>
      </c>
      <c r="AE456" s="88">
        <v>0</v>
      </c>
      <c r="AF456" s="88">
        <v>0</v>
      </c>
      <c r="AG456" s="88">
        <v>0</v>
      </c>
      <c r="AH456" s="7"/>
      <c r="AI456" s="88">
        <f t="shared" si="619"/>
        <v>0</v>
      </c>
      <c r="AJ456" s="88">
        <f t="shared" si="619"/>
        <v>0</v>
      </c>
      <c r="AK456" s="88">
        <f t="shared" si="619"/>
        <v>0</v>
      </c>
      <c r="AL456" s="88">
        <f t="shared" si="619"/>
        <v>0</v>
      </c>
      <c r="AM456" s="88">
        <f t="shared" si="619"/>
        <v>0</v>
      </c>
      <c r="AN456" s="88">
        <f t="shared" si="619"/>
        <v>0</v>
      </c>
      <c r="AO456" s="88">
        <f t="shared" si="619"/>
        <v>0</v>
      </c>
      <c r="AP456" s="88">
        <f t="shared" si="619"/>
        <v>0</v>
      </c>
      <c r="AQ456" s="88">
        <f t="shared" si="619"/>
        <v>0</v>
      </c>
      <c r="AR456" s="88">
        <f t="shared" si="619"/>
        <v>0</v>
      </c>
      <c r="AS456" s="88">
        <f t="shared" si="619"/>
        <v>0</v>
      </c>
      <c r="AT456" s="88">
        <f t="shared" si="619"/>
        <v>0</v>
      </c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</row>
    <row r="457" spans="1:66" ht="14.25" customHeight="1" x14ac:dyDescent="0.3">
      <c r="A457" s="7"/>
      <c r="B457" s="5" t="s">
        <v>345</v>
      </c>
      <c r="C457" s="7"/>
      <c r="D457" s="68"/>
      <c r="E457" s="15" t="s">
        <v>4</v>
      </c>
      <c r="F457" s="7"/>
      <c r="G457" s="7"/>
      <c r="H457" s="7"/>
      <c r="I457" s="7"/>
      <c r="J457" s="168">
        <f t="shared" ref="J457:AG457" si="620">SUM(J447:J456)</f>
        <v>1020.1047730833334</v>
      </c>
      <c r="K457" s="168">
        <f t="shared" si="620"/>
        <v>1020.1047730833334</v>
      </c>
      <c r="L457" s="168">
        <f t="shared" si="620"/>
        <v>1020.1047730833334</v>
      </c>
      <c r="M457" s="168">
        <f t="shared" si="620"/>
        <v>1020.1047730833334</v>
      </c>
      <c r="N457" s="168">
        <f t="shared" si="620"/>
        <v>1020.1047730833334</v>
      </c>
      <c r="O457" s="168">
        <f t="shared" si="620"/>
        <v>1020.1047730833334</v>
      </c>
      <c r="P457" s="168">
        <f t="shared" si="620"/>
        <v>1020.1047730833334</v>
      </c>
      <c r="Q457" s="168">
        <f t="shared" si="620"/>
        <v>1020.1047730833334</v>
      </c>
      <c r="R457" s="168">
        <f t="shared" si="620"/>
        <v>1020.1047730833334</v>
      </c>
      <c r="S457" s="168">
        <f t="shared" si="620"/>
        <v>1020.1047730833334</v>
      </c>
      <c r="T457" s="168">
        <f t="shared" si="620"/>
        <v>1020.1047730833334</v>
      </c>
      <c r="U457" s="168">
        <f t="shared" si="620"/>
        <v>1020.1047730833334</v>
      </c>
      <c r="V457" s="168">
        <f t="shared" si="620"/>
        <v>1020.1047730833334</v>
      </c>
      <c r="W457" s="168">
        <f t="shared" si="620"/>
        <v>1020.1047730833334</v>
      </c>
      <c r="X457" s="168">
        <f t="shared" si="620"/>
        <v>1020.1047730833334</v>
      </c>
      <c r="Y457" s="168">
        <f t="shared" si="620"/>
        <v>1020.1047730833334</v>
      </c>
      <c r="Z457" s="168">
        <f t="shared" si="620"/>
        <v>1020.1047730833334</v>
      </c>
      <c r="AA457" s="168">
        <f t="shared" si="620"/>
        <v>1020.1047730833334</v>
      </c>
      <c r="AB457" s="168">
        <f t="shared" si="620"/>
        <v>1020.1047730833334</v>
      </c>
      <c r="AC457" s="168">
        <f t="shared" si="620"/>
        <v>1020.1047730833334</v>
      </c>
      <c r="AD457" s="168">
        <f t="shared" si="620"/>
        <v>1020.1047730833334</v>
      </c>
      <c r="AE457" s="168">
        <f t="shared" si="620"/>
        <v>1020.1047730833334</v>
      </c>
      <c r="AF457" s="168">
        <f t="shared" si="620"/>
        <v>1020.1047730833334</v>
      </c>
      <c r="AG457" s="168">
        <f t="shared" si="620"/>
        <v>1020.1047730833334</v>
      </c>
      <c r="AH457" s="7"/>
      <c r="AI457" s="168">
        <f t="shared" ref="AI457:AS457" si="621">SUM(AI447:AI456)</f>
        <v>5100.5238654166669</v>
      </c>
      <c r="AJ457" s="168">
        <f t="shared" si="621"/>
        <v>12241.257277000004</v>
      </c>
      <c r="AK457" s="168">
        <f t="shared" si="621"/>
        <v>12241.257277000001</v>
      </c>
      <c r="AL457" s="168">
        <f t="shared" si="621"/>
        <v>12241.257277000001</v>
      </c>
      <c r="AM457" s="168">
        <f t="shared" si="621"/>
        <v>12241.257277000001</v>
      </c>
      <c r="AN457" s="168">
        <f t="shared" si="621"/>
        <v>12241.257277000001</v>
      </c>
      <c r="AO457" s="168">
        <f t="shared" si="621"/>
        <v>12241.257277000001</v>
      </c>
      <c r="AP457" s="168">
        <f t="shared" si="621"/>
        <v>12241.257277000001</v>
      </c>
      <c r="AQ457" s="168">
        <f t="shared" si="621"/>
        <v>12241.257277000001</v>
      </c>
      <c r="AR457" s="168">
        <f t="shared" si="621"/>
        <v>12241.257277000001</v>
      </c>
      <c r="AS457" s="168">
        <f t="shared" si="621"/>
        <v>12241.257277000001</v>
      </c>
      <c r="AT457" s="168">
        <f t="shared" ref="AT457" si="622">SUM(AT447:AT456)</f>
        <v>12241.257277000001</v>
      </c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</row>
    <row r="458" spans="1:66" ht="14.25" customHeight="1" x14ac:dyDescent="0.3">
      <c r="A458" s="7"/>
      <c r="B458" s="7"/>
      <c r="C458" s="7"/>
      <c r="D458" s="7"/>
      <c r="E458" s="15"/>
      <c r="F458" s="7"/>
      <c r="G458" s="7"/>
      <c r="H458" s="7"/>
      <c r="I458" s="7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</row>
    <row r="459" spans="1:66" ht="14.25" customHeight="1" x14ac:dyDescent="0.3">
      <c r="A459" s="7"/>
      <c r="B459" s="5" t="s">
        <v>346</v>
      </c>
      <c r="C459" s="7"/>
      <c r="D459" s="7"/>
      <c r="E459" s="15" t="s">
        <v>4</v>
      </c>
      <c r="F459" s="7"/>
      <c r="G459" s="7"/>
      <c r="H459" s="7"/>
      <c r="I459" s="7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7"/>
      <c r="AI459" s="8">
        <f>-AI332</f>
        <v>57640</v>
      </c>
      <c r="AJ459" s="8">
        <v>0</v>
      </c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</row>
    <row r="460" spans="1:66" ht="14.25" customHeight="1" outlineLevel="1" x14ac:dyDescent="0.3">
      <c r="A460" s="7"/>
      <c r="B460" s="7"/>
      <c r="C460" s="7" t="s">
        <v>292</v>
      </c>
      <c r="D460" s="165" t="s">
        <v>343</v>
      </c>
      <c r="E460" s="165" t="s">
        <v>344</v>
      </c>
      <c r="F460" s="7"/>
      <c r="G460" s="7"/>
      <c r="H460" s="7"/>
      <c r="I460" s="7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</row>
    <row r="461" spans="1:66" ht="14.25" customHeight="1" outlineLevel="1" x14ac:dyDescent="0.3">
      <c r="A461" s="7"/>
      <c r="B461" s="7"/>
      <c r="C461" s="166">
        <f t="array" ref="C461:C470">TRANSPOSE(AI444:AR444)</f>
        <v>2026</v>
      </c>
      <c r="D461" s="68">
        <f t="array" ref="D461:D470">TRANSPOSE(AI459:AR459)</f>
        <v>57640</v>
      </c>
      <c r="E461" s="167">
        <v>5</v>
      </c>
      <c r="F461" s="7"/>
      <c r="G461" s="68">
        <f>AK461</f>
        <v>11528</v>
      </c>
      <c r="H461" s="7"/>
      <c r="I461" s="7"/>
      <c r="J461" s="88">
        <f t="shared" ref="J461:AG461" si="623">$G461/12</f>
        <v>960.66666666666663</v>
      </c>
      <c r="K461" s="88">
        <f t="shared" si="623"/>
        <v>960.66666666666663</v>
      </c>
      <c r="L461" s="88">
        <f t="shared" si="623"/>
        <v>960.66666666666663</v>
      </c>
      <c r="M461" s="88">
        <f t="shared" si="623"/>
        <v>960.66666666666663</v>
      </c>
      <c r="N461" s="88">
        <f t="shared" si="623"/>
        <v>960.66666666666663</v>
      </c>
      <c r="O461" s="88">
        <f t="shared" si="623"/>
        <v>960.66666666666663</v>
      </c>
      <c r="P461" s="88">
        <f t="shared" si="623"/>
        <v>960.66666666666663</v>
      </c>
      <c r="Q461" s="88">
        <f t="shared" si="623"/>
        <v>960.66666666666663</v>
      </c>
      <c r="R461" s="88">
        <f t="shared" si="623"/>
        <v>960.66666666666663</v>
      </c>
      <c r="S461" s="88">
        <f t="shared" si="623"/>
        <v>960.66666666666663</v>
      </c>
      <c r="T461" s="88">
        <f t="shared" si="623"/>
        <v>960.66666666666663</v>
      </c>
      <c r="U461" s="88">
        <f t="shared" si="623"/>
        <v>960.66666666666663</v>
      </c>
      <c r="V461" s="88">
        <f t="shared" si="623"/>
        <v>960.66666666666663</v>
      </c>
      <c r="W461" s="88">
        <f t="shared" si="623"/>
        <v>960.66666666666663</v>
      </c>
      <c r="X461" s="88">
        <f t="shared" si="623"/>
        <v>960.66666666666663</v>
      </c>
      <c r="Y461" s="88">
        <f t="shared" si="623"/>
        <v>960.66666666666663</v>
      </c>
      <c r="Z461" s="88">
        <f t="shared" si="623"/>
        <v>960.66666666666663</v>
      </c>
      <c r="AA461" s="88">
        <f t="shared" si="623"/>
        <v>960.66666666666663</v>
      </c>
      <c r="AB461" s="88">
        <f t="shared" si="623"/>
        <v>960.66666666666663</v>
      </c>
      <c r="AC461" s="88">
        <f t="shared" si="623"/>
        <v>960.66666666666663</v>
      </c>
      <c r="AD461" s="88">
        <f t="shared" si="623"/>
        <v>960.66666666666663</v>
      </c>
      <c r="AE461" s="88">
        <f t="shared" si="623"/>
        <v>960.66666666666663</v>
      </c>
      <c r="AF461" s="88">
        <f t="shared" si="623"/>
        <v>960.66666666666663</v>
      </c>
      <c r="AG461" s="88">
        <f t="shared" si="623"/>
        <v>960.66666666666663</v>
      </c>
      <c r="AH461" s="7"/>
      <c r="AI461" s="8">
        <f t="shared" ref="AI461:AJ461" si="624">SUMIF($J$37:$AG$37,AI$37,$J461:$AG461)</f>
        <v>4803.333333333333</v>
      </c>
      <c r="AJ461" s="8">
        <f t="shared" si="624"/>
        <v>11527.999999999998</v>
      </c>
      <c r="AK461" s="88">
        <f t="shared" ref="AK461:AM461" si="625">IF(AK$444&gt;=$C461, IF(AK$444&lt;$C461+$E$461, $D461/$E$461, 0), 0)</f>
        <v>11528</v>
      </c>
      <c r="AL461" s="88">
        <f t="shared" si="625"/>
        <v>11528</v>
      </c>
      <c r="AM461" s="88">
        <f t="shared" si="625"/>
        <v>11528</v>
      </c>
      <c r="AN461" s="88">
        <f>AI459-SUM(AI461:AM461)</f>
        <v>6724.6666666666715</v>
      </c>
      <c r="AO461" s="88">
        <f t="shared" ref="AO461:AT461" si="626">IF(AO$444&gt;=$C461, IF(AO$444&lt;$C461+$E$461, $D461/$E$461, 0), 0)</f>
        <v>0</v>
      </c>
      <c r="AP461" s="88">
        <f t="shared" si="626"/>
        <v>0</v>
      </c>
      <c r="AQ461" s="88">
        <f t="shared" si="626"/>
        <v>0</v>
      </c>
      <c r="AR461" s="88">
        <f t="shared" si="626"/>
        <v>0</v>
      </c>
      <c r="AS461" s="88">
        <f t="shared" si="626"/>
        <v>0</v>
      </c>
      <c r="AT461" s="88">
        <f t="shared" si="626"/>
        <v>0</v>
      </c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</row>
    <row r="462" spans="1:66" ht="14.25" customHeight="1" outlineLevel="1" x14ac:dyDescent="0.3">
      <c r="A462" s="7"/>
      <c r="B462" s="7"/>
      <c r="C462" s="166">
        <v>2027</v>
      </c>
      <c r="D462" s="68">
        <v>0</v>
      </c>
      <c r="E462" s="167">
        <v>5</v>
      </c>
      <c r="F462" s="7"/>
      <c r="G462" s="7"/>
      <c r="H462" s="7"/>
      <c r="I462" s="7"/>
      <c r="J462" s="88">
        <v>0</v>
      </c>
      <c r="K462" s="88">
        <v>0</v>
      </c>
      <c r="L462" s="88">
        <v>0</v>
      </c>
      <c r="M462" s="88">
        <v>0</v>
      </c>
      <c r="N462" s="88">
        <v>0</v>
      </c>
      <c r="O462" s="88">
        <v>0</v>
      </c>
      <c r="P462" s="88">
        <v>0</v>
      </c>
      <c r="Q462" s="88">
        <v>0</v>
      </c>
      <c r="R462" s="88">
        <v>0</v>
      </c>
      <c r="S462" s="88">
        <v>0</v>
      </c>
      <c r="T462" s="88">
        <v>0</v>
      </c>
      <c r="U462" s="88">
        <v>0</v>
      </c>
      <c r="V462" s="88">
        <v>0</v>
      </c>
      <c r="W462" s="88">
        <v>0</v>
      </c>
      <c r="X462" s="88">
        <v>0</v>
      </c>
      <c r="Y462" s="88">
        <v>0</v>
      </c>
      <c r="Z462" s="88">
        <v>0</v>
      </c>
      <c r="AA462" s="88">
        <v>0</v>
      </c>
      <c r="AB462" s="88">
        <v>0</v>
      </c>
      <c r="AC462" s="88">
        <v>0</v>
      </c>
      <c r="AD462" s="88">
        <v>0</v>
      </c>
      <c r="AE462" s="88">
        <v>0</v>
      </c>
      <c r="AF462" s="88">
        <v>0</v>
      </c>
      <c r="AG462" s="88">
        <v>0</v>
      </c>
      <c r="AH462" s="7"/>
      <c r="AI462" s="88">
        <f t="shared" ref="AI462:AT470" si="627">IF(AI$187&gt;=$C462, IF(AI$187&lt;$C462+$E$190, $D462/$E$190, 0), 0)</f>
        <v>0</v>
      </c>
      <c r="AJ462" s="88">
        <f t="shared" si="627"/>
        <v>0</v>
      </c>
      <c r="AK462" s="88">
        <f t="shared" si="627"/>
        <v>0</v>
      </c>
      <c r="AL462" s="88">
        <f t="shared" si="627"/>
        <v>0</v>
      </c>
      <c r="AM462" s="88">
        <f t="shared" si="627"/>
        <v>0</v>
      </c>
      <c r="AN462" s="88">
        <f t="shared" si="627"/>
        <v>0</v>
      </c>
      <c r="AO462" s="88">
        <f t="shared" si="627"/>
        <v>0</v>
      </c>
      <c r="AP462" s="88">
        <f t="shared" si="627"/>
        <v>0</v>
      </c>
      <c r="AQ462" s="88">
        <f t="shared" si="627"/>
        <v>0</v>
      </c>
      <c r="AR462" s="88">
        <f t="shared" si="627"/>
        <v>0</v>
      </c>
      <c r="AS462" s="88">
        <f t="shared" si="627"/>
        <v>0</v>
      </c>
      <c r="AT462" s="88">
        <f t="shared" si="627"/>
        <v>0</v>
      </c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</row>
    <row r="463" spans="1:66" ht="14.25" customHeight="1" outlineLevel="1" x14ac:dyDescent="0.3">
      <c r="A463" s="7"/>
      <c r="B463" s="7"/>
      <c r="C463" s="166">
        <v>2028</v>
      </c>
      <c r="D463" s="68">
        <v>0</v>
      </c>
      <c r="E463" s="167">
        <v>5</v>
      </c>
      <c r="F463" s="7"/>
      <c r="G463" s="7"/>
      <c r="H463" s="7"/>
      <c r="I463" s="7"/>
      <c r="J463" s="88">
        <v>0</v>
      </c>
      <c r="K463" s="88">
        <v>0</v>
      </c>
      <c r="L463" s="88">
        <v>0</v>
      </c>
      <c r="M463" s="88">
        <v>0</v>
      </c>
      <c r="N463" s="88">
        <v>0</v>
      </c>
      <c r="O463" s="88">
        <v>0</v>
      </c>
      <c r="P463" s="88">
        <v>0</v>
      </c>
      <c r="Q463" s="88">
        <v>0</v>
      </c>
      <c r="R463" s="88">
        <v>0</v>
      </c>
      <c r="S463" s="88">
        <v>0</v>
      </c>
      <c r="T463" s="88">
        <v>0</v>
      </c>
      <c r="U463" s="88">
        <v>0</v>
      </c>
      <c r="V463" s="88">
        <v>0</v>
      </c>
      <c r="W463" s="88">
        <v>0</v>
      </c>
      <c r="X463" s="88">
        <v>0</v>
      </c>
      <c r="Y463" s="88">
        <v>0</v>
      </c>
      <c r="Z463" s="88">
        <v>0</v>
      </c>
      <c r="AA463" s="88">
        <v>0</v>
      </c>
      <c r="AB463" s="88">
        <v>0</v>
      </c>
      <c r="AC463" s="88">
        <v>0</v>
      </c>
      <c r="AD463" s="88">
        <v>0</v>
      </c>
      <c r="AE463" s="88">
        <v>0</v>
      </c>
      <c r="AF463" s="88">
        <v>0</v>
      </c>
      <c r="AG463" s="88">
        <v>0</v>
      </c>
      <c r="AH463" s="7"/>
      <c r="AI463" s="88">
        <f t="shared" si="627"/>
        <v>0</v>
      </c>
      <c r="AJ463" s="88">
        <f t="shared" si="627"/>
        <v>0</v>
      </c>
      <c r="AK463" s="88">
        <f t="shared" si="627"/>
        <v>0</v>
      </c>
      <c r="AL463" s="88">
        <f t="shared" si="627"/>
        <v>0</v>
      </c>
      <c r="AM463" s="88">
        <f t="shared" si="627"/>
        <v>0</v>
      </c>
      <c r="AN463" s="88">
        <f t="shared" si="627"/>
        <v>0</v>
      </c>
      <c r="AO463" s="88">
        <f t="shared" si="627"/>
        <v>0</v>
      </c>
      <c r="AP463" s="88">
        <f t="shared" si="627"/>
        <v>0</v>
      </c>
      <c r="AQ463" s="88">
        <f t="shared" si="627"/>
        <v>0</v>
      </c>
      <c r="AR463" s="88">
        <f t="shared" si="627"/>
        <v>0</v>
      </c>
      <c r="AS463" s="88">
        <f t="shared" si="627"/>
        <v>0</v>
      </c>
      <c r="AT463" s="88">
        <f t="shared" si="627"/>
        <v>0</v>
      </c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</row>
    <row r="464" spans="1:66" ht="14.25" customHeight="1" outlineLevel="1" x14ac:dyDescent="0.3">
      <c r="A464" s="7"/>
      <c r="B464" s="7"/>
      <c r="C464" s="166">
        <v>2029</v>
      </c>
      <c r="D464" s="68">
        <v>0</v>
      </c>
      <c r="E464" s="167">
        <v>5</v>
      </c>
      <c r="F464" s="7"/>
      <c r="G464" s="7"/>
      <c r="H464" s="7"/>
      <c r="I464" s="7"/>
      <c r="J464" s="88">
        <v>0</v>
      </c>
      <c r="K464" s="88">
        <v>0</v>
      </c>
      <c r="L464" s="88">
        <v>0</v>
      </c>
      <c r="M464" s="88">
        <v>0</v>
      </c>
      <c r="N464" s="88">
        <v>0</v>
      </c>
      <c r="O464" s="88">
        <v>0</v>
      </c>
      <c r="P464" s="88">
        <v>0</v>
      </c>
      <c r="Q464" s="88">
        <v>0</v>
      </c>
      <c r="R464" s="88">
        <v>0</v>
      </c>
      <c r="S464" s="88">
        <v>0</v>
      </c>
      <c r="T464" s="88">
        <v>0</v>
      </c>
      <c r="U464" s="88">
        <v>0</v>
      </c>
      <c r="V464" s="88">
        <v>0</v>
      </c>
      <c r="W464" s="88">
        <v>0</v>
      </c>
      <c r="X464" s="88">
        <v>0</v>
      </c>
      <c r="Y464" s="88">
        <v>0</v>
      </c>
      <c r="Z464" s="88">
        <v>0</v>
      </c>
      <c r="AA464" s="88">
        <v>0</v>
      </c>
      <c r="AB464" s="88">
        <v>0</v>
      </c>
      <c r="AC464" s="88">
        <v>0</v>
      </c>
      <c r="AD464" s="88">
        <v>0</v>
      </c>
      <c r="AE464" s="88">
        <v>0</v>
      </c>
      <c r="AF464" s="88">
        <v>0</v>
      </c>
      <c r="AG464" s="88">
        <v>0</v>
      </c>
      <c r="AH464" s="7"/>
      <c r="AI464" s="88">
        <f t="shared" si="627"/>
        <v>0</v>
      </c>
      <c r="AJ464" s="88">
        <f t="shared" si="627"/>
        <v>0</v>
      </c>
      <c r="AK464" s="88">
        <f t="shared" si="627"/>
        <v>0</v>
      </c>
      <c r="AL464" s="88">
        <f t="shared" si="627"/>
        <v>0</v>
      </c>
      <c r="AM464" s="88">
        <f t="shared" si="627"/>
        <v>0</v>
      </c>
      <c r="AN464" s="88">
        <f t="shared" si="627"/>
        <v>0</v>
      </c>
      <c r="AO464" s="88">
        <f t="shared" si="627"/>
        <v>0</v>
      </c>
      <c r="AP464" s="88">
        <f t="shared" si="627"/>
        <v>0</v>
      </c>
      <c r="AQ464" s="88">
        <f t="shared" si="627"/>
        <v>0</v>
      </c>
      <c r="AR464" s="88">
        <f t="shared" si="627"/>
        <v>0</v>
      </c>
      <c r="AS464" s="88">
        <f t="shared" si="627"/>
        <v>0</v>
      </c>
      <c r="AT464" s="88">
        <f t="shared" si="627"/>
        <v>0</v>
      </c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</row>
    <row r="465" spans="1:66" ht="14.25" customHeight="1" outlineLevel="1" x14ac:dyDescent="0.3">
      <c r="A465" s="7"/>
      <c r="B465" s="7"/>
      <c r="C465" s="166">
        <v>2030</v>
      </c>
      <c r="D465" s="68">
        <v>0</v>
      </c>
      <c r="E465" s="167">
        <v>5</v>
      </c>
      <c r="F465" s="7"/>
      <c r="G465" s="7"/>
      <c r="H465" s="7"/>
      <c r="I465" s="7"/>
      <c r="J465" s="88">
        <v>0</v>
      </c>
      <c r="K465" s="88">
        <v>0</v>
      </c>
      <c r="L465" s="88">
        <v>0</v>
      </c>
      <c r="M465" s="88">
        <v>0</v>
      </c>
      <c r="N465" s="88">
        <v>0</v>
      </c>
      <c r="O465" s="88">
        <v>0</v>
      </c>
      <c r="P465" s="88">
        <v>0</v>
      </c>
      <c r="Q465" s="88">
        <v>0</v>
      </c>
      <c r="R465" s="88">
        <v>0</v>
      </c>
      <c r="S465" s="88">
        <v>0</v>
      </c>
      <c r="T465" s="88">
        <v>0</v>
      </c>
      <c r="U465" s="88">
        <v>0</v>
      </c>
      <c r="V465" s="88">
        <v>0</v>
      </c>
      <c r="W465" s="88">
        <v>0</v>
      </c>
      <c r="X465" s="88">
        <v>0</v>
      </c>
      <c r="Y465" s="88">
        <v>0</v>
      </c>
      <c r="Z465" s="88">
        <v>0</v>
      </c>
      <c r="AA465" s="88">
        <v>0</v>
      </c>
      <c r="AB465" s="88">
        <v>0</v>
      </c>
      <c r="AC465" s="88">
        <v>0</v>
      </c>
      <c r="AD465" s="88">
        <v>0</v>
      </c>
      <c r="AE465" s="88">
        <v>0</v>
      </c>
      <c r="AF465" s="88">
        <v>0</v>
      </c>
      <c r="AG465" s="88">
        <v>0</v>
      </c>
      <c r="AH465" s="7"/>
      <c r="AI465" s="88">
        <f t="shared" si="627"/>
        <v>0</v>
      </c>
      <c r="AJ465" s="88">
        <f t="shared" si="627"/>
        <v>0</v>
      </c>
      <c r="AK465" s="88">
        <f t="shared" si="627"/>
        <v>0</v>
      </c>
      <c r="AL465" s="88">
        <f t="shared" si="627"/>
        <v>0</v>
      </c>
      <c r="AM465" s="88">
        <f t="shared" si="627"/>
        <v>0</v>
      </c>
      <c r="AN465" s="88">
        <f t="shared" si="627"/>
        <v>0</v>
      </c>
      <c r="AO465" s="88">
        <f t="shared" si="627"/>
        <v>0</v>
      </c>
      <c r="AP465" s="88">
        <f t="shared" si="627"/>
        <v>0</v>
      </c>
      <c r="AQ465" s="88">
        <f t="shared" si="627"/>
        <v>0</v>
      </c>
      <c r="AR465" s="88">
        <f t="shared" si="627"/>
        <v>0</v>
      </c>
      <c r="AS465" s="88">
        <f t="shared" si="627"/>
        <v>0</v>
      </c>
      <c r="AT465" s="88">
        <f t="shared" si="627"/>
        <v>0</v>
      </c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</row>
    <row r="466" spans="1:66" ht="14.25" customHeight="1" outlineLevel="1" x14ac:dyDescent="0.3">
      <c r="A466" s="7"/>
      <c r="B466" s="7"/>
      <c r="C466" s="166">
        <v>2031</v>
      </c>
      <c r="D466" s="68">
        <v>0</v>
      </c>
      <c r="E466" s="167">
        <v>5</v>
      </c>
      <c r="F466" s="7"/>
      <c r="G466" s="7"/>
      <c r="H466" s="7"/>
      <c r="I466" s="7"/>
      <c r="J466" s="88">
        <v>0</v>
      </c>
      <c r="K466" s="88">
        <v>0</v>
      </c>
      <c r="L466" s="88">
        <v>0</v>
      </c>
      <c r="M466" s="88">
        <v>0</v>
      </c>
      <c r="N466" s="88">
        <v>0</v>
      </c>
      <c r="O466" s="88">
        <v>0</v>
      </c>
      <c r="P466" s="88">
        <v>0</v>
      </c>
      <c r="Q466" s="88">
        <v>0</v>
      </c>
      <c r="R466" s="88">
        <v>0</v>
      </c>
      <c r="S466" s="88">
        <v>0</v>
      </c>
      <c r="T466" s="88">
        <v>0</v>
      </c>
      <c r="U466" s="88">
        <v>0</v>
      </c>
      <c r="V466" s="88">
        <v>0</v>
      </c>
      <c r="W466" s="88">
        <v>0</v>
      </c>
      <c r="X466" s="88">
        <v>0</v>
      </c>
      <c r="Y466" s="88">
        <v>0</v>
      </c>
      <c r="Z466" s="88">
        <v>0</v>
      </c>
      <c r="AA466" s="88">
        <v>0</v>
      </c>
      <c r="AB466" s="88">
        <v>0</v>
      </c>
      <c r="AC466" s="88">
        <v>0</v>
      </c>
      <c r="AD466" s="88">
        <v>0</v>
      </c>
      <c r="AE466" s="88">
        <v>0</v>
      </c>
      <c r="AF466" s="88">
        <v>0</v>
      </c>
      <c r="AG466" s="88">
        <v>0</v>
      </c>
      <c r="AH466" s="7"/>
      <c r="AI466" s="88">
        <f t="shared" si="627"/>
        <v>0</v>
      </c>
      <c r="AJ466" s="88">
        <f t="shared" si="627"/>
        <v>0</v>
      </c>
      <c r="AK466" s="88">
        <f t="shared" si="627"/>
        <v>0</v>
      </c>
      <c r="AL466" s="88">
        <f t="shared" si="627"/>
        <v>0</v>
      </c>
      <c r="AM466" s="88">
        <f t="shared" si="627"/>
        <v>0</v>
      </c>
      <c r="AN466" s="88">
        <f t="shared" si="627"/>
        <v>0</v>
      </c>
      <c r="AO466" s="88">
        <f t="shared" si="627"/>
        <v>0</v>
      </c>
      <c r="AP466" s="88">
        <f t="shared" si="627"/>
        <v>0</v>
      </c>
      <c r="AQ466" s="88">
        <f t="shared" si="627"/>
        <v>0</v>
      </c>
      <c r="AR466" s="88">
        <f t="shared" si="627"/>
        <v>0</v>
      </c>
      <c r="AS466" s="88">
        <f t="shared" si="627"/>
        <v>0</v>
      </c>
      <c r="AT466" s="88">
        <f t="shared" si="627"/>
        <v>0</v>
      </c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</row>
    <row r="467" spans="1:66" ht="14.25" customHeight="1" outlineLevel="1" x14ac:dyDescent="0.3">
      <c r="A467" s="7"/>
      <c r="B467" s="7"/>
      <c r="C467" s="166">
        <v>2032</v>
      </c>
      <c r="D467" s="68">
        <v>0</v>
      </c>
      <c r="E467" s="167">
        <v>5</v>
      </c>
      <c r="F467" s="7"/>
      <c r="G467" s="7"/>
      <c r="H467" s="7"/>
      <c r="I467" s="7"/>
      <c r="J467" s="88">
        <v>0</v>
      </c>
      <c r="K467" s="88">
        <v>0</v>
      </c>
      <c r="L467" s="88">
        <v>0</v>
      </c>
      <c r="M467" s="88">
        <v>0</v>
      </c>
      <c r="N467" s="88">
        <v>0</v>
      </c>
      <c r="O467" s="88">
        <v>0</v>
      </c>
      <c r="P467" s="88">
        <v>0</v>
      </c>
      <c r="Q467" s="88">
        <v>0</v>
      </c>
      <c r="R467" s="88">
        <v>0</v>
      </c>
      <c r="S467" s="88">
        <v>0</v>
      </c>
      <c r="T467" s="88">
        <v>0</v>
      </c>
      <c r="U467" s="88">
        <v>0</v>
      </c>
      <c r="V467" s="88">
        <v>0</v>
      </c>
      <c r="W467" s="88">
        <v>0</v>
      </c>
      <c r="X467" s="88">
        <v>0</v>
      </c>
      <c r="Y467" s="88">
        <v>0</v>
      </c>
      <c r="Z467" s="88">
        <v>0</v>
      </c>
      <c r="AA467" s="88">
        <v>0</v>
      </c>
      <c r="AB467" s="88">
        <v>0</v>
      </c>
      <c r="AC467" s="88">
        <v>0</v>
      </c>
      <c r="AD467" s="88">
        <v>0</v>
      </c>
      <c r="AE467" s="88">
        <v>0</v>
      </c>
      <c r="AF467" s="88">
        <v>0</v>
      </c>
      <c r="AG467" s="88">
        <v>0</v>
      </c>
      <c r="AH467" s="7"/>
      <c r="AI467" s="88">
        <f t="shared" si="627"/>
        <v>0</v>
      </c>
      <c r="AJ467" s="88">
        <f t="shared" si="627"/>
        <v>0</v>
      </c>
      <c r="AK467" s="88">
        <f t="shared" si="627"/>
        <v>0</v>
      </c>
      <c r="AL467" s="88">
        <f t="shared" si="627"/>
        <v>0</v>
      </c>
      <c r="AM467" s="88">
        <f t="shared" si="627"/>
        <v>0</v>
      </c>
      <c r="AN467" s="88">
        <f t="shared" si="627"/>
        <v>0</v>
      </c>
      <c r="AO467" s="88">
        <f t="shared" si="627"/>
        <v>0</v>
      </c>
      <c r="AP467" s="88">
        <f t="shared" si="627"/>
        <v>0</v>
      </c>
      <c r="AQ467" s="88">
        <f t="shared" si="627"/>
        <v>0</v>
      </c>
      <c r="AR467" s="88">
        <f t="shared" si="627"/>
        <v>0</v>
      </c>
      <c r="AS467" s="88">
        <f t="shared" si="627"/>
        <v>0</v>
      </c>
      <c r="AT467" s="88">
        <f t="shared" si="627"/>
        <v>0</v>
      </c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</row>
    <row r="468" spans="1:66" ht="14.25" customHeight="1" outlineLevel="1" x14ac:dyDescent="0.3">
      <c r="A468" s="7"/>
      <c r="B468" s="7"/>
      <c r="C468" s="166">
        <v>2033</v>
      </c>
      <c r="D468" s="68">
        <v>0</v>
      </c>
      <c r="E468" s="167">
        <v>5</v>
      </c>
      <c r="F468" s="7"/>
      <c r="G468" s="7"/>
      <c r="H468" s="7"/>
      <c r="I468" s="7"/>
      <c r="J468" s="88">
        <v>0</v>
      </c>
      <c r="K468" s="88">
        <v>0</v>
      </c>
      <c r="L468" s="88">
        <v>0</v>
      </c>
      <c r="M468" s="88">
        <v>0</v>
      </c>
      <c r="N468" s="88">
        <v>0</v>
      </c>
      <c r="O468" s="88">
        <v>0</v>
      </c>
      <c r="P468" s="88">
        <v>0</v>
      </c>
      <c r="Q468" s="88">
        <v>0</v>
      </c>
      <c r="R468" s="88">
        <v>0</v>
      </c>
      <c r="S468" s="88">
        <v>0</v>
      </c>
      <c r="T468" s="88">
        <v>0</v>
      </c>
      <c r="U468" s="88">
        <v>0</v>
      </c>
      <c r="V468" s="88">
        <v>0</v>
      </c>
      <c r="W468" s="88">
        <v>0</v>
      </c>
      <c r="X468" s="88">
        <v>0</v>
      </c>
      <c r="Y468" s="88">
        <v>0</v>
      </c>
      <c r="Z468" s="88">
        <v>0</v>
      </c>
      <c r="AA468" s="88">
        <v>0</v>
      </c>
      <c r="AB468" s="88">
        <v>0</v>
      </c>
      <c r="AC468" s="88">
        <v>0</v>
      </c>
      <c r="AD468" s="88">
        <v>0</v>
      </c>
      <c r="AE468" s="88">
        <v>0</v>
      </c>
      <c r="AF468" s="88">
        <v>0</v>
      </c>
      <c r="AG468" s="88">
        <v>0</v>
      </c>
      <c r="AH468" s="7"/>
      <c r="AI468" s="88">
        <f t="shared" si="627"/>
        <v>0</v>
      </c>
      <c r="AJ468" s="88">
        <f t="shared" si="627"/>
        <v>0</v>
      </c>
      <c r="AK468" s="88">
        <f t="shared" si="627"/>
        <v>0</v>
      </c>
      <c r="AL468" s="88">
        <f t="shared" si="627"/>
        <v>0</v>
      </c>
      <c r="AM468" s="88">
        <f t="shared" si="627"/>
        <v>0</v>
      </c>
      <c r="AN468" s="88">
        <f t="shared" si="627"/>
        <v>0</v>
      </c>
      <c r="AO468" s="88">
        <f t="shared" si="627"/>
        <v>0</v>
      </c>
      <c r="AP468" s="88">
        <f t="shared" si="627"/>
        <v>0</v>
      </c>
      <c r="AQ468" s="88">
        <f t="shared" si="627"/>
        <v>0</v>
      </c>
      <c r="AR468" s="88">
        <f t="shared" si="627"/>
        <v>0</v>
      </c>
      <c r="AS468" s="88">
        <f t="shared" si="627"/>
        <v>0</v>
      </c>
      <c r="AT468" s="88">
        <f t="shared" si="627"/>
        <v>0</v>
      </c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</row>
    <row r="469" spans="1:66" ht="14.25" customHeight="1" outlineLevel="1" x14ac:dyDescent="0.3">
      <c r="A469" s="7"/>
      <c r="B469" s="7"/>
      <c r="C469" s="166">
        <v>2034</v>
      </c>
      <c r="D469" s="68">
        <v>0</v>
      </c>
      <c r="E469" s="167">
        <v>5</v>
      </c>
      <c r="F469" s="7"/>
      <c r="G469" s="7"/>
      <c r="H469" s="7"/>
      <c r="I469" s="7"/>
      <c r="J469" s="88">
        <v>0</v>
      </c>
      <c r="K469" s="88">
        <v>0</v>
      </c>
      <c r="L469" s="88">
        <v>0</v>
      </c>
      <c r="M469" s="88">
        <v>0</v>
      </c>
      <c r="N469" s="88">
        <v>0</v>
      </c>
      <c r="O469" s="88">
        <v>0</v>
      </c>
      <c r="P469" s="88">
        <v>0</v>
      </c>
      <c r="Q469" s="88">
        <v>0</v>
      </c>
      <c r="R469" s="88">
        <v>0</v>
      </c>
      <c r="S469" s="88">
        <v>0</v>
      </c>
      <c r="T469" s="88">
        <v>0</v>
      </c>
      <c r="U469" s="88">
        <v>0</v>
      </c>
      <c r="V469" s="88">
        <v>0</v>
      </c>
      <c r="W469" s="88">
        <v>0</v>
      </c>
      <c r="X469" s="88">
        <v>0</v>
      </c>
      <c r="Y469" s="88">
        <v>0</v>
      </c>
      <c r="Z469" s="88">
        <v>0</v>
      </c>
      <c r="AA469" s="88">
        <v>0</v>
      </c>
      <c r="AB469" s="88">
        <v>0</v>
      </c>
      <c r="AC469" s="88">
        <v>0</v>
      </c>
      <c r="AD469" s="88">
        <v>0</v>
      </c>
      <c r="AE469" s="88">
        <v>0</v>
      </c>
      <c r="AF469" s="88">
        <v>0</v>
      </c>
      <c r="AG469" s="88">
        <v>0</v>
      </c>
      <c r="AH469" s="7"/>
      <c r="AI469" s="88">
        <f t="shared" si="627"/>
        <v>0</v>
      </c>
      <c r="AJ469" s="88">
        <f t="shared" si="627"/>
        <v>0</v>
      </c>
      <c r="AK469" s="88">
        <f t="shared" si="627"/>
        <v>0</v>
      </c>
      <c r="AL469" s="88">
        <f t="shared" si="627"/>
        <v>0</v>
      </c>
      <c r="AM469" s="88">
        <f t="shared" si="627"/>
        <v>0</v>
      </c>
      <c r="AN469" s="88">
        <f t="shared" si="627"/>
        <v>0</v>
      </c>
      <c r="AO469" s="88">
        <f t="shared" si="627"/>
        <v>0</v>
      </c>
      <c r="AP469" s="88">
        <f t="shared" si="627"/>
        <v>0</v>
      </c>
      <c r="AQ469" s="88">
        <f t="shared" si="627"/>
        <v>0</v>
      </c>
      <c r="AR469" s="88">
        <f t="shared" si="627"/>
        <v>0</v>
      </c>
      <c r="AS469" s="88">
        <f t="shared" si="627"/>
        <v>0</v>
      </c>
      <c r="AT469" s="88">
        <f t="shared" si="627"/>
        <v>0</v>
      </c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</row>
    <row r="470" spans="1:66" ht="14.25" customHeight="1" outlineLevel="1" x14ac:dyDescent="0.3">
      <c r="A470" s="7"/>
      <c r="B470" s="7"/>
      <c r="C470" s="166">
        <v>2035</v>
      </c>
      <c r="D470" s="68">
        <v>0</v>
      </c>
      <c r="E470" s="167">
        <v>5</v>
      </c>
      <c r="F470" s="7"/>
      <c r="G470" s="7"/>
      <c r="H470" s="7"/>
      <c r="I470" s="7"/>
      <c r="J470" s="88">
        <v>0</v>
      </c>
      <c r="K470" s="88">
        <v>0</v>
      </c>
      <c r="L470" s="88">
        <v>0</v>
      </c>
      <c r="M470" s="88">
        <v>0</v>
      </c>
      <c r="N470" s="88">
        <v>0</v>
      </c>
      <c r="O470" s="88">
        <v>0</v>
      </c>
      <c r="P470" s="88">
        <v>0</v>
      </c>
      <c r="Q470" s="88">
        <v>0</v>
      </c>
      <c r="R470" s="88">
        <v>0</v>
      </c>
      <c r="S470" s="88">
        <v>0</v>
      </c>
      <c r="T470" s="88">
        <v>0</v>
      </c>
      <c r="U470" s="88">
        <v>0</v>
      </c>
      <c r="V470" s="88">
        <v>0</v>
      </c>
      <c r="W470" s="88">
        <v>0</v>
      </c>
      <c r="X470" s="88">
        <v>0</v>
      </c>
      <c r="Y470" s="88">
        <v>0</v>
      </c>
      <c r="Z470" s="88">
        <v>0</v>
      </c>
      <c r="AA470" s="88">
        <v>0</v>
      </c>
      <c r="AB470" s="88">
        <v>0</v>
      </c>
      <c r="AC470" s="88">
        <v>0</v>
      </c>
      <c r="AD470" s="88">
        <v>0</v>
      </c>
      <c r="AE470" s="88">
        <v>0</v>
      </c>
      <c r="AF470" s="88">
        <v>0</v>
      </c>
      <c r="AG470" s="88">
        <v>0</v>
      </c>
      <c r="AH470" s="7"/>
      <c r="AI470" s="88">
        <f t="shared" si="627"/>
        <v>0</v>
      </c>
      <c r="AJ470" s="88">
        <f t="shared" si="627"/>
        <v>0</v>
      </c>
      <c r="AK470" s="88">
        <f t="shared" si="627"/>
        <v>0</v>
      </c>
      <c r="AL470" s="88">
        <f t="shared" si="627"/>
        <v>0</v>
      </c>
      <c r="AM470" s="88">
        <f t="shared" si="627"/>
        <v>0</v>
      </c>
      <c r="AN470" s="88">
        <f t="shared" si="627"/>
        <v>0</v>
      </c>
      <c r="AO470" s="88">
        <f t="shared" si="627"/>
        <v>0</v>
      </c>
      <c r="AP470" s="88">
        <f t="shared" si="627"/>
        <v>0</v>
      </c>
      <c r="AQ470" s="88">
        <f t="shared" si="627"/>
        <v>0</v>
      </c>
      <c r="AR470" s="88">
        <f t="shared" si="627"/>
        <v>0</v>
      </c>
      <c r="AS470" s="88">
        <f t="shared" si="627"/>
        <v>0</v>
      </c>
      <c r="AT470" s="88">
        <f t="shared" si="627"/>
        <v>0</v>
      </c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</row>
    <row r="471" spans="1:66" ht="14.25" customHeight="1" x14ac:dyDescent="0.3">
      <c r="A471" s="7"/>
      <c r="B471" s="5" t="s">
        <v>345</v>
      </c>
      <c r="C471" s="7"/>
      <c r="D471" s="68"/>
      <c r="E471" s="15" t="s">
        <v>4</v>
      </c>
      <c r="F471" s="7"/>
      <c r="G471" s="7"/>
      <c r="H471" s="7"/>
      <c r="I471" s="7"/>
      <c r="J471" s="168">
        <f t="shared" ref="J471:AG471" si="628">SUM(J461:J470)</f>
        <v>960.66666666666663</v>
      </c>
      <c r="K471" s="168">
        <f t="shared" si="628"/>
        <v>960.66666666666663</v>
      </c>
      <c r="L471" s="168">
        <f t="shared" si="628"/>
        <v>960.66666666666663</v>
      </c>
      <c r="M471" s="168">
        <f t="shared" si="628"/>
        <v>960.66666666666663</v>
      </c>
      <c r="N471" s="168">
        <f t="shared" si="628"/>
        <v>960.66666666666663</v>
      </c>
      <c r="O471" s="168">
        <f t="shared" si="628"/>
        <v>960.66666666666663</v>
      </c>
      <c r="P471" s="168">
        <f t="shared" si="628"/>
        <v>960.66666666666663</v>
      </c>
      <c r="Q471" s="168">
        <f t="shared" si="628"/>
        <v>960.66666666666663</v>
      </c>
      <c r="R471" s="168">
        <f t="shared" si="628"/>
        <v>960.66666666666663</v>
      </c>
      <c r="S471" s="168">
        <f t="shared" si="628"/>
        <v>960.66666666666663</v>
      </c>
      <c r="T471" s="168">
        <f t="shared" si="628"/>
        <v>960.66666666666663</v>
      </c>
      <c r="U471" s="168">
        <f t="shared" si="628"/>
        <v>960.66666666666663</v>
      </c>
      <c r="V471" s="168">
        <f t="shared" si="628"/>
        <v>960.66666666666663</v>
      </c>
      <c r="W471" s="168">
        <f t="shared" si="628"/>
        <v>960.66666666666663</v>
      </c>
      <c r="X471" s="168">
        <f t="shared" si="628"/>
        <v>960.66666666666663</v>
      </c>
      <c r="Y471" s="168">
        <f t="shared" si="628"/>
        <v>960.66666666666663</v>
      </c>
      <c r="Z471" s="168">
        <f t="shared" si="628"/>
        <v>960.66666666666663</v>
      </c>
      <c r="AA471" s="168">
        <f t="shared" si="628"/>
        <v>960.66666666666663</v>
      </c>
      <c r="AB471" s="168">
        <f t="shared" si="628"/>
        <v>960.66666666666663</v>
      </c>
      <c r="AC471" s="168">
        <f t="shared" si="628"/>
        <v>960.66666666666663</v>
      </c>
      <c r="AD471" s="168">
        <f t="shared" si="628"/>
        <v>960.66666666666663</v>
      </c>
      <c r="AE471" s="168">
        <f t="shared" si="628"/>
        <v>960.66666666666663</v>
      </c>
      <c r="AF471" s="168">
        <f t="shared" si="628"/>
        <v>960.66666666666663</v>
      </c>
      <c r="AG471" s="168">
        <f t="shared" si="628"/>
        <v>960.66666666666663</v>
      </c>
      <c r="AH471" s="7"/>
      <c r="AI471" s="168">
        <f t="shared" ref="AI471:AS471" si="629">SUM(AI461:AI470)</f>
        <v>4803.333333333333</v>
      </c>
      <c r="AJ471" s="168">
        <f t="shared" si="629"/>
        <v>11527.999999999998</v>
      </c>
      <c r="AK471" s="168">
        <f t="shared" si="629"/>
        <v>11528</v>
      </c>
      <c r="AL471" s="168">
        <f t="shared" si="629"/>
        <v>11528</v>
      </c>
      <c r="AM471" s="168">
        <f t="shared" si="629"/>
        <v>11528</v>
      </c>
      <c r="AN471" s="168">
        <f t="shared" si="629"/>
        <v>6724.6666666666715</v>
      </c>
      <c r="AO471" s="168">
        <f t="shared" si="629"/>
        <v>0</v>
      </c>
      <c r="AP471" s="168">
        <f t="shared" si="629"/>
        <v>0</v>
      </c>
      <c r="AQ471" s="168">
        <f t="shared" si="629"/>
        <v>0</v>
      </c>
      <c r="AR471" s="168">
        <f t="shared" si="629"/>
        <v>0</v>
      </c>
      <c r="AS471" s="168">
        <f t="shared" si="629"/>
        <v>0</v>
      </c>
      <c r="AT471" s="168">
        <f t="shared" ref="AT471" si="630">SUM(AT461:AT470)</f>
        <v>0</v>
      </c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</row>
    <row r="472" spans="1:66" ht="14.25" customHeight="1" x14ac:dyDescent="0.3">
      <c r="A472" s="7"/>
      <c r="B472" s="7"/>
      <c r="C472" s="7"/>
      <c r="D472" s="7"/>
      <c r="E472" s="15"/>
      <c r="F472" s="7"/>
      <c r="G472" s="7"/>
      <c r="H472" s="7"/>
      <c r="I472" s="7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  <c r="AE472" s="68"/>
      <c r="AF472" s="68"/>
      <c r="AG472" s="68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</row>
    <row r="473" spans="1:66" ht="14.25" customHeight="1" x14ac:dyDescent="0.3">
      <c r="A473" s="7"/>
      <c r="B473" s="5" t="s">
        <v>347</v>
      </c>
      <c r="C473" s="7"/>
      <c r="D473" s="7"/>
      <c r="E473" s="15"/>
      <c r="F473" s="7"/>
      <c r="G473" s="7"/>
      <c r="H473" s="7"/>
      <c r="I473" s="7"/>
      <c r="J473" s="168">
        <f t="shared" ref="J473:AG473" si="631">J457+J471</f>
        <v>1980.7714397499999</v>
      </c>
      <c r="K473" s="168">
        <f t="shared" si="631"/>
        <v>1980.7714397499999</v>
      </c>
      <c r="L473" s="168">
        <f t="shared" si="631"/>
        <v>1980.7714397499999</v>
      </c>
      <c r="M473" s="168">
        <f t="shared" si="631"/>
        <v>1980.7714397499999</v>
      </c>
      <c r="N473" s="168">
        <f t="shared" si="631"/>
        <v>1980.7714397499999</v>
      </c>
      <c r="O473" s="168">
        <f t="shared" si="631"/>
        <v>1980.7714397499999</v>
      </c>
      <c r="P473" s="168">
        <f t="shared" si="631"/>
        <v>1980.7714397499999</v>
      </c>
      <c r="Q473" s="168">
        <f t="shared" si="631"/>
        <v>1980.7714397499999</v>
      </c>
      <c r="R473" s="168">
        <f t="shared" si="631"/>
        <v>1980.7714397499999</v>
      </c>
      <c r="S473" s="168">
        <f t="shared" si="631"/>
        <v>1980.7714397499999</v>
      </c>
      <c r="T473" s="168">
        <f t="shared" si="631"/>
        <v>1980.7714397499999</v>
      </c>
      <c r="U473" s="168">
        <f t="shared" si="631"/>
        <v>1980.7714397499999</v>
      </c>
      <c r="V473" s="168">
        <f t="shared" si="631"/>
        <v>1980.7714397499999</v>
      </c>
      <c r="W473" s="168">
        <f t="shared" si="631"/>
        <v>1980.7714397499999</v>
      </c>
      <c r="X473" s="168">
        <f t="shared" si="631"/>
        <v>1980.7714397499999</v>
      </c>
      <c r="Y473" s="168">
        <f t="shared" si="631"/>
        <v>1980.7714397499999</v>
      </c>
      <c r="Z473" s="168">
        <f t="shared" si="631"/>
        <v>1980.7714397499999</v>
      </c>
      <c r="AA473" s="168">
        <f t="shared" si="631"/>
        <v>1980.7714397499999</v>
      </c>
      <c r="AB473" s="168">
        <f t="shared" si="631"/>
        <v>1980.7714397499999</v>
      </c>
      <c r="AC473" s="168">
        <f t="shared" si="631"/>
        <v>1980.7714397499999</v>
      </c>
      <c r="AD473" s="168">
        <f t="shared" si="631"/>
        <v>1980.7714397499999</v>
      </c>
      <c r="AE473" s="168">
        <f t="shared" si="631"/>
        <v>1980.7714397499999</v>
      </c>
      <c r="AF473" s="168">
        <f t="shared" si="631"/>
        <v>1980.7714397499999</v>
      </c>
      <c r="AG473" s="168">
        <f t="shared" si="631"/>
        <v>1980.7714397499999</v>
      </c>
      <c r="AH473" s="7"/>
      <c r="AI473" s="168">
        <f t="shared" ref="AI473:AS473" si="632">AI457+AI471</f>
        <v>9903.85719875</v>
      </c>
      <c r="AJ473" s="168">
        <f t="shared" si="632"/>
        <v>23769.257277000004</v>
      </c>
      <c r="AK473" s="168">
        <f t="shared" si="632"/>
        <v>23769.257277000001</v>
      </c>
      <c r="AL473" s="168">
        <f t="shared" si="632"/>
        <v>23769.257277000001</v>
      </c>
      <c r="AM473" s="168">
        <f t="shared" si="632"/>
        <v>23769.257277000001</v>
      </c>
      <c r="AN473" s="168">
        <f t="shared" si="632"/>
        <v>18965.923943666672</v>
      </c>
      <c r="AO473" s="168">
        <f t="shared" si="632"/>
        <v>12241.257277000001</v>
      </c>
      <c r="AP473" s="168">
        <f t="shared" si="632"/>
        <v>12241.257277000001</v>
      </c>
      <c r="AQ473" s="168">
        <f t="shared" si="632"/>
        <v>12241.257277000001</v>
      </c>
      <c r="AR473" s="168">
        <f t="shared" si="632"/>
        <v>12241.257277000001</v>
      </c>
      <c r="AS473" s="168">
        <f t="shared" si="632"/>
        <v>12241.257277000001</v>
      </c>
      <c r="AT473" s="168">
        <f t="shared" ref="AT473" si="633">AT457+AT471</f>
        <v>12241.257277000001</v>
      </c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</row>
    <row r="474" spans="1:66" ht="13.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</row>
    <row r="475" spans="1:66" ht="13.5" customHeight="1" x14ac:dyDescent="0.3">
      <c r="A475" s="2" t="s">
        <v>0</v>
      </c>
      <c r="B475" s="3" t="s">
        <v>348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41"/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1"/>
      <c r="BK475" s="41"/>
      <c r="BL475" s="41"/>
      <c r="BM475" s="41"/>
      <c r="BN475" s="41"/>
    </row>
    <row r="476" spans="1:66" ht="13.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169">
        <f>AI35/12</f>
        <v>0.41666666666666669</v>
      </c>
      <c r="AJ476" s="169">
        <f t="shared" ref="AJ476:AT476" si="634">AI476+1</f>
        <v>1.4166666666666667</v>
      </c>
      <c r="AK476" s="169">
        <f t="shared" si="634"/>
        <v>2.416666666666667</v>
      </c>
      <c r="AL476" s="169">
        <f t="shared" si="634"/>
        <v>3.416666666666667</v>
      </c>
      <c r="AM476" s="169">
        <f t="shared" si="634"/>
        <v>4.416666666666667</v>
      </c>
      <c r="AN476" s="169">
        <f t="shared" si="634"/>
        <v>5.416666666666667</v>
      </c>
      <c r="AO476" s="169">
        <f t="shared" si="634"/>
        <v>6.416666666666667</v>
      </c>
      <c r="AP476" s="169">
        <f t="shared" si="634"/>
        <v>7.416666666666667</v>
      </c>
      <c r="AQ476" s="169">
        <f t="shared" si="634"/>
        <v>8.4166666666666679</v>
      </c>
      <c r="AR476" s="169">
        <f t="shared" si="634"/>
        <v>9.4166666666666679</v>
      </c>
      <c r="AS476" s="169">
        <f t="shared" si="634"/>
        <v>10.416666666666668</v>
      </c>
      <c r="AT476" s="169">
        <f t="shared" si="634"/>
        <v>11.416666666666668</v>
      </c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</row>
    <row r="477" spans="1:66" ht="13.5" customHeight="1" x14ac:dyDescent="0.3">
      <c r="A477" s="7"/>
      <c r="B477" s="7"/>
      <c r="C477" s="7"/>
      <c r="D477" s="5" t="s">
        <v>203</v>
      </c>
      <c r="E477" s="5" t="s">
        <v>349</v>
      </c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</row>
    <row r="478" spans="1:66" ht="14.25" customHeight="1" x14ac:dyDescent="0.3">
      <c r="A478" s="7"/>
      <c r="B478" s="7"/>
      <c r="C478" s="7" t="s">
        <v>208</v>
      </c>
      <c r="D478" s="7" t="s">
        <v>4</v>
      </c>
      <c r="E478" s="170">
        <v>260000</v>
      </c>
      <c r="F478" s="7"/>
      <c r="G478" s="7"/>
      <c r="H478" s="7"/>
      <c r="I478" s="7"/>
      <c r="J478" s="8">
        <f t="shared" ref="J478:AG478" si="635">$E$478*(J46+J47)/1000</f>
        <v>55640</v>
      </c>
      <c r="K478" s="8">
        <f t="shared" si="635"/>
        <v>0</v>
      </c>
      <c r="L478" s="8">
        <f t="shared" si="635"/>
        <v>0</v>
      </c>
      <c r="M478" s="8">
        <f t="shared" si="635"/>
        <v>0</v>
      </c>
      <c r="N478" s="8">
        <f t="shared" si="635"/>
        <v>0</v>
      </c>
      <c r="O478" s="8">
        <f t="shared" si="635"/>
        <v>0</v>
      </c>
      <c r="P478" s="8">
        <f t="shared" si="635"/>
        <v>0</v>
      </c>
      <c r="Q478" s="8">
        <f t="shared" si="635"/>
        <v>0</v>
      </c>
      <c r="R478" s="8">
        <f t="shared" si="635"/>
        <v>0</v>
      </c>
      <c r="S478" s="8">
        <f t="shared" si="635"/>
        <v>0</v>
      </c>
      <c r="T478" s="8">
        <f t="shared" si="635"/>
        <v>0</v>
      </c>
      <c r="U478" s="8">
        <f t="shared" si="635"/>
        <v>0</v>
      </c>
      <c r="V478" s="8">
        <f t="shared" si="635"/>
        <v>0</v>
      </c>
      <c r="W478" s="8">
        <f t="shared" si="635"/>
        <v>0</v>
      </c>
      <c r="X478" s="8">
        <f t="shared" si="635"/>
        <v>0</v>
      </c>
      <c r="Y478" s="8">
        <f t="shared" si="635"/>
        <v>0</v>
      </c>
      <c r="Z478" s="8">
        <f t="shared" si="635"/>
        <v>0</v>
      </c>
      <c r="AA478" s="8">
        <f t="shared" si="635"/>
        <v>0</v>
      </c>
      <c r="AB478" s="8">
        <f t="shared" si="635"/>
        <v>0</v>
      </c>
      <c r="AC478" s="8">
        <f t="shared" si="635"/>
        <v>0</v>
      </c>
      <c r="AD478" s="8">
        <f t="shared" si="635"/>
        <v>0</v>
      </c>
      <c r="AE478" s="8">
        <f t="shared" si="635"/>
        <v>0</v>
      </c>
      <c r="AF478" s="8">
        <f t="shared" si="635"/>
        <v>0</v>
      </c>
      <c r="AG478" s="8">
        <f t="shared" si="635"/>
        <v>0</v>
      </c>
      <c r="AH478" s="7"/>
      <c r="AI478" s="8">
        <f t="shared" ref="AI478:AT478" si="636">$E$478*(AI46+AI47)/1000</f>
        <v>55640</v>
      </c>
      <c r="AJ478" s="8">
        <f t="shared" si="636"/>
        <v>0</v>
      </c>
      <c r="AK478" s="8">
        <f t="shared" si="636"/>
        <v>0</v>
      </c>
      <c r="AL478" s="8">
        <f t="shared" si="636"/>
        <v>0</v>
      </c>
      <c r="AM478" s="8">
        <f t="shared" si="636"/>
        <v>0</v>
      </c>
      <c r="AN478" s="8">
        <f t="shared" si="636"/>
        <v>0</v>
      </c>
      <c r="AO478" s="8">
        <f t="shared" si="636"/>
        <v>0</v>
      </c>
      <c r="AP478" s="8">
        <f t="shared" si="636"/>
        <v>0</v>
      </c>
      <c r="AQ478" s="8">
        <f t="shared" si="636"/>
        <v>0</v>
      </c>
      <c r="AR478" s="8">
        <f t="shared" si="636"/>
        <v>0</v>
      </c>
      <c r="AS478" s="8">
        <f t="shared" si="636"/>
        <v>0</v>
      </c>
      <c r="AT478" s="8">
        <f t="shared" si="636"/>
        <v>0</v>
      </c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</row>
    <row r="479" spans="1:66" ht="14.25" customHeight="1" x14ac:dyDescent="0.3">
      <c r="A479" s="7"/>
      <c r="B479" s="7"/>
      <c r="C479" s="7" t="s">
        <v>209</v>
      </c>
      <c r="D479" s="7" t="s">
        <v>4</v>
      </c>
      <c r="E479" s="170">
        <v>15000</v>
      </c>
      <c r="F479" s="7"/>
      <c r="G479" s="7"/>
      <c r="H479" s="7"/>
      <c r="I479" s="7"/>
      <c r="J479" s="8">
        <f t="shared" ref="J479:Y479" si="637">($E$479*(1+J200)*J84+$E$479*(1+J200)*J94)/1000</f>
        <v>0</v>
      </c>
      <c r="K479" s="8">
        <f t="shared" ca="1" si="637"/>
        <v>0</v>
      </c>
      <c r="L479" s="8">
        <f t="shared" ca="1" si="637"/>
        <v>0</v>
      </c>
      <c r="M479" s="8">
        <f t="shared" ca="1" si="637"/>
        <v>0</v>
      </c>
      <c r="N479" s="8">
        <f t="shared" ca="1" si="637"/>
        <v>0</v>
      </c>
      <c r="O479" s="8">
        <f t="shared" ca="1" si="637"/>
        <v>0</v>
      </c>
      <c r="P479" s="8">
        <f t="shared" ca="1" si="637"/>
        <v>0</v>
      </c>
      <c r="Q479" s="8">
        <f t="shared" ca="1" si="637"/>
        <v>0</v>
      </c>
      <c r="R479" s="8">
        <f t="shared" ca="1" si="637"/>
        <v>0</v>
      </c>
      <c r="S479" s="8">
        <f t="shared" ca="1" si="637"/>
        <v>0</v>
      </c>
      <c r="T479" s="8">
        <f t="shared" ca="1" si="637"/>
        <v>0</v>
      </c>
      <c r="U479" s="8">
        <f t="shared" ca="1" si="637"/>
        <v>0</v>
      </c>
      <c r="V479" s="8">
        <f t="shared" ca="1" si="637"/>
        <v>0</v>
      </c>
      <c r="W479" s="8">
        <f t="shared" ca="1" si="637"/>
        <v>0</v>
      </c>
      <c r="X479" s="8">
        <f t="shared" ca="1" si="637"/>
        <v>0</v>
      </c>
      <c r="Y479" s="8">
        <f t="shared" ca="1" si="637"/>
        <v>0</v>
      </c>
      <c r="Z479" s="8">
        <f>AJ479</f>
        <v>0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8">
        <v>0</v>
      </c>
      <c r="AH479" s="7"/>
      <c r="AI479" s="8">
        <v>0</v>
      </c>
      <c r="AJ479" s="8">
        <v>0</v>
      </c>
      <c r="AK479" s="8">
        <v>0</v>
      </c>
      <c r="AL479" s="8">
        <v>0</v>
      </c>
      <c r="AM479" s="8">
        <v>0</v>
      </c>
      <c r="AN479" s="8">
        <v>0</v>
      </c>
      <c r="AO479" s="8">
        <v>0</v>
      </c>
      <c r="AP479" s="8">
        <v>0</v>
      </c>
      <c r="AQ479" s="8">
        <v>0</v>
      </c>
      <c r="AR479" s="8">
        <v>0</v>
      </c>
      <c r="AS479" s="8">
        <v>0</v>
      </c>
      <c r="AT479" s="8">
        <v>0</v>
      </c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</row>
    <row r="480" spans="1:66" ht="14.25" customHeight="1" x14ac:dyDescent="0.3">
      <c r="A480" s="7"/>
      <c r="B480" s="7"/>
      <c r="C480" s="7" t="s">
        <v>210</v>
      </c>
      <c r="D480" s="7" t="s">
        <v>4</v>
      </c>
      <c r="E480" s="170">
        <v>100000</v>
      </c>
      <c r="F480" s="7"/>
      <c r="G480" s="7"/>
      <c r="H480" s="7"/>
      <c r="I480" s="7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7"/>
      <c r="AI480" s="88">
        <v>0</v>
      </c>
      <c r="AJ480" s="88">
        <v>0</v>
      </c>
      <c r="AK480" s="88">
        <v>0</v>
      </c>
      <c r="AL480" s="88">
        <v>0</v>
      </c>
      <c r="AM480" s="88">
        <v>0</v>
      </c>
      <c r="AN480" s="88">
        <v>0</v>
      </c>
      <c r="AO480" s="88">
        <v>0</v>
      </c>
      <c r="AP480" s="88">
        <v>0</v>
      </c>
      <c r="AQ480" s="88">
        <v>0</v>
      </c>
      <c r="AR480" s="88">
        <v>0</v>
      </c>
      <c r="AS480" s="88">
        <v>0</v>
      </c>
      <c r="AT480" s="88">
        <v>0</v>
      </c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</row>
    <row r="481" spans="1:66" ht="14.25" customHeight="1" x14ac:dyDescent="0.3">
      <c r="A481" s="7"/>
      <c r="B481" s="7"/>
      <c r="C481" s="7" t="s">
        <v>211</v>
      </c>
      <c r="D481" s="7" t="s">
        <v>4</v>
      </c>
      <c r="E481" s="171">
        <v>0.2</v>
      </c>
      <c r="F481" s="7"/>
      <c r="G481" s="7"/>
      <c r="H481" s="7"/>
      <c r="I481" s="7"/>
      <c r="J481" s="94">
        <v>0</v>
      </c>
      <c r="K481" s="94">
        <v>0</v>
      </c>
      <c r="L481" s="94">
        <v>0</v>
      </c>
      <c r="M481" s="94">
        <v>0</v>
      </c>
      <c r="N481" s="94">
        <v>0</v>
      </c>
      <c r="O481" s="94">
        <v>0</v>
      </c>
      <c r="P481" s="94">
        <v>0</v>
      </c>
      <c r="Q481" s="94">
        <v>0</v>
      </c>
      <c r="R481" s="94">
        <v>0</v>
      </c>
      <c r="S481" s="94">
        <v>0</v>
      </c>
      <c r="T481" s="94">
        <v>0</v>
      </c>
      <c r="U481" s="94">
        <v>0</v>
      </c>
      <c r="V481" s="94">
        <v>0</v>
      </c>
      <c r="W481" s="94">
        <v>0</v>
      </c>
      <c r="X481" s="94">
        <v>0</v>
      </c>
      <c r="Y481" s="94">
        <v>0</v>
      </c>
      <c r="Z481" s="94">
        <v>0</v>
      </c>
      <c r="AA481" s="94">
        <v>0</v>
      </c>
      <c r="AB481" s="94">
        <v>0</v>
      </c>
      <c r="AC481" s="94">
        <v>0</v>
      </c>
      <c r="AD481" s="94">
        <v>0</v>
      </c>
      <c r="AE481" s="94">
        <v>0</v>
      </c>
      <c r="AF481" s="94">
        <v>0</v>
      </c>
      <c r="AG481" s="94">
        <v>0</v>
      </c>
      <c r="AH481" s="7"/>
      <c r="AI481" s="88">
        <v>0</v>
      </c>
      <c r="AJ481" s="88">
        <v>0</v>
      </c>
      <c r="AK481" s="88">
        <v>0</v>
      </c>
      <c r="AL481" s="88">
        <v>0</v>
      </c>
      <c r="AM481" s="88">
        <v>0</v>
      </c>
      <c r="AN481" s="88">
        <v>0</v>
      </c>
      <c r="AO481" s="88">
        <v>0</v>
      </c>
      <c r="AP481" s="88">
        <v>0</v>
      </c>
      <c r="AQ481" s="88">
        <v>0</v>
      </c>
      <c r="AR481" s="88">
        <v>0</v>
      </c>
      <c r="AS481" s="88">
        <v>0</v>
      </c>
      <c r="AT481" s="88">
        <v>0</v>
      </c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</row>
    <row r="482" spans="1:66" ht="13.5" customHeight="1" x14ac:dyDescent="0.3">
      <c r="A482" s="7"/>
      <c r="B482" s="7"/>
      <c r="C482" s="15" t="s">
        <v>350</v>
      </c>
      <c r="D482" s="15" t="s">
        <v>351</v>
      </c>
      <c r="E482" s="171">
        <v>0.2</v>
      </c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88">
        <v>0</v>
      </c>
      <c r="AJ482" s="88">
        <v>0</v>
      </c>
      <c r="AK482" s="88">
        <v>0</v>
      </c>
      <c r="AL482" s="88">
        <v>0</v>
      </c>
      <c r="AM482" s="88">
        <v>0</v>
      </c>
      <c r="AN482" s="88">
        <v>0</v>
      </c>
      <c r="AO482" s="88">
        <v>0</v>
      </c>
      <c r="AP482" s="88">
        <v>0</v>
      </c>
      <c r="AQ482" s="88">
        <v>0</v>
      </c>
      <c r="AR482" s="88">
        <v>0</v>
      </c>
      <c r="AS482" s="88">
        <v>0</v>
      </c>
      <c r="AT482" s="88">
        <v>0</v>
      </c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</row>
    <row r="483" spans="1:66" ht="13.5" customHeight="1" x14ac:dyDescent="0.3">
      <c r="A483" s="7"/>
      <c r="B483" s="7"/>
      <c r="C483" s="15" t="s">
        <v>352</v>
      </c>
      <c r="D483" s="15"/>
      <c r="E483" s="170">
        <v>300</v>
      </c>
      <c r="F483" s="7"/>
      <c r="G483" s="7"/>
      <c r="H483" s="7"/>
      <c r="I483" s="7"/>
      <c r="J483" s="88">
        <f t="shared" ref="J483:AG483" si="638">$E$483*(1+J200)*SUM(J176:J177)/1000</f>
        <v>0</v>
      </c>
      <c r="K483" s="88">
        <f t="shared" si="638"/>
        <v>0</v>
      </c>
      <c r="L483" s="88">
        <f t="shared" si="638"/>
        <v>0</v>
      </c>
      <c r="M483" s="88">
        <f t="shared" si="638"/>
        <v>0</v>
      </c>
      <c r="N483" s="88">
        <f t="shared" si="638"/>
        <v>0</v>
      </c>
      <c r="O483" s="88">
        <f t="shared" si="638"/>
        <v>0</v>
      </c>
      <c r="P483" s="88">
        <f t="shared" si="638"/>
        <v>0</v>
      </c>
      <c r="Q483" s="88">
        <f t="shared" si="638"/>
        <v>0</v>
      </c>
      <c r="R483" s="88">
        <f t="shared" si="638"/>
        <v>0</v>
      </c>
      <c r="S483" s="88">
        <f t="shared" si="638"/>
        <v>0</v>
      </c>
      <c r="T483" s="88">
        <f t="shared" si="638"/>
        <v>0</v>
      </c>
      <c r="U483" s="88">
        <f t="shared" si="638"/>
        <v>0</v>
      </c>
      <c r="V483" s="88">
        <f t="shared" si="638"/>
        <v>0</v>
      </c>
      <c r="W483" s="88">
        <f t="shared" si="638"/>
        <v>0</v>
      </c>
      <c r="X483" s="88">
        <f t="shared" si="638"/>
        <v>0</v>
      </c>
      <c r="Y483" s="88">
        <f t="shared" si="638"/>
        <v>0</v>
      </c>
      <c r="Z483" s="88">
        <f t="shared" si="638"/>
        <v>0</v>
      </c>
      <c r="AA483" s="88">
        <f t="shared" si="638"/>
        <v>0</v>
      </c>
      <c r="AB483" s="88">
        <f t="shared" si="638"/>
        <v>0</v>
      </c>
      <c r="AC483" s="88">
        <f t="shared" si="638"/>
        <v>0</v>
      </c>
      <c r="AD483" s="88">
        <f t="shared" si="638"/>
        <v>0</v>
      </c>
      <c r="AE483" s="88">
        <f t="shared" si="638"/>
        <v>0</v>
      </c>
      <c r="AF483" s="88">
        <f t="shared" si="638"/>
        <v>0</v>
      </c>
      <c r="AG483" s="88">
        <f t="shared" si="638"/>
        <v>0</v>
      </c>
      <c r="AH483" s="7"/>
      <c r="AI483" s="88">
        <f t="shared" ref="AI483:AT483" si="639">$E$483*(1+AI200)*SUM(AI176:AI177)/1000</f>
        <v>0</v>
      </c>
      <c r="AJ483" s="88">
        <f t="shared" si="639"/>
        <v>0</v>
      </c>
      <c r="AK483" s="88">
        <f t="shared" si="639"/>
        <v>8905.8301115081103</v>
      </c>
      <c r="AL483" s="88">
        <f t="shared" ca="1" si="639"/>
        <v>10781.87754582792</v>
      </c>
      <c r="AM483" s="88">
        <f t="shared" ca="1" si="639"/>
        <v>14205.766432405058</v>
      </c>
      <c r="AN483" s="88">
        <f t="shared" ca="1" si="639"/>
        <v>18298.949120829238</v>
      </c>
      <c r="AO483" s="88">
        <f t="shared" ca="1" si="639"/>
        <v>19981.512862500003</v>
      </c>
      <c r="AP483" s="88">
        <f t="shared" ca="1" si="639"/>
        <v>20881.002187500002</v>
      </c>
      <c r="AQ483" s="88">
        <f t="shared" ca="1" si="639"/>
        <v>21716.242275000001</v>
      </c>
      <c r="AR483" s="88">
        <f t="shared" ca="1" si="639"/>
        <v>22487.233125000002</v>
      </c>
      <c r="AS483" s="88">
        <f t="shared" ca="1" si="639"/>
        <v>23129.725500000004</v>
      </c>
      <c r="AT483" s="88">
        <f t="shared" ca="1" si="639"/>
        <v>23772.217875000002</v>
      </c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</row>
    <row r="484" spans="1:66" ht="13.5" customHeight="1" x14ac:dyDescent="0.3">
      <c r="A484" s="7"/>
      <c r="B484" s="7"/>
      <c r="C484" s="15"/>
      <c r="D484" s="15"/>
      <c r="E484" s="171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12">
        <f t="shared" ref="AI484:AS484" si="640">SUM(AI478:AI483)</f>
        <v>55640</v>
      </c>
      <c r="AJ484" s="12">
        <f t="shared" si="640"/>
        <v>0</v>
      </c>
      <c r="AK484" s="12">
        <f t="shared" si="640"/>
        <v>8905.8301115081103</v>
      </c>
      <c r="AL484" s="12">
        <f t="shared" ca="1" si="640"/>
        <v>10781.87754582792</v>
      </c>
      <c r="AM484" s="12">
        <f t="shared" ca="1" si="640"/>
        <v>14205.766432405058</v>
      </c>
      <c r="AN484" s="12">
        <f t="shared" ca="1" si="640"/>
        <v>18298.949120829238</v>
      </c>
      <c r="AO484" s="12">
        <f t="shared" ca="1" si="640"/>
        <v>19981.512862500003</v>
      </c>
      <c r="AP484" s="12">
        <f t="shared" ca="1" si="640"/>
        <v>20881.002187500002</v>
      </c>
      <c r="AQ484" s="12">
        <f t="shared" ca="1" si="640"/>
        <v>21716.242275000001</v>
      </c>
      <c r="AR484" s="12">
        <f t="shared" ca="1" si="640"/>
        <v>22487.233125000002</v>
      </c>
      <c r="AS484" s="12">
        <f t="shared" ca="1" si="640"/>
        <v>23129.725500000004</v>
      </c>
      <c r="AT484" s="12">
        <f t="shared" ref="AT484" ca="1" si="641">SUM(AT478:AT483)</f>
        <v>23772.217875000002</v>
      </c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</row>
    <row r="485" spans="1:66" ht="13.5" customHeight="1" x14ac:dyDescent="0.3">
      <c r="A485" s="2" t="s">
        <v>0</v>
      </c>
      <c r="B485" s="3" t="s">
        <v>84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</row>
    <row r="486" spans="1:66" ht="13.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</row>
    <row r="487" spans="1:66" ht="13.5" customHeight="1" x14ac:dyDescent="0.3">
      <c r="A487" s="7"/>
      <c r="B487" s="5" t="s">
        <v>353</v>
      </c>
      <c r="C487" s="7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</row>
    <row r="488" spans="1:66" ht="13.5" customHeight="1" x14ac:dyDescent="0.3">
      <c r="A488" s="10"/>
      <c r="B488" s="10" t="s">
        <v>354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1">
        <f t="shared" ref="AI488:AT488" ca="1" si="642">(AI104+AI105-AI70)/2*(AI35*30)</f>
        <v>31950.561563085936</v>
      </c>
      <c r="AJ488" s="101">
        <f t="shared" ca="1" si="642"/>
        <v>70067.029649767486</v>
      </c>
      <c r="AK488" s="101">
        <f t="shared" ca="1" si="642"/>
        <v>45097.404263900564</v>
      </c>
      <c r="AL488" s="101">
        <f t="shared" ca="1" si="642"/>
        <v>54425.051864082219</v>
      </c>
      <c r="AM488" s="101">
        <f t="shared" ca="1" si="642"/>
        <v>66081.786377260127</v>
      </c>
      <c r="AN488" s="101">
        <f t="shared" ca="1" si="642"/>
        <v>68674.693110556851</v>
      </c>
      <c r="AO488" s="101">
        <f t="shared" ca="1" si="642"/>
        <v>69300</v>
      </c>
      <c r="AP488" s="101">
        <f t="shared" ca="1" si="642"/>
        <v>69300</v>
      </c>
      <c r="AQ488" s="101">
        <f t="shared" ca="1" si="642"/>
        <v>69300</v>
      </c>
      <c r="AR488" s="101">
        <f t="shared" ca="1" si="642"/>
        <v>69300</v>
      </c>
      <c r="AS488" s="101">
        <f t="shared" ca="1" si="642"/>
        <v>69300</v>
      </c>
      <c r="AT488" s="101">
        <f t="shared" ca="1" si="642"/>
        <v>69300</v>
      </c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</row>
    <row r="489" spans="1:66" ht="13.5" customHeight="1" x14ac:dyDescent="0.3">
      <c r="A489" s="10"/>
      <c r="B489" s="10" t="s">
        <v>355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1">
        <f t="shared" ref="AI489:AT489" ca="1" si="643">-(AI204+AI216)*1000/AI488</f>
        <v>567.34303251328788</v>
      </c>
      <c r="AJ489" s="101">
        <f t="shared" ca="1" si="643"/>
        <v>784.95146085438228</v>
      </c>
      <c r="AK489" s="101">
        <f t="shared" ca="1" si="643"/>
        <v>1568.3727596857404</v>
      </c>
      <c r="AL489" s="101">
        <f t="shared" ca="1" si="643"/>
        <v>1402.8882710245528</v>
      </c>
      <c r="AM489" s="101">
        <f t="shared" ca="1" si="643"/>
        <v>1366.2821396873114</v>
      </c>
      <c r="AN489" s="101">
        <f t="shared" ca="1" si="643"/>
        <v>1415.5937737358388</v>
      </c>
      <c r="AO489" s="101">
        <f t="shared" ca="1" si="643"/>
        <v>1513.6758770826534</v>
      </c>
      <c r="AP489" s="101">
        <f t="shared" ca="1" si="643"/>
        <v>1617.7444506851439</v>
      </c>
      <c r="AQ489" s="101">
        <f t="shared" ca="1" si="643"/>
        <v>1720.9228085034194</v>
      </c>
      <c r="AR489" s="101">
        <f t="shared" ca="1" si="643"/>
        <v>1822.1654680138199</v>
      </c>
      <c r="AS489" s="101">
        <f t="shared" ca="1" si="643"/>
        <v>1911.4506354364262</v>
      </c>
      <c r="AT489" s="101">
        <f t="shared" ca="1" si="643"/>
        <v>2005.0785208316245</v>
      </c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</row>
    <row r="490" spans="1:66" ht="13.5" customHeight="1" x14ac:dyDescent="0.3">
      <c r="A490" s="10"/>
      <c r="B490" s="10"/>
      <c r="C490" s="10" t="s">
        <v>356</v>
      </c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1">
        <f t="shared" ref="AI490:AT490" ca="1" si="644">-(AI205+AI217)*1000/AI488</f>
        <v>97.506203718920446</v>
      </c>
      <c r="AJ490" s="101">
        <f t="shared" ca="1" si="644"/>
        <v>220.16558338207776</v>
      </c>
      <c r="AK490" s="101">
        <f t="shared" ca="1" si="644"/>
        <v>584.94789568274712</v>
      </c>
      <c r="AL490" s="101">
        <f t="shared" ca="1" si="644"/>
        <v>496.85452819428144</v>
      </c>
      <c r="AM490" s="101">
        <f t="shared" ca="1" si="644"/>
        <v>538.23352513984003</v>
      </c>
      <c r="AN490" s="101">
        <f t="shared" ca="1" si="644"/>
        <v>542.71693524540922</v>
      </c>
      <c r="AO490" s="101">
        <f t="shared" ca="1" si="644"/>
        <v>580.93303566287886</v>
      </c>
      <c r="AP490" s="101">
        <f t="shared" ca="1" si="644"/>
        <v>621.59834815928048</v>
      </c>
      <c r="AQ490" s="101">
        <f t="shared" ca="1" si="644"/>
        <v>662.00224078963356</v>
      </c>
      <c r="AR490" s="101">
        <f t="shared" ca="1" si="644"/>
        <v>701.72237523701165</v>
      </c>
      <c r="AS490" s="101">
        <f t="shared" ca="1" si="644"/>
        <v>736.80849399886222</v>
      </c>
      <c r="AT490" s="101">
        <f t="shared" ca="1" si="644"/>
        <v>773.64891869880535</v>
      </c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</row>
    <row r="491" spans="1:66" ht="13.5" customHeight="1" x14ac:dyDescent="0.3">
      <c r="A491" s="10"/>
      <c r="B491" s="10"/>
      <c r="C491" s="10" t="s">
        <v>357</v>
      </c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0">
        <f t="shared" ref="AI491:AS491" ca="1" si="645">AI490/AI489</f>
        <v>0.17186463590991</v>
      </c>
      <c r="AJ491" s="100">
        <f t="shared" ca="1" si="645"/>
        <v>0.28048305450943173</v>
      </c>
      <c r="AK491" s="100">
        <f t="shared" ca="1" si="645"/>
        <v>0.37296484019523196</v>
      </c>
      <c r="AL491" s="100">
        <f t="shared" ca="1" si="645"/>
        <v>0.35416543031714154</v>
      </c>
      <c r="AM491" s="100">
        <f t="shared" ca="1" si="645"/>
        <v>0.39394024814158857</v>
      </c>
      <c r="AN491" s="100">
        <f t="shared" ca="1" si="645"/>
        <v>0.38338465830712576</v>
      </c>
      <c r="AO491" s="100">
        <f t="shared" ca="1" si="645"/>
        <v>0.38378958432139787</v>
      </c>
      <c r="AP491" s="100">
        <f t="shared" ca="1" si="645"/>
        <v>0.38423766367798229</v>
      </c>
      <c r="AQ491" s="100">
        <f t="shared" ca="1" si="645"/>
        <v>0.38467863725121765</v>
      </c>
      <c r="AR491" s="100">
        <f t="shared" ca="1" si="645"/>
        <v>0.38510354166786875</v>
      </c>
      <c r="AS491" s="100">
        <f t="shared" ca="1" si="645"/>
        <v>0.38547084624585798</v>
      </c>
      <c r="AT491" s="100">
        <f t="shared" ref="AT491" ca="1" si="646">AT490/AT489</f>
        <v>0.38584469917812869</v>
      </c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</row>
    <row r="492" spans="1:66" ht="13.5" customHeight="1" x14ac:dyDescent="0.3">
      <c r="A492" s="10"/>
      <c r="B492" s="50" t="s">
        <v>358</v>
      </c>
      <c r="C492" s="1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50"/>
      <c r="AE492" s="50"/>
      <c r="AF492" s="50"/>
      <c r="AG492" s="50"/>
      <c r="AH492" s="50"/>
      <c r="AI492" s="103">
        <f t="shared" ref="AI492:AT492" ca="1" si="647">-(SUM(AI204,AI216,AI224,AI226,AI227,AI228,AI232,AI233))*1000/AI488</f>
        <v>877.78889679536735</v>
      </c>
      <c r="AJ492" s="103">
        <f t="shared" ca="1" si="647"/>
        <v>1124.7033726450231</v>
      </c>
      <c r="AK492" s="103">
        <f t="shared" ca="1" si="647"/>
        <v>2143.6613772480669</v>
      </c>
      <c r="AL492" s="103">
        <f t="shared" ca="1" si="647"/>
        <v>1889.9986930645755</v>
      </c>
      <c r="AM492" s="103">
        <f t="shared" ca="1" si="647"/>
        <v>1782.9281177692469</v>
      </c>
      <c r="AN492" s="103">
        <f t="shared" ca="1" si="647"/>
        <v>1781.1817574941938</v>
      </c>
      <c r="AO492" s="103">
        <f t="shared" ca="1" si="647"/>
        <v>1787.6766798381577</v>
      </c>
      <c r="AP492" s="103">
        <f t="shared" ca="1" si="647"/>
        <v>1898.4163292454023</v>
      </c>
      <c r="AQ492" s="103">
        <f t="shared" ca="1" si="647"/>
        <v>2008.206003843994</v>
      </c>
      <c r="AR492" s="103">
        <f t="shared" ca="1" si="647"/>
        <v>2115.9336332804569</v>
      </c>
      <c r="AS492" s="103">
        <f t="shared" ca="1" si="647"/>
        <v>2210.9360653953268</v>
      </c>
      <c r="AT492" s="103">
        <f t="shared" ca="1" si="647"/>
        <v>2310.5578075431599</v>
      </c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</row>
    <row r="493" spans="1:66" ht="13.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</row>
    <row r="494" spans="1:66" ht="13.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</row>
    <row r="495" spans="1:66" ht="13.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</row>
    <row r="496" spans="1:66" ht="13.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</row>
    <row r="497" spans="1:66" ht="13.5" customHeight="1" x14ac:dyDescent="0.3">
      <c r="A497" s="7"/>
      <c r="B497" s="7" t="s">
        <v>359</v>
      </c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55">
        <f t="shared" ref="AI497:AT497" ca="1" si="648">-SUM(AI205,AI217)/AI105/AI35*1000</f>
        <v>2938.9320172848747</v>
      </c>
      <c r="AJ497" s="55">
        <f t="shared" ca="1" si="648"/>
        <v>7252.4770859776263</v>
      </c>
      <c r="AK497" s="55">
        <f t="shared" ca="1" si="648"/>
        <v>10366.757149521329</v>
      </c>
      <c r="AL497" s="55">
        <f t="shared" ca="1" si="648"/>
        <v>8623.8952680360853</v>
      </c>
      <c r="AM497" s="55">
        <f t="shared" ca="1" si="648"/>
        <v>9364.0081817606861</v>
      </c>
      <c r="AN497" s="55">
        <f t="shared" ca="1" si="648"/>
        <v>9705.9684827813635</v>
      </c>
      <c r="AO497" s="55">
        <f t="shared" ca="1" si="648"/>
        <v>10484.025877978518</v>
      </c>
      <c r="AP497" s="55">
        <f t="shared" ca="1" si="648"/>
        <v>11217.907689437012</v>
      </c>
      <c r="AQ497" s="55">
        <f t="shared" ca="1" si="648"/>
        <v>11947.071689250419</v>
      </c>
      <c r="AR497" s="55">
        <f t="shared" ca="1" si="648"/>
        <v>12663.895990605444</v>
      </c>
      <c r="AS497" s="55">
        <f t="shared" ca="1" si="648"/>
        <v>13297.090790135717</v>
      </c>
      <c r="AT497" s="55">
        <f t="shared" ca="1" si="648"/>
        <v>13961.945329642504</v>
      </c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</row>
    <row r="498" spans="1:66" ht="13.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</row>
    <row r="499" spans="1:66" ht="13.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</row>
    <row r="500" spans="1:66" ht="13.5" customHeight="1" x14ac:dyDescent="0.3">
      <c r="A500" s="7"/>
      <c r="B500" s="5" t="s">
        <v>360</v>
      </c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</row>
    <row r="501" spans="1:66" ht="13.5" customHeight="1" x14ac:dyDescent="0.3">
      <c r="A501" s="7"/>
      <c r="B501" s="7"/>
      <c r="C501" s="7" t="s">
        <v>56</v>
      </c>
      <c r="D501" s="7" t="s">
        <v>361</v>
      </c>
      <c r="E501" s="7"/>
      <c r="F501" s="7"/>
      <c r="G501" s="7"/>
      <c r="H501" s="7"/>
      <c r="I501" s="7"/>
      <c r="J501" s="44">
        <v>1</v>
      </c>
      <c r="K501" s="44">
        <v>1</v>
      </c>
      <c r="L501" s="44">
        <v>1</v>
      </c>
      <c r="M501" s="44">
        <v>1</v>
      </c>
      <c r="N501" s="44">
        <v>1</v>
      </c>
      <c r="O501" s="44">
        <v>1</v>
      </c>
      <c r="P501" s="44">
        <v>1</v>
      </c>
      <c r="Q501" s="44">
        <v>1</v>
      </c>
      <c r="R501" s="44">
        <v>1</v>
      </c>
      <c r="S501" s="44">
        <v>1</v>
      </c>
      <c r="T501" s="44">
        <v>1</v>
      </c>
      <c r="U501" s="44">
        <v>1</v>
      </c>
      <c r="V501" s="44">
        <v>1</v>
      </c>
      <c r="W501" s="44">
        <v>1</v>
      </c>
      <c r="X501" s="44">
        <v>1</v>
      </c>
      <c r="Y501" s="44">
        <v>1</v>
      </c>
      <c r="Z501" s="44">
        <v>1</v>
      </c>
      <c r="AA501" s="44">
        <v>1</v>
      </c>
      <c r="AB501" s="44">
        <v>1</v>
      </c>
      <c r="AC501" s="44">
        <v>1</v>
      </c>
      <c r="AD501" s="44">
        <v>1</v>
      </c>
      <c r="AE501" s="44">
        <v>1</v>
      </c>
      <c r="AF501" s="44">
        <v>1</v>
      </c>
      <c r="AG501" s="44">
        <v>1</v>
      </c>
      <c r="AH501" s="7"/>
      <c r="AI501" s="8">
        <f t="shared" ref="AI501:AJ501" si="649">SUMIF($J$37:$AG$37,AI$37,$J501:$AG501)</f>
        <v>5</v>
      </c>
      <c r="AJ501" s="8">
        <f t="shared" si="649"/>
        <v>12</v>
      </c>
      <c r="AK501" s="44">
        <v>12</v>
      </c>
      <c r="AL501" s="44">
        <v>12</v>
      </c>
      <c r="AM501" s="44">
        <v>12</v>
      </c>
      <c r="AN501" s="44">
        <v>12</v>
      </c>
      <c r="AO501" s="44">
        <v>12</v>
      </c>
      <c r="AP501" s="44">
        <v>12</v>
      </c>
      <c r="AQ501" s="44">
        <v>12</v>
      </c>
      <c r="AR501" s="44">
        <v>12</v>
      </c>
      <c r="AS501" s="44">
        <v>12</v>
      </c>
      <c r="AT501" s="44">
        <v>12</v>
      </c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</row>
    <row r="502" spans="1:66" ht="13.5" customHeight="1" x14ac:dyDescent="0.3">
      <c r="A502" s="7"/>
      <c r="B502" s="7"/>
      <c r="C502" s="7" t="s">
        <v>88</v>
      </c>
      <c r="D502" s="7" t="s">
        <v>361</v>
      </c>
      <c r="E502" s="7"/>
      <c r="F502" s="7"/>
      <c r="G502" s="7"/>
      <c r="H502" s="7"/>
      <c r="I502" s="7"/>
      <c r="J502" s="44">
        <v>1</v>
      </c>
      <c r="K502" s="44">
        <v>1</v>
      </c>
      <c r="L502" s="44">
        <v>1</v>
      </c>
      <c r="M502" s="44">
        <v>1</v>
      </c>
      <c r="N502" s="44">
        <v>1</v>
      </c>
      <c r="O502" s="44">
        <v>1</v>
      </c>
      <c r="P502" s="44">
        <v>1</v>
      </c>
      <c r="Q502" s="44">
        <v>1</v>
      </c>
      <c r="R502" s="44">
        <v>1</v>
      </c>
      <c r="S502" s="44">
        <v>1</v>
      </c>
      <c r="T502" s="44">
        <v>1</v>
      </c>
      <c r="U502" s="44">
        <v>1</v>
      </c>
      <c r="V502" s="44">
        <v>1</v>
      </c>
      <c r="W502" s="44">
        <v>1</v>
      </c>
      <c r="X502" s="44">
        <v>1</v>
      </c>
      <c r="Y502" s="44">
        <v>1</v>
      </c>
      <c r="Z502" s="44">
        <v>1</v>
      </c>
      <c r="AA502" s="44">
        <v>1</v>
      </c>
      <c r="AB502" s="44">
        <v>1</v>
      </c>
      <c r="AC502" s="44">
        <v>1</v>
      </c>
      <c r="AD502" s="44">
        <v>1</v>
      </c>
      <c r="AE502" s="44">
        <v>1</v>
      </c>
      <c r="AF502" s="44">
        <v>1</v>
      </c>
      <c r="AG502" s="44">
        <v>1</v>
      </c>
      <c r="AH502" s="7"/>
      <c r="AI502" s="8">
        <f t="shared" ref="AI502:AJ502" si="650">SUMIF($J$37:$AG$37,AI$37,$J502:$AG502)</f>
        <v>5</v>
      </c>
      <c r="AJ502" s="8">
        <f t="shared" si="650"/>
        <v>12</v>
      </c>
      <c r="AK502" s="44">
        <v>12</v>
      </c>
      <c r="AL502" s="44">
        <v>12</v>
      </c>
      <c r="AM502" s="44">
        <v>12</v>
      </c>
      <c r="AN502" s="44">
        <v>12</v>
      </c>
      <c r="AO502" s="44">
        <v>12</v>
      </c>
      <c r="AP502" s="44">
        <v>12</v>
      </c>
      <c r="AQ502" s="44">
        <v>12</v>
      </c>
      <c r="AR502" s="44">
        <v>12</v>
      </c>
      <c r="AS502" s="44">
        <v>12</v>
      </c>
      <c r="AT502" s="44">
        <v>12</v>
      </c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</row>
    <row r="503" spans="1:66" ht="13.5" customHeight="1" x14ac:dyDescent="0.3">
      <c r="A503" s="7"/>
      <c r="B503" s="7"/>
      <c r="C503" s="7" t="s">
        <v>89</v>
      </c>
      <c r="D503" s="7" t="s">
        <v>361</v>
      </c>
      <c r="J503" s="44">
        <v>1</v>
      </c>
      <c r="K503" s="44">
        <v>1</v>
      </c>
      <c r="L503" s="44">
        <v>1</v>
      </c>
      <c r="M503" s="44">
        <v>1</v>
      </c>
      <c r="N503" s="44">
        <v>1</v>
      </c>
      <c r="O503" s="44">
        <v>1</v>
      </c>
      <c r="P503" s="44">
        <v>1</v>
      </c>
      <c r="Q503" s="44">
        <v>1</v>
      </c>
      <c r="R503" s="44">
        <v>1</v>
      </c>
      <c r="S503" s="44">
        <v>1</v>
      </c>
      <c r="T503" s="44">
        <v>1</v>
      </c>
      <c r="U503" s="44">
        <v>1</v>
      </c>
      <c r="V503" s="44">
        <v>1</v>
      </c>
      <c r="W503" s="44">
        <v>1</v>
      </c>
      <c r="X503" s="44">
        <v>1</v>
      </c>
      <c r="Y503" s="44">
        <v>1</v>
      </c>
      <c r="Z503" s="44">
        <v>1</v>
      </c>
      <c r="AA503" s="44">
        <v>1</v>
      </c>
      <c r="AB503" s="44">
        <v>1</v>
      </c>
      <c r="AC503" s="44">
        <v>1</v>
      </c>
      <c r="AD503" s="44">
        <v>1</v>
      </c>
      <c r="AE503" s="44">
        <v>1</v>
      </c>
      <c r="AF503" s="44">
        <v>1</v>
      </c>
      <c r="AG503" s="44">
        <v>1</v>
      </c>
      <c r="AH503" s="7"/>
      <c r="AI503" s="8">
        <f t="shared" ref="AI503:AJ503" si="651">SUMIF($J$37:$AG$37,AI$37,$J503:$AG503)</f>
        <v>5</v>
      </c>
      <c r="AJ503" s="8">
        <f t="shared" si="651"/>
        <v>12</v>
      </c>
      <c r="AK503" s="44">
        <v>7</v>
      </c>
      <c r="AL503" s="44">
        <v>7</v>
      </c>
      <c r="AM503" s="44">
        <v>7</v>
      </c>
      <c r="AN503" s="44">
        <v>7</v>
      </c>
      <c r="AO503" s="44">
        <v>7</v>
      </c>
      <c r="AP503" s="44">
        <v>7</v>
      </c>
      <c r="AQ503" s="44">
        <v>7</v>
      </c>
      <c r="AR503" s="44">
        <v>7</v>
      </c>
      <c r="AS503" s="44">
        <v>7</v>
      </c>
      <c r="AT503" s="44">
        <v>7</v>
      </c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</row>
    <row r="504" spans="1:66" ht="13.5" customHeight="1" x14ac:dyDescent="0.3">
      <c r="A504" s="7"/>
      <c r="B504" s="7"/>
      <c r="C504" s="7" t="s">
        <v>90</v>
      </c>
      <c r="D504" s="7" t="s">
        <v>361</v>
      </c>
      <c r="E504" s="7"/>
      <c r="F504" s="7"/>
      <c r="G504" s="7"/>
      <c r="H504" s="7"/>
      <c r="I504" s="7"/>
      <c r="J504" s="44">
        <v>1</v>
      </c>
      <c r="K504" s="44">
        <v>1</v>
      </c>
      <c r="L504" s="44">
        <v>1</v>
      </c>
      <c r="M504" s="44">
        <v>1</v>
      </c>
      <c r="N504" s="44">
        <v>1</v>
      </c>
      <c r="O504" s="44">
        <v>1</v>
      </c>
      <c r="P504" s="44">
        <v>1</v>
      </c>
      <c r="Q504" s="44">
        <v>1</v>
      </c>
      <c r="R504" s="44">
        <v>1</v>
      </c>
      <c r="S504" s="44">
        <v>1</v>
      </c>
      <c r="T504" s="44">
        <v>1</v>
      </c>
      <c r="U504" s="44">
        <v>1</v>
      </c>
      <c r="V504" s="44">
        <v>1</v>
      </c>
      <c r="W504" s="44">
        <v>1</v>
      </c>
      <c r="X504" s="44">
        <v>1</v>
      </c>
      <c r="Y504" s="44">
        <v>1</v>
      </c>
      <c r="Z504" s="44">
        <v>1</v>
      </c>
      <c r="AA504" s="44">
        <v>1</v>
      </c>
      <c r="AB504" s="44">
        <v>1</v>
      </c>
      <c r="AC504" s="44">
        <v>1</v>
      </c>
      <c r="AD504" s="44">
        <v>1</v>
      </c>
      <c r="AE504" s="44">
        <v>1</v>
      </c>
      <c r="AF504" s="44">
        <v>1</v>
      </c>
      <c r="AG504" s="44">
        <v>1</v>
      </c>
      <c r="AH504" s="7"/>
      <c r="AI504" s="8">
        <f t="shared" ref="AI504:AJ504" si="652">SUMIF($J$37:$AG$37,AI$37,$J504:$AG504)</f>
        <v>5</v>
      </c>
      <c r="AJ504" s="8">
        <f t="shared" si="652"/>
        <v>12</v>
      </c>
      <c r="AK504" s="44">
        <v>4</v>
      </c>
      <c r="AL504" s="44">
        <v>4</v>
      </c>
      <c r="AM504" s="44">
        <v>4</v>
      </c>
      <c r="AN504" s="44">
        <v>4</v>
      </c>
      <c r="AO504" s="44">
        <v>4</v>
      </c>
      <c r="AP504" s="44">
        <v>4</v>
      </c>
      <c r="AQ504" s="44">
        <v>4</v>
      </c>
      <c r="AR504" s="44">
        <v>4</v>
      </c>
      <c r="AS504" s="44">
        <v>4</v>
      </c>
      <c r="AT504" s="44">
        <v>4</v>
      </c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</row>
    <row r="505" spans="1:66" ht="13.5" customHeight="1" x14ac:dyDescent="0.3">
      <c r="A505" s="7"/>
      <c r="B505" s="7"/>
      <c r="C505" s="7" t="s">
        <v>59</v>
      </c>
      <c r="D505" s="7" t="s">
        <v>361</v>
      </c>
      <c r="E505" s="7"/>
      <c r="F505" s="7"/>
      <c r="G505" s="7"/>
      <c r="H505" s="7"/>
      <c r="I505" s="7"/>
      <c r="J505" s="44">
        <v>1</v>
      </c>
      <c r="K505" s="44">
        <v>1</v>
      </c>
      <c r="L505" s="44">
        <v>1</v>
      </c>
      <c r="M505" s="44">
        <v>1</v>
      </c>
      <c r="N505" s="44">
        <v>1</v>
      </c>
      <c r="O505" s="44">
        <v>1</v>
      </c>
      <c r="P505" s="44">
        <v>1</v>
      </c>
      <c r="Q505" s="44">
        <v>1</v>
      </c>
      <c r="R505" s="44">
        <v>1</v>
      </c>
      <c r="S505" s="44">
        <v>1</v>
      </c>
      <c r="T505" s="44">
        <v>1</v>
      </c>
      <c r="U505" s="44">
        <v>1</v>
      </c>
      <c r="V505" s="44">
        <v>1</v>
      </c>
      <c r="W505" s="44">
        <v>1</v>
      </c>
      <c r="X505" s="44">
        <v>1</v>
      </c>
      <c r="Y505" s="44">
        <v>1</v>
      </c>
      <c r="Z505" s="44">
        <v>1</v>
      </c>
      <c r="AA505" s="44">
        <v>1</v>
      </c>
      <c r="AB505" s="44">
        <v>1</v>
      </c>
      <c r="AC505" s="44">
        <v>1</v>
      </c>
      <c r="AD505" s="44">
        <v>1</v>
      </c>
      <c r="AE505" s="44">
        <v>1</v>
      </c>
      <c r="AF505" s="44">
        <v>1</v>
      </c>
      <c r="AG505" s="44">
        <v>1</v>
      </c>
      <c r="AH505" s="7"/>
      <c r="AI505" s="8">
        <f t="shared" ref="AI505:AJ505" si="653">SUMIF($J$37:$AG$37,AI$37,$J505:$AG505)</f>
        <v>5</v>
      </c>
      <c r="AJ505" s="8">
        <f t="shared" si="653"/>
        <v>12</v>
      </c>
      <c r="AK505" s="44">
        <v>4</v>
      </c>
      <c r="AL505" s="44">
        <v>4</v>
      </c>
      <c r="AM505" s="44">
        <v>4</v>
      </c>
      <c r="AN505" s="44">
        <v>4</v>
      </c>
      <c r="AO505" s="44">
        <v>4</v>
      </c>
      <c r="AP505" s="44">
        <v>4</v>
      </c>
      <c r="AQ505" s="44">
        <v>4</v>
      </c>
      <c r="AR505" s="44">
        <v>4</v>
      </c>
      <c r="AS505" s="44">
        <v>4</v>
      </c>
      <c r="AT505" s="44">
        <v>4</v>
      </c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</row>
    <row r="506" spans="1:66" ht="13.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</row>
    <row r="507" spans="1:66" ht="13.5" customHeight="1" x14ac:dyDescent="0.3">
      <c r="A507" s="7"/>
      <c r="B507" s="5" t="s">
        <v>362</v>
      </c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</row>
    <row r="508" spans="1:66" ht="13.5" customHeight="1" x14ac:dyDescent="0.3">
      <c r="A508" s="7"/>
      <c r="B508" s="7"/>
      <c r="C508" s="7" t="s">
        <v>56</v>
      </c>
      <c r="D508" s="7" t="s">
        <v>361</v>
      </c>
      <c r="E508" s="7"/>
      <c r="F508" s="7"/>
      <c r="G508" s="7"/>
      <c r="H508" s="7"/>
      <c r="I508" s="7"/>
      <c r="J508" s="8">
        <f>IF('Cattle Feeding Cycle'!J225&lt;0,1,0)</f>
        <v>0</v>
      </c>
      <c r="K508" s="8">
        <f>IF('Cattle Feeding Cycle'!K225&lt;0,1,0)</f>
        <v>0</v>
      </c>
      <c r="L508" s="8">
        <f>IF('Cattle Feeding Cycle'!L225&lt;0,1,0)</f>
        <v>0</v>
      </c>
      <c r="M508" s="8">
        <f>IF('Cattle Feeding Cycle'!M225&lt;0,1,0)</f>
        <v>0</v>
      </c>
      <c r="N508" s="8">
        <f>IF('Cattle Feeding Cycle'!N225&lt;0,1,0)</f>
        <v>0</v>
      </c>
      <c r="O508" s="8">
        <f>IF('Cattle Feeding Cycle'!O225&lt;0,1,0)</f>
        <v>0</v>
      </c>
      <c r="P508" s="8">
        <f>IF('Cattle Feeding Cycle'!P225&lt;0,1,0)</f>
        <v>0</v>
      </c>
      <c r="Q508" s="8">
        <f>IF('Cattle Feeding Cycle'!Q225&lt;0,1,0)</f>
        <v>0</v>
      </c>
      <c r="R508" s="8">
        <f>IF('Cattle Feeding Cycle'!R225&lt;0,1,0)</f>
        <v>1</v>
      </c>
      <c r="S508" s="8">
        <f>IF('Cattle Feeding Cycle'!S225&lt;0,1,0)</f>
        <v>1</v>
      </c>
      <c r="T508" s="8">
        <f>IF('Cattle Feeding Cycle'!T225&lt;0,1,0)</f>
        <v>1</v>
      </c>
      <c r="U508" s="8">
        <f>IF('Cattle Feeding Cycle'!U225&lt;0,1,0)</f>
        <v>1</v>
      </c>
      <c r="V508" s="8">
        <f>IF('Cattle Feeding Cycle'!V225&lt;0,1,0)</f>
        <v>1</v>
      </c>
      <c r="W508" s="8">
        <f>IF('Cattle Feeding Cycle'!W225&lt;0,1,0)</f>
        <v>1</v>
      </c>
      <c r="X508" s="8">
        <f>IF('Cattle Feeding Cycle'!X225&lt;0,1,0)</f>
        <v>1</v>
      </c>
      <c r="Y508" s="8">
        <f>IF('Cattle Feeding Cycle'!Y225&lt;0,1,0)</f>
        <v>1</v>
      </c>
      <c r="Z508" s="8">
        <f>IF('Cattle Feeding Cycle'!Z225&lt;0,1,0)</f>
        <v>1</v>
      </c>
      <c r="AA508" s="8">
        <f>IF('Cattle Feeding Cycle'!AA225&lt;0,1,0)</f>
        <v>1</v>
      </c>
      <c r="AB508" s="8">
        <f>IF('Cattle Feeding Cycle'!AB225&lt;0,1,0)</f>
        <v>1</v>
      </c>
      <c r="AC508" s="8">
        <f>IF('Cattle Feeding Cycle'!AC225&lt;0,1,0)</f>
        <v>1</v>
      </c>
      <c r="AD508" s="8">
        <f>IF('Cattle Feeding Cycle'!AD225&lt;0,1,0)</f>
        <v>1</v>
      </c>
      <c r="AE508" s="8">
        <f>IF('Cattle Feeding Cycle'!AE225&lt;0,1,0)</f>
        <v>1</v>
      </c>
      <c r="AF508" s="8">
        <f>IF('Cattle Feeding Cycle'!AF225&lt;0,1,0)</f>
        <v>1</v>
      </c>
      <c r="AG508" s="8">
        <f>IF('Cattle Feeding Cycle'!AG225&lt;0,1,0)</f>
        <v>1</v>
      </c>
      <c r="AH508" s="7"/>
      <c r="AI508" s="8">
        <f t="shared" ref="AI508:AJ508" si="654">SUMIF($J$37:$AG$37,AI$37,$J508:$AG508)</f>
        <v>0</v>
      </c>
      <c r="AJ508" s="8">
        <f t="shared" si="654"/>
        <v>9</v>
      </c>
      <c r="AK508" s="44">
        <v>12</v>
      </c>
      <c r="AL508" s="44">
        <v>12</v>
      </c>
      <c r="AM508" s="44">
        <v>12</v>
      </c>
      <c r="AN508" s="44">
        <v>12</v>
      </c>
      <c r="AO508" s="44">
        <v>12</v>
      </c>
      <c r="AP508" s="44">
        <v>12</v>
      </c>
      <c r="AQ508" s="44">
        <v>12</v>
      </c>
      <c r="AR508" s="44">
        <v>12</v>
      </c>
      <c r="AS508" s="44">
        <v>12</v>
      </c>
      <c r="AT508" s="44">
        <v>12</v>
      </c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</row>
    <row r="509" spans="1:66" ht="13.5" customHeight="1" x14ac:dyDescent="0.3">
      <c r="A509" s="7"/>
      <c r="B509" s="7"/>
      <c r="C509" s="7" t="s">
        <v>88</v>
      </c>
      <c r="D509" s="7" t="s">
        <v>361</v>
      </c>
      <c r="E509" s="7"/>
      <c r="F509" s="7"/>
      <c r="G509" s="7"/>
      <c r="H509" s="7"/>
      <c r="I509" s="7"/>
      <c r="J509" s="8">
        <f>IF('Cattle Feeding Cycle'!J245&lt;0,1,0)</f>
        <v>1</v>
      </c>
      <c r="K509" s="8">
        <f>IF('Cattle Feeding Cycle'!K245&lt;0,1,0)</f>
        <v>1</v>
      </c>
      <c r="L509" s="8">
        <f>IF('Cattle Feeding Cycle'!L245&lt;0,1,0)</f>
        <v>1</v>
      </c>
      <c r="M509" s="8">
        <f>IF('Cattle Feeding Cycle'!M245&lt;0,1,0)</f>
        <v>1</v>
      </c>
      <c r="N509" s="8">
        <f>IF('Cattle Feeding Cycle'!N245&lt;0,1,0)</f>
        <v>1</v>
      </c>
      <c r="O509" s="8">
        <f>IF('Cattle Feeding Cycle'!O245&lt;0,1,0)</f>
        <v>1</v>
      </c>
      <c r="P509" s="8">
        <f>IF('Cattle Feeding Cycle'!P245&lt;0,1,0)</f>
        <v>1</v>
      </c>
      <c r="Q509" s="8">
        <f>IF('Cattle Feeding Cycle'!Q245&lt;0,1,0)</f>
        <v>1</v>
      </c>
      <c r="R509" s="8">
        <f>IF('Cattle Feeding Cycle'!R245&lt;0,1,0)</f>
        <v>1</v>
      </c>
      <c r="S509" s="8">
        <f>IF('Cattle Feeding Cycle'!S245&lt;0,1,0)</f>
        <v>1</v>
      </c>
      <c r="T509" s="8">
        <f>IF('Cattle Feeding Cycle'!T245&lt;0,1,0)</f>
        <v>1</v>
      </c>
      <c r="U509" s="8">
        <f>IF('Cattle Feeding Cycle'!U245&lt;0,1,0)</f>
        <v>1</v>
      </c>
      <c r="V509" s="8">
        <f>IF('Cattle Feeding Cycle'!V245&lt;0,1,0)</f>
        <v>1</v>
      </c>
      <c r="W509" s="8">
        <f>IF('Cattle Feeding Cycle'!W245&lt;0,1,0)</f>
        <v>1</v>
      </c>
      <c r="X509" s="8">
        <f>IF('Cattle Feeding Cycle'!X245&lt;0,1,0)</f>
        <v>1</v>
      </c>
      <c r="Y509" s="8">
        <f>IF('Cattle Feeding Cycle'!Y245&lt;0,1,0)</f>
        <v>1</v>
      </c>
      <c r="Z509" s="8">
        <f>IF('Cattle Feeding Cycle'!Z245&lt;0,1,0)</f>
        <v>1</v>
      </c>
      <c r="AA509" s="8">
        <f>IF('Cattle Feeding Cycle'!AA245&lt;0,1,0)</f>
        <v>1</v>
      </c>
      <c r="AB509" s="8">
        <f>IF('Cattle Feeding Cycle'!AB245&lt;0,1,0)</f>
        <v>1</v>
      </c>
      <c r="AC509" s="8">
        <f>IF('Cattle Feeding Cycle'!AC245&lt;0,1,0)</f>
        <v>1</v>
      </c>
      <c r="AD509" s="8">
        <f>IF('Cattle Feeding Cycle'!AD245&lt;0,1,0)</f>
        <v>1</v>
      </c>
      <c r="AE509" s="8">
        <f>IF('Cattle Feeding Cycle'!AE245&lt;0,1,0)</f>
        <v>1</v>
      </c>
      <c r="AF509" s="8">
        <f>IF('Cattle Feeding Cycle'!AF245&lt;0,1,0)</f>
        <v>1</v>
      </c>
      <c r="AG509" s="8">
        <f>IF('Cattle Feeding Cycle'!AG245&lt;0,1,0)</f>
        <v>1</v>
      </c>
      <c r="AH509" s="7"/>
      <c r="AI509" s="8">
        <f t="shared" ref="AI509:AJ509" si="655">SUMIF($J$37:$AG$37,AI$37,$J509:$AG509)</f>
        <v>5</v>
      </c>
      <c r="AJ509" s="8">
        <f t="shared" si="655"/>
        <v>12</v>
      </c>
      <c r="AK509" s="44">
        <v>12</v>
      </c>
      <c r="AL509" s="44">
        <v>12</v>
      </c>
      <c r="AM509" s="44">
        <v>12</v>
      </c>
      <c r="AN509" s="44">
        <v>12</v>
      </c>
      <c r="AO509" s="44">
        <v>12</v>
      </c>
      <c r="AP509" s="44">
        <v>12</v>
      </c>
      <c r="AQ509" s="44">
        <v>12</v>
      </c>
      <c r="AR509" s="44">
        <v>12</v>
      </c>
      <c r="AS509" s="44">
        <v>12</v>
      </c>
      <c r="AT509" s="44">
        <v>12</v>
      </c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</row>
    <row r="510" spans="1:66" ht="13.5" customHeight="1" x14ac:dyDescent="0.3">
      <c r="A510" s="7"/>
      <c r="B510" s="7"/>
      <c r="C510" s="7" t="s">
        <v>89</v>
      </c>
      <c r="D510" s="7" t="s">
        <v>361</v>
      </c>
      <c r="J510" s="8">
        <f>IF('Cattle Feeding Cycle'!J192&lt;0,1,0)</f>
        <v>0</v>
      </c>
      <c r="K510" s="8">
        <f ca="1">IF('Cattle Feeding Cycle'!K192&lt;0,1,0)</f>
        <v>0</v>
      </c>
      <c r="L510" s="8">
        <f ca="1">IF('Cattle Feeding Cycle'!L192&lt;0,1,0)</f>
        <v>0</v>
      </c>
      <c r="M510" s="8">
        <f ca="1">IF('Cattle Feeding Cycle'!M192&lt;0,1,0)</f>
        <v>0</v>
      </c>
      <c r="N510" s="8">
        <f ca="1">IF('Cattle Feeding Cycle'!N192&lt;0,1,0)</f>
        <v>0</v>
      </c>
      <c r="O510" s="8">
        <f ca="1">IF('Cattle Feeding Cycle'!O192&lt;0,1,0)</f>
        <v>0</v>
      </c>
      <c r="P510" s="8">
        <f ca="1">IF('Cattle Feeding Cycle'!P192&lt;0,1,0)</f>
        <v>0</v>
      </c>
      <c r="Q510" s="8">
        <f ca="1">IF('Cattle Feeding Cycle'!Q192&lt;0,1,0)</f>
        <v>0</v>
      </c>
      <c r="R510" s="8">
        <f ca="1">IF('Cattle Feeding Cycle'!R192&lt;0,1,0)</f>
        <v>0</v>
      </c>
      <c r="S510" s="8">
        <f ca="1">IF('Cattle Feeding Cycle'!S192&lt;0,1,0)</f>
        <v>0</v>
      </c>
      <c r="T510" s="8">
        <f ca="1">IF('Cattle Feeding Cycle'!T192&lt;0,1,0)</f>
        <v>0</v>
      </c>
      <c r="U510" s="8">
        <f ca="1">IF('Cattle Feeding Cycle'!U192&lt;0,1,0)</f>
        <v>0</v>
      </c>
      <c r="V510" s="8">
        <f ca="1">IF('Cattle Feeding Cycle'!V192&lt;0,1,0)</f>
        <v>0</v>
      </c>
      <c r="W510" s="8">
        <f ca="1">IF('Cattle Feeding Cycle'!W192&lt;0,1,0)</f>
        <v>0</v>
      </c>
      <c r="X510" s="8">
        <f ca="1">IF('Cattle Feeding Cycle'!X192&lt;0,1,0)</f>
        <v>0</v>
      </c>
      <c r="Y510" s="8">
        <f ca="1">IF('Cattle Feeding Cycle'!Y192&lt;0,1,0)</f>
        <v>0</v>
      </c>
      <c r="Z510" s="8">
        <f ca="1">IF('Cattle Feeding Cycle'!Z192&lt;0,1,0)</f>
        <v>0</v>
      </c>
      <c r="AA510" s="8">
        <f ca="1">IF('Cattle Feeding Cycle'!AA192&lt;0,1,0)</f>
        <v>1</v>
      </c>
      <c r="AB510" s="8">
        <f ca="1">IF('Cattle Feeding Cycle'!AB192&lt;0,1,0)</f>
        <v>1</v>
      </c>
      <c r="AC510" s="8">
        <f ca="1">IF('Cattle Feeding Cycle'!AC192&lt;0,1,0)</f>
        <v>1</v>
      </c>
      <c r="AD510" s="8">
        <f ca="1">IF('Cattle Feeding Cycle'!AD192&lt;0,1,0)</f>
        <v>1</v>
      </c>
      <c r="AE510" s="8">
        <f ca="1">IF('Cattle Feeding Cycle'!AE192&lt;0,1,0)</f>
        <v>1</v>
      </c>
      <c r="AF510" s="8">
        <f ca="1">IF('Cattle Feeding Cycle'!AF192&lt;0,1,0)</f>
        <v>1</v>
      </c>
      <c r="AG510" s="8">
        <f ca="1">IF('Cattle Feeding Cycle'!AG192&lt;0,1,0)</f>
        <v>1</v>
      </c>
      <c r="AH510" s="7"/>
      <c r="AI510" s="8">
        <f t="shared" ref="AI510:AJ510" ca="1" si="656">SUMIF($J$37:$AG$37,AI$37,$J510:$AG510)</f>
        <v>0</v>
      </c>
      <c r="AJ510" s="8">
        <f t="shared" ca="1" si="656"/>
        <v>0</v>
      </c>
      <c r="AK510" s="44">
        <v>6</v>
      </c>
      <c r="AL510" s="44">
        <v>6</v>
      </c>
      <c r="AM510" s="44">
        <v>6</v>
      </c>
      <c r="AN510" s="44">
        <v>6</v>
      </c>
      <c r="AO510" s="44">
        <v>6</v>
      </c>
      <c r="AP510" s="44">
        <v>6</v>
      </c>
      <c r="AQ510" s="44">
        <v>6</v>
      </c>
      <c r="AR510" s="44">
        <v>6</v>
      </c>
      <c r="AS510" s="44">
        <v>6</v>
      </c>
      <c r="AT510" s="44">
        <v>6</v>
      </c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</row>
    <row r="511" spans="1:66" ht="13.5" customHeight="1" x14ac:dyDescent="0.3">
      <c r="A511" s="7"/>
      <c r="B511" s="7"/>
      <c r="C511" s="7" t="s">
        <v>90</v>
      </c>
      <c r="D511" s="7" t="s">
        <v>361</v>
      </c>
      <c r="E511" s="7"/>
      <c r="F511" s="7"/>
      <c r="G511" s="7"/>
      <c r="H511" s="7"/>
      <c r="I511" s="7"/>
      <c r="J511" s="8">
        <f>IF('Cattle Feeding Cycle'!J203&lt;0,1,0)</f>
        <v>1</v>
      </c>
      <c r="K511" s="8">
        <f>IF('Cattle Feeding Cycle'!K203&lt;0,1,0)</f>
        <v>1</v>
      </c>
      <c r="L511" s="8">
        <f>IF('Cattle Feeding Cycle'!L203&lt;0,1,0)</f>
        <v>1</v>
      </c>
      <c r="M511" s="8">
        <f>IF('Cattle Feeding Cycle'!M203&lt;0,1,0)</f>
        <v>1</v>
      </c>
      <c r="N511" s="8">
        <f>IF('Cattle Feeding Cycle'!N203&lt;0,1,0)</f>
        <v>1</v>
      </c>
      <c r="O511" s="8">
        <f>IF('Cattle Feeding Cycle'!O203&lt;0,1,0)</f>
        <v>1</v>
      </c>
      <c r="P511" s="8">
        <f>IF('Cattle Feeding Cycle'!P203&lt;0,1,0)</f>
        <v>1</v>
      </c>
      <c r="Q511" s="8">
        <f>IF('Cattle Feeding Cycle'!Q203&lt;0,1,0)</f>
        <v>1</v>
      </c>
      <c r="R511" s="8">
        <f>IF('Cattle Feeding Cycle'!R203&lt;0,1,0)</f>
        <v>0</v>
      </c>
      <c r="S511" s="8">
        <f>IF('Cattle Feeding Cycle'!S203&lt;0,1,0)</f>
        <v>0</v>
      </c>
      <c r="T511" s="8">
        <f>IF('Cattle Feeding Cycle'!T203&lt;0,1,0)</f>
        <v>0</v>
      </c>
      <c r="U511" s="8">
        <f>IF('Cattle Feeding Cycle'!U203&lt;0,1,0)</f>
        <v>0</v>
      </c>
      <c r="V511" s="8">
        <f>IF('Cattle Feeding Cycle'!V203&lt;0,1,0)</f>
        <v>0</v>
      </c>
      <c r="W511" s="8">
        <f>IF('Cattle Feeding Cycle'!W203&lt;0,1,0)</f>
        <v>0</v>
      </c>
      <c r="X511" s="8">
        <f>IF('Cattle Feeding Cycle'!X203&lt;0,1,0)</f>
        <v>0</v>
      </c>
      <c r="Y511" s="8">
        <f>IF('Cattle Feeding Cycle'!Y203&lt;0,1,0)</f>
        <v>0</v>
      </c>
      <c r="Z511" s="8">
        <f>IF('Cattle Feeding Cycle'!Z203&lt;0,1,0)</f>
        <v>0</v>
      </c>
      <c r="AA511" s="8">
        <f>IF('Cattle Feeding Cycle'!AA203&lt;0,1,0)</f>
        <v>0</v>
      </c>
      <c r="AB511" s="8">
        <f>IF('Cattle Feeding Cycle'!AB203&lt;0,1,0)</f>
        <v>0</v>
      </c>
      <c r="AC511" s="8">
        <f>IF('Cattle Feeding Cycle'!AC203&lt;0,1,0)</f>
        <v>0</v>
      </c>
      <c r="AD511" s="8">
        <f>IF('Cattle Feeding Cycle'!AD203&lt;0,1,0)</f>
        <v>0</v>
      </c>
      <c r="AE511" s="8">
        <f>IF('Cattle Feeding Cycle'!AE203&lt;0,1,0)</f>
        <v>0</v>
      </c>
      <c r="AF511" s="8">
        <f>IF('Cattle Feeding Cycle'!AF203&lt;0,1,0)</f>
        <v>0</v>
      </c>
      <c r="AG511" s="8">
        <f>IF('Cattle Feeding Cycle'!AG203&lt;0,1,0)</f>
        <v>0</v>
      </c>
      <c r="AH511" s="7"/>
      <c r="AI511" s="8">
        <f t="shared" ref="AI511:AJ511" si="657">SUMIF($J$37:$AG$37,AI$37,$J511:$AG511)</f>
        <v>5</v>
      </c>
      <c r="AJ511" s="8">
        <f t="shared" si="657"/>
        <v>3</v>
      </c>
      <c r="AK511" s="44">
        <v>4</v>
      </c>
      <c r="AL511" s="44">
        <v>4</v>
      </c>
      <c r="AM511" s="44">
        <v>4</v>
      </c>
      <c r="AN511" s="44">
        <v>4</v>
      </c>
      <c r="AO511" s="44">
        <v>4</v>
      </c>
      <c r="AP511" s="44">
        <v>4</v>
      </c>
      <c r="AQ511" s="44">
        <v>4</v>
      </c>
      <c r="AR511" s="44">
        <v>4</v>
      </c>
      <c r="AS511" s="44">
        <v>4</v>
      </c>
      <c r="AT511" s="44">
        <v>4</v>
      </c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</row>
    <row r="512" spans="1:66" ht="13.5" customHeight="1" x14ac:dyDescent="0.3">
      <c r="A512" s="7"/>
      <c r="B512" s="7"/>
      <c r="C512" s="7" t="s">
        <v>59</v>
      </c>
      <c r="D512" s="7" t="s">
        <v>361</v>
      </c>
      <c r="E512" s="7"/>
      <c r="F512" s="7"/>
      <c r="G512" s="7"/>
      <c r="H512" s="7"/>
      <c r="I512" s="7"/>
      <c r="J512" s="8">
        <f>IF('Cattle Feeding Cycle'!J257&lt;0,1,0)</f>
        <v>0</v>
      </c>
      <c r="K512" s="8">
        <f>IF('Cattle Feeding Cycle'!K257&lt;0,1,0)</f>
        <v>0</v>
      </c>
      <c r="L512" s="8">
        <f>IF('Cattle Feeding Cycle'!L257&lt;0,1,0)</f>
        <v>0</v>
      </c>
      <c r="M512" s="8">
        <f>IF('Cattle Feeding Cycle'!M257&lt;0,1,0)</f>
        <v>0</v>
      </c>
      <c r="N512" s="8">
        <f>IF('Cattle Feeding Cycle'!N257&lt;0,1,0)</f>
        <v>0</v>
      </c>
      <c r="O512" s="8">
        <f>IF('Cattle Feeding Cycle'!O257&lt;0,1,0)</f>
        <v>0</v>
      </c>
      <c r="P512" s="8">
        <f>IF('Cattle Feeding Cycle'!P257&lt;0,1,0)</f>
        <v>0</v>
      </c>
      <c r="Q512" s="8">
        <f>IF('Cattle Feeding Cycle'!Q257&lt;0,1,0)</f>
        <v>0</v>
      </c>
      <c r="R512" s="8">
        <f>IF('Cattle Feeding Cycle'!R257&lt;0,1,0)</f>
        <v>0</v>
      </c>
      <c r="S512" s="8">
        <f>IF('Cattle Feeding Cycle'!S257&lt;0,1,0)</f>
        <v>0</v>
      </c>
      <c r="T512" s="8">
        <f>IF('Cattle Feeding Cycle'!T257&lt;0,1,0)</f>
        <v>0</v>
      </c>
      <c r="U512" s="8">
        <f>IF('Cattle Feeding Cycle'!U257&lt;0,1,0)</f>
        <v>0</v>
      </c>
      <c r="V512" s="8">
        <f>IF('Cattle Feeding Cycle'!V257&lt;0,1,0)</f>
        <v>0</v>
      </c>
      <c r="W512" s="8">
        <f>IF('Cattle Feeding Cycle'!W257&lt;0,1,0)</f>
        <v>0</v>
      </c>
      <c r="X512" s="8">
        <f>IF('Cattle Feeding Cycle'!X257&lt;0,1,0)</f>
        <v>0</v>
      </c>
      <c r="Y512" s="8">
        <f>IF('Cattle Feeding Cycle'!Y257&lt;0,1,0)</f>
        <v>0</v>
      </c>
      <c r="Z512" s="8">
        <f>IF('Cattle Feeding Cycle'!Z257&lt;0,1,0)</f>
        <v>0</v>
      </c>
      <c r="AA512" s="8">
        <f>IF('Cattle Feeding Cycle'!AA257&lt;0,1,0)</f>
        <v>0</v>
      </c>
      <c r="AB512" s="8">
        <f>IF('Cattle Feeding Cycle'!AB257&lt;0,1,0)</f>
        <v>0</v>
      </c>
      <c r="AC512" s="8">
        <f>IF('Cattle Feeding Cycle'!AC257&lt;0,1,0)</f>
        <v>0</v>
      </c>
      <c r="AD512" s="8">
        <f>IF('Cattle Feeding Cycle'!AD257&lt;0,1,0)</f>
        <v>0</v>
      </c>
      <c r="AE512" s="8">
        <f>IF('Cattle Feeding Cycle'!AE257&lt;0,1,0)</f>
        <v>0</v>
      </c>
      <c r="AF512" s="8">
        <f>IF('Cattle Feeding Cycle'!AF257&lt;0,1,0)</f>
        <v>0</v>
      </c>
      <c r="AG512" s="8">
        <f>IF('Cattle Feeding Cycle'!AG257&lt;0,1,0)</f>
        <v>0</v>
      </c>
      <c r="AH512" s="7"/>
      <c r="AI512" s="8">
        <f t="shared" ref="AI512:AJ512" si="658">SUMIF($J$37:$AG$37,AI$37,$J512:$AG512)</f>
        <v>0</v>
      </c>
      <c r="AJ512" s="8">
        <f t="shared" si="658"/>
        <v>0</v>
      </c>
      <c r="AK512" s="44">
        <v>4</v>
      </c>
      <c r="AL512" s="44">
        <v>4</v>
      </c>
      <c r="AM512" s="44">
        <v>4</v>
      </c>
      <c r="AN512" s="44">
        <v>4</v>
      </c>
      <c r="AO512" s="44">
        <v>4</v>
      </c>
      <c r="AP512" s="44">
        <v>4</v>
      </c>
      <c r="AQ512" s="44">
        <v>4</v>
      </c>
      <c r="AR512" s="44">
        <v>4</v>
      </c>
      <c r="AS512" s="44">
        <v>4</v>
      </c>
      <c r="AT512" s="44">
        <v>4</v>
      </c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</row>
    <row r="513" spans="1:66" ht="13.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</row>
    <row r="514" spans="1:66" ht="13.5" customHeight="1" x14ac:dyDescent="0.3">
      <c r="A514" s="7"/>
      <c r="B514" s="5" t="s">
        <v>363</v>
      </c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</row>
    <row r="515" spans="1:66" ht="13.5" customHeight="1" x14ac:dyDescent="0.3">
      <c r="A515" s="7"/>
      <c r="B515" s="7"/>
      <c r="C515" s="7" t="s">
        <v>56</v>
      </c>
      <c r="D515" s="7" t="s">
        <v>4</v>
      </c>
      <c r="E515" s="7"/>
      <c r="F515" s="7"/>
      <c r="G515" s="7"/>
      <c r="H515" s="7"/>
      <c r="I515" s="7"/>
      <c r="J515" s="8">
        <f>'Cattle Feeding Cycle'!J225</f>
        <v>0</v>
      </c>
      <c r="K515" s="8">
        <f>'Cattle Feeding Cycle'!K225</f>
        <v>0</v>
      </c>
      <c r="L515" s="8">
        <f>'Cattle Feeding Cycle'!L225</f>
        <v>0</v>
      </c>
      <c r="M515" s="8">
        <f>'Cattle Feeding Cycle'!M225</f>
        <v>0</v>
      </c>
      <c r="N515" s="8">
        <f>'Cattle Feeding Cycle'!N225</f>
        <v>0</v>
      </c>
      <c r="O515" s="8">
        <f>'Cattle Feeding Cycle'!O225</f>
        <v>0</v>
      </c>
      <c r="P515" s="8">
        <f>'Cattle Feeding Cycle'!P225</f>
        <v>0</v>
      </c>
      <c r="Q515" s="8">
        <f>'Cattle Feeding Cycle'!Q225</f>
        <v>0</v>
      </c>
      <c r="R515" s="8">
        <f>'Cattle Feeding Cycle'!R225</f>
        <v>-3252.3053285178557</v>
      </c>
      <c r="S515" s="8">
        <f>'Cattle Feeding Cycle'!S225</f>
        <v>-48.685003880763183</v>
      </c>
      <c r="T515" s="8">
        <f>'Cattle Feeding Cycle'!T225</f>
        <v>-46.99673358489801</v>
      </c>
      <c r="U515" s="8">
        <f>'Cattle Feeding Cycle'!U225</f>
        <v>-48.441883142633628</v>
      </c>
      <c r="V515" s="8">
        <f>'Cattle Feeding Cycle'!V225</f>
        <v>-48.320778434777033</v>
      </c>
      <c r="W515" s="8">
        <f>'Cattle Feeding Cycle'!W225</f>
        <v>-46.64513853744203</v>
      </c>
      <c r="X515" s="8">
        <f>'Cattle Feeding Cycle'!X225</f>
        <v>-48.079476547468374</v>
      </c>
      <c r="Y515" s="8">
        <f>'Cattle Feeding Cycle'!Y225</f>
        <v>-3018.7944122092917</v>
      </c>
      <c r="Z515" s="8">
        <f>'Cattle Feeding Cycle'!Z225</f>
        <v>-3111.6223403847271</v>
      </c>
      <c r="AA515" s="8">
        <f>'Cattle Feeding Cycle'!AA225</f>
        <v>-3067.0685925125163</v>
      </c>
      <c r="AB515" s="8">
        <f>'Cattle Feeding Cycle'!AB225</f>
        <v>-2862.0202164485745</v>
      </c>
      <c r="AC515" s="8">
        <f>'Cattle Feeding Cycle'!AC225</f>
        <v>-3051.7524187286563</v>
      </c>
      <c r="AD515" s="8">
        <f>'Cattle Feeding Cycle'!AD225</f>
        <v>-2945.9255203372591</v>
      </c>
      <c r="AE515" s="8">
        <f>'Cattle Feeding Cycle'!AE225</f>
        <v>-44.153948721665735</v>
      </c>
      <c r="AF515" s="8">
        <f>'Cattle Feeding Cycle'!AF225</f>
        <v>-42.622803725672483</v>
      </c>
      <c r="AG515" s="8">
        <f>'Cattle Feeding Cycle'!AG225</f>
        <v>-43.933454940236913</v>
      </c>
      <c r="AH515" s="7"/>
      <c r="AI515" s="8">
        <f>'Cattle Feeding Cycle'!AI225+'Cattle Feeding Cycle'!AI236</f>
        <v>0</v>
      </c>
      <c r="AJ515" s="8">
        <f>'Cattle Feeding Cycle'!AJ225+'Cattle Feeding Cycle'!AJ236</f>
        <v>-9669.8910952398564</v>
      </c>
      <c r="AK515" s="8">
        <f ca="1">'Cattle Feeding Cycle'!AK225+'Cattle Feeding Cycle'!AK236</f>
        <v>-23234.757276871514</v>
      </c>
      <c r="AL515" s="8">
        <f ca="1">'Cattle Feeding Cycle'!AL225+'Cattle Feeding Cycle'!AL236</f>
        <v>-26490.587647085122</v>
      </c>
      <c r="AM515" s="8">
        <f ca="1">'Cattle Feeding Cycle'!AM225+'Cattle Feeding Cycle'!AM236</f>
        <v>-34827.69720599454</v>
      </c>
      <c r="AN515" s="8">
        <f ca="1">'Cattle Feeding Cycle'!AN225+'Cattle Feeding Cycle'!AN236</f>
        <v>-36299.111418271641</v>
      </c>
      <c r="AO515" s="8">
        <f ca="1">'Cattle Feeding Cycle'!AO225+'Cattle Feeding Cycle'!AO236</f>
        <v>-39203.040331733377</v>
      </c>
      <c r="AP515" s="8">
        <f ca="1">'Cattle Feeding Cycle'!AP225+'Cattle Feeding Cycle'!AP236</f>
        <v>-41947.253154954728</v>
      </c>
      <c r="AQ515" s="8">
        <f ca="1">'Cattle Feeding Cycle'!AQ225+'Cattle Feeding Cycle'!AQ236</f>
        <v>-44673.824610026772</v>
      </c>
      <c r="AR515" s="8">
        <f ca="1">'Cattle Feeding Cycle'!AR225+'Cattle Feeding Cycle'!AR236</f>
        <v>-47354.254086628382</v>
      </c>
      <c r="AS515" s="8">
        <f ca="1">'Cattle Feeding Cycle'!AS225+'Cattle Feeding Cycle'!AS236</f>
        <v>-49721.966790959807</v>
      </c>
      <c r="AT515" s="8">
        <f ca="1">'Cattle Feeding Cycle'!AT225+'Cattle Feeding Cycle'!AT236</f>
        <v>-52208.065130507799</v>
      </c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</row>
    <row r="516" spans="1:66" ht="13.5" customHeight="1" x14ac:dyDescent="0.3">
      <c r="A516" s="7"/>
      <c r="B516" s="7"/>
      <c r="C516" s="7" t="s">
        <v>88</v>
      </c>
      <c r="D516" s="7" t="s">
        <v>4</v>
      </c>
      <c r="E516" s="7"/>
      <c r="F516" s="7"/>
      <c r="G516" s="7"/>
      <c r="H516" s="7"/>
      <c r="I516" s="7"/>
      <c r="J516" s="8">
        <f>'Cattle Feeding Cycle'!J245</f>
        <v>-3.0449999999999999</v>
      </c>
      <c r="K516" s="8">
        <f>'Cattle Feeding Cycle'!K245</f>
        <v>-3.0449999999999999</v>
      </c>
      <c r="L516" s="8">
        <f>'Cattle Feeding Cycle'!L245</f>
        <v>-3.1465000000000001</v>
      </c>
      <c r="M516" s="8">
        <f>'Cattle Feeding Cycle'!M245</f>
        <v>-284.47649999999999</v>
      </c>
      <c r="N516" s="8">
        <f>'Cattle Feeding Cycle'!N245</f>
        <v>-293.95904999999999</v>
      </c>
      <c r="O516" s="8">
        <f>'Cattle Feeding Cycle'!O245</f>
        <v>-324.82475025000002</v>
      </c>
      <c r="P516" s="8">
        <f>'Cattle Feeding Cycle'!P245</f>
        <v>-293.39009700000003</v>
      </c>
      <c r="Q516" s="8">
        <f>'Cattle Feeding Cycle'!Q245</f>
        <v>-324.82475025000002</v>
      </c>
      <c r="R516" s="8">
        <f>'Cattle Feeding Cycle'!R245</f>
        <v>-314.34653250000002</v>
      </c>
      <c r="S516" s="8">
        <f>'Cattle Feeding Cycle'!S245</f>
        <v>-3.4768825000000003</v>
      </c>
      <c r="T516" s="8">
        <f>'Cattle Feeding Cycle'!T245</f>
        <v>-3.364725</v>
      </c>
      <c r="U516" s="8">
        <f>'Cattle Feeding Cycle'!U245</f>
        <v>-3.4768825000000003</v>
      </c>
      <c r="V516" s="8">
        <f>'Cattle Feeding Cycle'!V245</f>
        <v>-3.4768825000000003</v>
      </c>
      <c r="W516" s="8">
        <f>'Cattle Feeding Cycle'!W245</f>
        <v>-3.364725</v>
      </c>
      <c r="X516" s="8">
        <f>'Cattle Feeding Cycle'!X245</f>
        <v>-3.4768825000000003</v>
      </c>
      <c r="Y516" s="8">
        <f>'Cattle Feeding Cycle'!Y245</f>
        <v>-314.34653250000002</v>
      </c>
      <c r="Z516" s="8">
        <f>'Cattle Feeding Cycle'!Z245</f>
        <v>-324.82475025000002</v>
      </c>
      <c r="AA516" s="8">
        <f>'Cattle Feeding Cycle'!AA245</f>
        <v>-356.41395721181249</v>
      </c>
      <c r="AB516" s="8">
        <f>'Cattle Feeding Cycle'!AB245</f>
        <v>-332.58595958853897</v>
      </c>
      <c r="AC516" s="8">
        <f>'Cattle Feeding Cycle'!AC245</f>
        <v>-354.63411501298606</v>
      </c>
      <c r="AD516" s="8">
        <f>'Cattle Feeding Cycle'!AD245</f>
        <v>-342.33631908914856</v>
      </c>
      <c r="AE516" s="8">
        <f>'Cattle Feeding Cycle'!AE245</f>
        <v>-3.777002054454309</v>
      </c>
      <c r="AF516" s="8">
        <f>'Cattle Feeding Cycle'!AF245</f>
        <v>-3.6460253703079091</v>
      </c>
      <c r="AG516" s="8">
        <f>'Cattle Feeding Cycle'!AG245</f>
        <v>-3.7581406504448776</v>
      </c>
      <c r="AH516" s="7"/>
      <c r="AI516" s="8">
        <f>'Cattle Feeding Cycle'!AI245</f>
        <v>-587.6720499999999</v>
      </c>
      <c r="AJ516" s="8">
        <f>'Cattle Feeding Cycle'!AJ245</f>
        <v>-1917.1943927500004</v>
      </c>
      <c r="AK516" s="8">
        <f>'Cattle Feeding Cycle'!AK245</f>
        <v>-1639.4674872735632</v>
      </c>
      <c r="AL516" s="8">
        <f ca="1">'Cattle Feeding Cycle'!AL245</f>
        <v>-2212.1560232561687</v>
      </c>
      <c r="AM516" s="8">
        <f ca="1">'Cattle Feeding Cycle'!AM245</f>
        <v>-2971.2628930265819</v>
      </c>
      <c r="AN516" s="8">
        <f ca="1">'Cattle Feeding Cycle'!AN245</f>
        <v>-3901.4958615308319</v>
      </c>
      <c r="AO516" s="8">
        <f ca="1">'Cattle Feeding Cycle'!AO245</f>
        <v>-4213.6155304532986</v>
      </c>
      <c r="AP516" s="8">
        <f ca="1">'Cattle Feeding Cycle'!AP245</f>
        <v>-4508.5686175850287</v>
      </c>
      <c r="AQ516" s="8">
        <f ca="1">'Cattle Feeding Cycle'!AQ245</f>
        <v>-4801.6255777280567</v>
      </c>
      <c r="AR516" s="8">
        <f ca="1">'Cattle Feeding Cycle'!AR245</f>
        <v>-5089.7231123917391</v>
      </c>
      <c r="AS516" s="8">
        <f ca="1">'Cattle Feeding Cycle'!AS245</f>
        <v>-5344.2092680113255</v>
      </c>
      <c r="AT516" s="8">
        <f ca="1">'Cattle Feeding Cycle'!AT245</f>
        <v>-5611.4197314118928</v>
      </c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</row>
    <row r="517" spans="1:66" ht="13.5" customHeight="1" x14ac:dyDescent="0.3">
      <c r="A517" s="7"/>
      <c r="B517" s="7"/>
      <c r="C517" s="7" t="s">
        <v>89</v>
      </c>
      <c r="D517" s="7" t="s">
        <v>4</v>
      </c>
      <c r="E517" s="7"/>
      <c r="F517" s="7"/>
      <c r="G517" s="7"/>
      <c r="H517" s="7"/>
      <c r="I517" s="7"/>
      <c r="J517" s="8">
        <f>'Cattle Feeding Cycle'!J192</f>
        <v>0</v>
      </c>
      <c r="K517" s="8">
        <f ca="1">'Cattle Feeding Cycle'!K192</f>
        <v>0</v>
      </c>
      <c r="L517" s="8">
        <f ca="1">'Cattle Feeding Cycle'!L192</f>
        <v>0</v>
      </c>
      <c r="M517" s="8">
        <f ca="1">'Cattle Feeding Cycle'!M192</f>
        <v>0</v>
      </c>
      <c r="N517" s="8">
        <f ca="1">'Cattle Feeding Cycle'!N192</f>
        <v>0</v>
      </c>
      <c r="O517" s="8">
        <f ca="1">'Cattle Feeding Cycle'!O192</f>
        <v>0</v>
      </c>
      <c r="P517" s="8">
        <f ca="1">'Cattle Feeding Cycle'!P192</f>
        <v>0</v>
      </c>
      <c r="Q517" s="8">
        <f ca="1">'Cattle Feeding Cycle'!Q192</f>
        <v>0</v>
      </c>
      <c r="R517" s="8">
        <f ca="1">'Cattle Feeding Cycle'!R192</f>
        <v>0</v>
      </c>
      <c r="S517" s="8">
        <f ca="1">'Cattle Feeding Cycle'!S192</f>
        <v>0</v>
      </c>
      <c r="T517" s="8">
        <f ca="1">'Cattle Feeding Cycle'!T192</f>
        <v>0</v>
      </c>
      <c r="U517" s="8">
        <f ca="1">'Cattle Feeding Cycle'!U192</f>
        <v>0</v>
      </c>
      <c r="V517" s="8">
        <f ca="1">'Cattle Feeding Cycle'!V192</f>
        <v>0</v>
      </c>
      <c r="W517" s="8">
        <f ca="1">'Cattle Feeding Cycle'!W192</f>
        <v>0</v>
      </c>
      <c r="X517" s="8">
        <f ca="1">'Cattle Feeding Cycle'!X192</f>
        <v>0</v>
      </c>
      <c r="Y517" s="8">
        <f ca="1">'Cattle Feeding Cycle'!Y192</f>
        <v>0</v>
      </c>
      <c r="Z517" s="8">
        <f ca="1">'Cattle Feeding Cycle'!Z192</f>
        <v>0</v>
      </c>
      <c r="AA517" s="8">
        <f ca="1">'Cattle Feeding Cycle'!AA192</f>
        <v>-141.22885393048114</v>
      </c>
      <c r="AB517" s="8">
        <f ca="1">'Cattle Feeding Cycle'!AB192</f>
        <v>-247.08236867328355</v>
      </c>
      <c r="AC517" s="8">
        <f ca="1">'Cattle Feeding Cycle'!AC192</f>
        <v>-430.10312398534529</v>
      </c>
      <c r="AD517" s="8">
        <f ca="1">'Cattle Feeding Cycle'!AD192</f>
        <v>-484.94711688401469</v>
      </c>
      <c r="AE517" s="8">
        <f ca="1">'Cattle Feeding Cycle'!AE192</f>
        <v>-46.538261952635679</v>
      </c>
      <c r="AF517" s="8">
        <f ca="1">'Cattle Feeding Cycle'!AF192</f>
        <v>-41.30149681017663</v>
      </c>
      <c r="AG517" s="8">
        <f ca="1">'Cattle Feeding Cycle'!AG192</f>
        <v>-42.571517837089573</v>
      </c>
      <c r="AH517" s="7"/>
      <c r="AI517" s="8">
        <f ca="1">'Cattle Feeding Cycle'!AI192</f>
        <v>0</v>
      </c>
      <c r="AJ517" s="8">
        <f ca="1">'Cattle Feeding Cycle'!AJ192</f>
        <v>0</v>
      </c>
      <c r="AK517" s="8">
        <f>'Cattle Feeding Cycle'!AK192</f>
        <v>-1390.081482290698</v>
      </c>
      <c r="AL517" s="8">
        <f ca="1">'Cattle Feeding Cycle'!AL192</f>
        <v>-1875.6560576752204</v>
      </c>
      <c r="AM517" s="8">
        <f ca="1">'Cattle Feeding Cycle'!AM192</f>
        <v>-2519.2921230066167</v>
      </c>
      <c r="AN517" s="8">
        <f ca="1">'Cattle Feeding Cycle'!AN192</f>
        <v>-3308.0236067181304</v>
      </c>
      <c r="AO517" s="8">
        <f ca="1">'Cattle Feeding Cycle'!AO192</f>
        <v>-3572.6654952555809</v>
      </c>
      <c r="AP517" s="8">
        <f ca="1">'Cattle Feeding Cycle'!AP192</f>
        <v>-3822.7520799234717</v>
      </c>
      <c r="AQ517" s="8">
        <f ca="1">'Cattle Feeding Cycle'!AQ192</f>
        <v>-4071.2309651184969</v>
      </c>
      <c r="AR517" s="8">
        <f ca="1">'Cattle Feeding Cycle'!AR192</f>
        <v>-4315.504823025607</v>
      </c>
      <c r="AS517" s="8">
        <f ca="1">'Cattle Feeding Cycle'!AS192</f>
        <v>-4531.2800641768872</v>
      </c>
      <c r="AT517" s="8">
        <f ca="1">'Cattle Feeding Cycle'!AT192</f>
        <v>-4757.8440673857313</v>
      </c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</row>
    <row r="518" spans="1:66" ht="13.5" customHeight="1" x14ac:dyDescent="0.3">
      <c r="A518" s="7"/>
      <c r="B518" s="7"/>
      <c r="C518" s="7" t="s">
        <v>90</v>
      </c>
      <c r="D518" s="7" t="s">
        <v>4</v>
      </c>
      <c r="E518" s="7"/>
      <c r="F518" s="7"/>
      <c r="G518" s="7"/>
      <c r="H518" s="7"/>
      <c r="I518" s="7"/>
      <c r="J518" s="8">
        <f>'Cattle Feeding Cycle'!J203</f>
        <v>-52.2</v>
      </c>
      <c r="K518" s="8">
        <f>'Cattle Feeding Cycle'!K203</f>
        <v>-52.134749999999997</v>
      </c>
      <c r="L518" s="8">
        <f>'Cattle Feeding Cycle'!L203</f>
        <v>-53.737893562499998</v>
      </c>
      <c r="M518" s="8">
        <f>'Cattle Feeding Cycle'!M203</f>
        <v>-1166.8759183265624</v>
      </c>
      <c r="N518" s="8">
        <f>'Cattle Feeding Cycle'!N203</f>
        <v>-1202.7573528151042</v>
      </c>
      <c r="O518" s="8">
        <f>'Cattle Feeding Cycle'!O203</f>
        <v>-1325.7242576735384</v>
      </c>
      <c r="P518" s="8">
        <f>'Cattle Feeding Cycle'!P203</f>
        <v>-1194.4347908652235</v>
      </c>
      <c r="Q518" s="8">
        <f>'Cattle Feeding Cycle'!Q203</f>
        <v>-1319.1039221617812</v>
      </c>
      <c r="R518" s="8">
        <f>'Cattle Feeding Cycle'!R203</f>
        <v>0</v>
      </c>
      <c r="S518" s="8">
        <f>'Cattle Feeding Cycle'!S203</f>
        <v>0</v>
      </c>
      <c r="T518" s="8">
        <f>'Cattle Feeding Cycle'!T203</f>
        <v>0</v>
      </c>
      <c r="U518" s="8">
        <f>'Cattle Feeding Cycle'!U203</f>
        <v>0</v>
      </c>
      <c r="V518" s="8">
        <f>'Cattle Feeding Cycle'!V203</f>
        <v>0</v>
      </c>
      <c r="W518" s="8">
        <f>'Cattle Feeding Cycle'!W203</f>
        <v>0</v>
      </c>
      <c r="X518" s="8">
        <f>'Cattle Feeding Cycle'!X203</f>
        <v>0</v>
      </c>
      <c r="Y518" s="8">
        <f>'Cattle Feeding Cycle'!Y203</f>
        <v>0</v>
      </c>
      <c r="Z518" s="8">
        <f>'Cattle Feeding Cycle'!Z203</f>
        <v>0</v>
      </c>
      <c r="AA518" s="8">
        <f>'Cattle Feeding Cycle'!AA203</f>
        <v>0</v>
      </c>
      <c r="AB518" s="8">
        <f>'Cattle Feeding Cycle'!AB203</f>
        <v>0</v>
      </c>
      <c r="AC518" s="8">
        <f>'Cattle Feeding Cycle'!AC203</f>
        <v>0</v>
      </c>
      <c r="AD518" s="8">
        <f>'Cattle Feeding Cycle'!AD203</f>
        <v>0</v>
      </c>
      <c r="AE518" s="8">
        <f>'Cattle Feeding Cycle'!AE203</f>
        <v>0</v>
      </c>
      <c r="AF518" s="8">
        <f>'Cattle Feeding Cycle'!AF203</f>
        <v>0</v>
      </c>
      <c r="AG518" s="8">
        <f>'Cattle Feeding Cycle'!AG203</f>
        <v>0</v>
      </c>
      <c r="AH518" s="7"/>
      <c r="AI518" s="8">
        <f>'Cattle Feeding Cycle'!AI203+'Cattle Feeding Cycle'!AI214</f>
        <v>-2527.7059147041664</v>
      </c>
      <c r="AJ518" s="8">
        <f>'Cattle Feeding Cycle'!AJ203+'Cattle Feeding Cycle'!AJ214</f>
        <v>-3839.2629707005431</v>
      </c>
      <c r="AK518" s="8">
        <f ca="1">'Cattle Feeding Cycle'!AK203+'Cattle Feeding Cycle'!AK214</f>
        <v>-4274.9300224751532</v>
      </c>
      <c r="AL518" s="8">
        <f ca="1">'Cattle Feeding Cycle'!AL203+'Cattle Feeding Cycle'!AL214</f>
        <v>-3379.9352018904187</v>
      </c>
      <c r="AM518" s="8">
        <f ca="1">'Cattle Feeding Cycle'!AM203+'Cattle Feeding Cycle'!AM214</f>
        <v>-4539.7684162571213</v>
      </c>
      <c r="AN518" s="8">
        <f ca="1">'Cattle Feeding Cycle'!AN203+'Cattle Feeding Cycle'!AN214</f>
        <v>-5961.0638055301424</v>
      </c>
      <c r="AO518" s="8">
        <f ca="1">'Cattle Feeding Cycle'!AO203+'Cattle Feeding Cycle'!AO214</f>
        <v>-6437.9489099725552</v>
      </c>
      <c r="AP518" s="8">
        <f ca="1">'Cattle Feeding Cycle'!AP203+'Cattle Feeding Cycle'!AP214</f>
        <v>-6888.6053336706336</v>
      </c>
      <c r="AQ518" s="8">
        <f ca="1">'Cattle Feeding Cycle'!AQ203+'Cattle Feeding Cycle'!AQ214</f>
        <v>-7336.3646803592255</v>
      </c>
      <c r="AR518" s="8">
        <f ca="1">'Cattle Feeding Cycle'!AR203+'Cattle Feeding Cycle'!AR214</f>
        <v>-7776.5465611807786</v>
      </c>
      <c r="AS518" s="8">
        <f ca="1">'Cattle Feeding Cycle'!AS203+'Cattle Feeding Cycle'!AS214</f>
        <v>-8165.3738892398196</v>
      </c>
      <c r="AT518" s="8">
        <f ca="1">'Cattle Feeding Cycle'!AT203+'Cattle Feeding Cycle'!AT214</f>
        <v>-8573.6425837018105</v>
      </c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</row>
    <row r="519" spans="1:66" ht="13.5" customHeight="1" x14ac:dyDescent="0.3">
      <c r="A519" s="7"/>
      <c r="B519" s="7"/>
      <c r="C519" s="7" t="s">
        <v>59</v>
      </c>
      <c r="D519" s="7" t="s">
        <v>4</v>
      </c>
      <c r="E519" s="7"/>
      <c r="F519" s="7"/>
      <c r="G519" s="7"/>
      <c r="H519" s="7"/>
      <c r="I519" s="7"/>
      <c r="J519" s="8">
        <f>'Cattle Feeding Cycle'!J257</f>
        <v>0</v>
      </c>
      <c r="K519" s="8">
        <f>'Cattle Feeding Cycle'!K257</f>
        <v>0</v>
      </c>
      <c r="L519" s="8">
        <f>'Cattle Feeding Cycle'!L257</f>
        <v>0</v>
      </c>
      <c r="M519" s="8">
        <f>'Cattle Feeding Cycle'!M257</f>
        <v>0</v>
      </c>
      <c r="N519" s="8">
        <f>'Cattle Feeding Cycle'!N257</f>
        <v>0</v>
      </c>
      <c r="O519" s="8">
        <f>'Cattle Feeding Cycle'!O257</f>
        <v>0</v>
      </c>
      <c r="P519" s="8">
        <f>'Cattle Feeding Cycle'!P257</f>
        <v>0</v>
      </c>
      <c r="Q519" s="8">
        <f>'Cattle Feeding Cycle'!Q257</f>
        <v>0</v>
      </c>
      <c r="R519" s="8">
        <f>'Cattle Feeding Cycle'!R257</f>
        <v>0</v>
      </c>
      <c r="S519" s="8">
        <f>'Cattle Feeding Cycle'!S257</f>
        <v>0</v>
      </c>
      <c r="T519" s="8">
        <f>'Cattle Feeding Cycle'!T257</f>
        <v>0</v>
      </c>
      <c r="U519" s="8">
        <f>'Cattle Feeding Cycle'!U257</f>
        <v>0</v>
      </c>
      <c r="V519" s="8">
        <f>'Cattle Feeding Cycle'!V257</f>
        <v>0</v>
      </c>
      <c r="W519" s="8">
        <f>'Cattle Feeding Cycle'!W257</f>
        <v>0</v>
      </c>
      <c r="X519" s="8">
        <f>'Cattle Feeding Cycle'!X257</f>
        <v>0</v>
      </c>
      <c r="Y519" s="8">
        <f>'Cattle Feeding Cycle'!Y257</f>
        <v>0</v>
      </c>
      <c r="Z519" s="8">
        <f>'Cattle Feeding Cycle'!Z257</f>
        <v>0</v>
      </c>
      <c r="AA519" s="8">
        <f>'Cattle Feeding Cycle'!AA257</f>
        <v>0</v>
      </c>
      <c r="AB519" s="8">
        <f>'Cattle Feeding Cycle'!AB257</f>
        <v>0</v>
      </c>
      <c r="AC519" s="8">
        <f>'Cattle Feeding Cycle'!AC257</f>
        <v>0</v>
      </c>
      <c r="AD519" s="8">
        <f>'Cattle Feeding Cycle'!AD257</f>
        <v>0</v>
      </c>
      <c r="AE519" s="8">
        <f>'Cattle Feeding Cycle'!AE257</f>
        <v>0</v>
      </c>
      <c r="AF519" s="8">
        <f>'Cattle Feeding Cycle'!AF257</f>
        <v>0</v>
      </c>
      <c r="AG519" s="8">
        <f>'Cattle Feeding Cycle'!AG257</f>
        <v>0</v>
      </c>
      <c r="AH519" s="7"/>
      <c r="AI519" s="8">
        <f>'Cattle Feeding Cycle'!AI257</f>
        <v>0</v>
      </c>
      <c r="AJ519" s="8">
        <f>'Cattle Feeding Cycle'!AJ257</f>
        <v>0</v>
      </c>
      <c r="AK519" s="8">
        <f>'Cattle Feeding Cycle'!AK257</f>
        <v>-115.32547848700464</v>
      </c>
      <c r="AL519" s="8">
        <f ca="1">'Cattle Feeding Cycle'!AL257</f>
        <v>-146.90338752803405</v>
      </c>
      <c r="AM519" s="8">
        <f ca="1">'Cattle Feeding Cycle'!AM257</f>
        <v>-197.31365221674781</v>
      </c>
      <c r="AN519" s="8">
        <f ca="1">'Cattle Feeding Cycle'!AN257</f>
        <v>-259.56594257343329</v>
      </c>
      <c r="AO519" s="8">
        <f ca="1">'Cattle Feeding Cycle'!AO257</f>
        <v>-286.39809762593626</v>
      </c>
      <c r="AP519" s="8">
        <f ca="1">'Cattle Feeding Cycle'!AP257</f>
        <v>-306.44596445975185</v>
      </c>
      <c r="AQ519" s="8">
        <f ca="1">'Cattle Feeding Cycle'!AQ257</f>
        <v>-326.36495214963571</v>
      </c>
      <c r="AR519" s="8">
        <f ca="1">'Cattle Feeding Cycle'!AR257</f>
        <v>-345.94684927861385</v>
      </c>
      <c r="AS519" s="8">
        <f ca="1">'Cattle Feeding Cycle'!AS257</f>
        <v>-363.24419174254456</v>
      </c>
      <c r="AT519" s="8">
        <f ca="1">'Cattle Feeding Cycle'!AT257</f>
        <v>-381.40640132967184</v>
      </c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</row>
    <row r="520" spans="1:66" ht="13.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</row>
    <row r="521" spans="1:66" ht="13.5" customHeight="1" x14ac:dyDescent="0.3">
      <c r="A521" s="7"/>
      <c r="B521" s="159" t="s">
        <v>364</v>
      </c>
      <c r="C521" s="172"/>
      <c r="D521" s="44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</row>
    <row r="522" spans="1:66" ht="13.5" customHeight="1" x14ac:dyDescent="0.3">
      <c r="A522" s="7"/>
      <c r="B522" s="173"/>
      <c r="C522" s="28" t="s">
        <v>56</v>
      </c>
      <c r="D522" s="174" t="s">
        <v>4</v>
      </c>
      <c r="E522" s="7"/>
      <c r="F522" s="7"/>
      <c r="G522" s="7"/>
      <c r="H522" s="7"/>
      <c r="I522" s="7"/>
      <c r="J522" s="8">
        <f t="shared" ref="J522:AG522" si="659">IFERROR(J515/J508/30,0)</f>
        <v>0</v>
      </c>
      <c r="K522" s="8">
        <f t="shared" si="659"/>
        <v>0</v>
      </c>
      <c r="L522" s="8">
        <f t="shared" si="659"/>
        <v>0</v>
      </c>
      <c r="M522" s="8">
        <f t="shared" si="659"/>
        <v>0</v>
      </c>
      <c r="N522" s="8">
        <f t="shared" si="659"/>
        <v>0</v>
      </c>
      <c r="O522" s="8">
        <f t="shared" si="659"/>
        <v>0</v>
      </c>
      <c r="P522" s="8">
        <f t="shared" si="659"/>
        <v>0</v>
      </c>
      <c r="Q522" s="8">
        <f t="shared" si="659"/>
        <v>0</v>
      </c>
      <c r="R522" s="8">
        <f t="shared" si="659"/>
        <v>-108.41017761726185</v>
      </c>
      <c r="S522" s="8">
        <f t="shared" si="659"/>
        <v>-1.6228334626921062</v>
      </c>
      <c r="T522" s="8">
        <f t="shared" si="659"/>
        <v>-1.5665577861632669</v>
      </c>
      <c r="U522" s="8">
        <f t="shared" si="659"/>
        <v>-1.6147294380877877</v>
      </c>
      <c r="V522" s="8">
        <f t="shared" si="659"/>
        <v>-1.6106926144925677</v>
      </c>
      <c r="W522" s="8">
        <f t="shared" si="659"/>
        <v>-1.5548379512480677</v>
      </c>
      <c r="X522" s="8">
        <f t="shared" si="659"/>
        <v>-1.6026492182489458</v>
      </c>
      <c r="Y522" s="8">
        <f t="shared" si="659"/>
        <v>-100.6264804069764</v>
      </c>
      <c r="Z522" s="8">
        <f t="shared" si="659"/>
        <v>-103.72074467949091</v>
      </c>
      <c r="AA522" s="8">
        <f t="shared" si="659"/>
        <v>-102.23561975041721</v>
      </c>
      <c r="AB522" s="8">
        <f t="shared" si="659"/>
        <v>-95.400673881619156</v>
      </c>
      <c r="AC522" s="8">
        <f t="shared" si="659"/>
        <v>-101.72508062428854</v>
      </c>
      <c r="AD522" s="8">
        <f t="shared" si="659"/>
        <v>-98.197517344575303</v>
      </c>
      <c r="AE522" s="8">
        <f t="shared" si="659"/>
        <v>-1.4717982907221911</v>
      </c>
      <c r="AF522" s="8">
        <f t="shared" si="659"/>
        <v>-1.4207601241890828</v>
      </c>
      <c r="AG522" s="8">
        <f t="shared" si="659"/>
        <v>-1.4644484980078971</v>
      </c>
      <c r="AH522" s="7"/>
      <c r="AI522" s="8">
        <f t="shared" ref="AI522:AS522" si="660">IFERROR(AI515/AI508/30,0)</f>
        <v>0</v>
      </c>
      <c r="AJ522" s="8">
        <f t="shared" si="660"/>
        <v>-35.814411463851322</v>
      </c>
      <c r="AK522" s="8">
        <f t="shared" ca="1" si="660"/>
        <v>-64.540992435754205</v>
      </c>
      <c r="AL522" s="8">
        <f t="shared" ca="1" si="660"/>
        <v>-73.584965686347559</v>
      </c>
      <c r="AM522" s="8">
        <f t="shared" ca="1" si="660"/>
        <v>-96.743603349984838</v>
      </c>
      <c r="AN522" s="8">
        <f t="shared" ca="1" si="660"/>
        <v>-100.83086505075455</v>
      </c>
      <c r="AO522" s="8">
        <f t="shared" ca="1" si="660"/>
        <v>-108.89733425481494</v>
      </c>
      <c r="AP522" s="8">
        <f t="shared" ca="1" si="660"/>
        <v>-116.52014765265201</v>
      </c>
      <c r="AQ522" s="8">
        <f t="shared" ca="1" si="660"/>
        <v>-124.09395725007435</v>
      </c>
      <c r="AR522" s="8">
        <f t="shared" ca="1" si="660"/>
        <v>-131.53959468507884</v>
      </c>
      <c r="AS522" s="8">
        <f t="shared" ca="1" si="660"/>
        <v>-138.11657441933278</v>
      </c>
      <c r="AT522" s="8">
        <f t="shared" ref="AT522" ca="1" si="661">IFERROR(AT515/AT508/30,0)</f>
        <v>-145.02240314029945</v>
      </c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</row>
    <row r="523" spans="1:66" ht="13.5" customHeight="1" x14ac:dyDescent="0.3">
      <c r="A523" s="7"/>
      <c r="B523" s="173"/>
      <c r="C523" s="28" t="s">
        <v>88</v>
      </c>
      <c r="D523" s="174" t="s">
        <v>4</v>
      </c>
      <c r="E523" s="7"/>
      <c r="F523" s="7"/>
      <c r="G523" s="7"/>
      <c r="H523" s="7"/>
      <c r="I523" s="7"/>
      <c r="J523" s="8">
        <f t="shared" ref="J523:AG523" si="662">IFERROR(J516/J509/30,0)</f>
        <v>-0.10149999999999999</v>
      </c>
      <c r="K523" s="8">
        <f t="shared" si="662"/>
        <v>-0.10149999999999999</v>
      </c>
      <c r="L523" s="8">
        <f t="shared" si="662"/>
        <v>-0.10488333333333334</v>
      </c>
      <c r="M523" s="8">
        <f t="shared" si="662"/>
        <v>-9.4825499999999998</v>
      </c>
      <c r="N523" s="8">
        <f t="shared" si="662"/>
        <v>-9.7986349999999991</v>
      </c>
      <c r="O523" s="8">
        <f t="shared" si="662"/>
        <v>-10.827491675000001</v>
      </c>
      <c r="P523" s="8">
        <f t="shared" si="662"/>
        <v>-9.7796699</v>
      </c>
      <c r="Q523" s="8">
        <f t="shared" si="662"/>
        <v>-10.827491675000001</v>
      </c>
      <c r="R523" s="8">
        <f t="shared" si="662"/>
        <v>-10.478217750000001</v>
      </c>
      <c r="S523" s="8">
        <f t="shared" si="662"/>
        <v>-0.11589608333333334</v>
      </c>
      <c r="T523" s="8">
        <f t="shared" si="662"/>
        <v>-0.11215749999999999</v>
      </c>
      <c r="U523" s="8">
        <f t="shared" si="662"/>
        <v>-0.11589608333333334</v>
      </c>
      <c r="V523" s="8">
        <f t="shared" si="662"/>
        <v>-0.11589608333333334</v>
      </c>
      <c r="W523" s="8">
        <f t="shared" si="662"/>
        <v>-0.11215749999999999</v>
      </c>
      <c r="X523" s="8">
        <f t="shared" si="662"/>
        <v>-0.11589608333333334</v>
      </c>
      <c r="Y523" s="8">
        <f t="shared" si="662"/>
        <v>-10.478217750000001</v>
      </c>
      <c r="Z523" s="8">
        <f t="shared" si="662"/>
        <v>-10.827491675000001</v>
      </c>
      <c r="AA523" s="8">
        <f t="shared" si="662"/>
        <v>-11.88046524039375</v>
      </c>
      <c r="AB523" s="8">
        <f t="shared" si="662"/>
        <v>-11.0861986529513</v>
      </c>
      <c r="AC523" s="8">
        <f t="shared" si="662"/>
        <v>-11.821137167099534</v>
      </c>
      <c r="AD523" s="8">
        <f t="shared" si="662"/>
        <v>-11.411210636304952</v>
      </c>
      <c r="AE523" s="8">
        <f t="shared" si="662"/>
        <v>-0.12590006848181029</v>
      </c>
      <c r="AF523" s="8">
        <f t="shared" si="662"/>
        <v>-0.12153417901026363</v>
      </c>
      <c r="AG523" s="8">
        <f t="shared" si="662"/>
        <v>-0.12527135501482925</v>
      </c>
      <c r="AH523" s="7"/>
      <c r="AI523" s="8">
        <f t="shared" ref="AI523:AS523" si="663">IFERROR(AI516/AI509/30,0)</f>
        <v>-3.9178136666666661</v>
      </c>
      <c r="AJ523" s="8">
        <f t="shared" si="663"/>
        <v>-5.3255399798611114</v>
      </c>
      <c r="AK523" s="8">
        <f t="shared" si="663"/>
        <v>-4.5540763535376758</v>
      </c>
      <c r="AL523" s="8">
        <f t="shared" ca="1" si="663"/>
        <v>-6.1448778423782464</v>
      </c>
      <c r="AM523" s="8">
        <f t="shared" ca="1" si="663"/>
        <v>-8.2535080361849502</v>
      </c>
      <c r="AN523" s="8">
        <f t="shared" ca="1" si="663"/>
        <v>-10.837488504252311</v>
      </c>
      <c r="AO523" s="8">
        <f t="shared" ca="1" si="663"/>
        <v>-11.704487584592496</v>
      </c>
      <c r="AP523" s="8">
        <f t="shared" ca="1" si="663"/>
        <v>-12.523801715513969</v>
      </c>
      <c r="AQ523" s="8">
        <f t="shared" ca="1" si="663"/>
        <v>-13.337848827022381</v>
      </c>
      <c r="AR523" s="8">
        <f t="shared" ca="1" si="663"/>
        <v>-14.13811975664372</v>
      </c>
      <c r="AS523" s="8">
        <f t="shared" ca="1" si="663"/>
        <v>-14.845025744475903</v>
      </c>
      <c r="AT523" s="8">
        <f t="shared" ref="AT523" ca="1" si="664">IFERROR(AT516/AT509/30,0)</f>
        <v>-15.587277031699703</v>
      </c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</row>
    <row r="524" spans="1:66" ht="13.5" customHeight="1" x14ac:dyDescent="0.3">
      <c r="A524" s="7"/>
      <c r="B524" s="173"/>
      <c r="C524" s="28" t="s">
        <v>89</v>
      </c>
      <c r="D524" s="174" t="s">
        <v>4</v>
      </c>
      <c r="E524" s="7"/>
      <c r="F524" s="7"/>
      <c r="G524" s="7"/>
      <c r="H524" s="7"/>
      <c r="I524" s="7"/>
      <c r="J524" s="8">
        <f t="shared" ref="J524:AG524" si="665">IFERROR(J517/J510/30,0)</f>
        <v>0</v>
      </c>
      <c r="K524" s="8">
        <f t="shared" ca="1" si="665"/>
        <v>0</v>
      </c>
      <c r="L524" s="8">
        <f t="shared" ca="1" si="665"/>
        <v>0</v>
      </c>
      <c r="M524" s="8">
        <f t="shared" ca="1" si="665"/>
        <v>0</v>
      </c>
      <c r="N524" s="8">
        <f t="shared" ca="1" si="665"/>
        <v>0</v>
      </c>
      <c r="O524" s="8">
        <f t="shared" ca="1" si="665"/>
        <v>0</v>
      </c>
      <c r="P524" s="8">
        <f t="shared" ca="1" si="665"/>
        <v>0</v>
      </c>
      <c r="Q524" s="8">
        <f t="shared" ca="1" si="665"/>
        <v>0</v>
      </c>
      <c r="R524" s="8">
        <f t="shared" ca="1" si="665"/>
        <v>0</v>
      </c>
      <c r="S524" s="8">
        <f t="shared" ca="1" si="665"/>
        <v>0</v>
      </c>
      <c r="T524" s="8">
        <f t="shared" ca="1" si="665"/>
        <v>0</v>
      </c>
      <c r="U524" s="8">
        <f t="shared" ca="1" si="665"/>
        <v>0</v>
      </c>
      <c r="V524" s="8">
        <f t="shared" ca="1" si="665"/>
        <v>0</v>
      </c>
      <c r="W524" s="8">
        <f t="shared" ca="1" si="665"/>
        <v>0</v>
      </c>
      <c r="X524" s="8">
        <f t="shared" ca="1" si="665"/>
        <v>0</v>
      </c>
      <c r="Y524" s="8">
        <f t="shared" ca="1" si="665"/>
        <v>0</v>
      </c>
      <c r="Z524" s="8">
        <f t="shared" ca="1" si="665"/>
        <v>0</v>
      </c>
      <c r="AA524" s="8">
        <f t="shared" ca="1" si="665"/>
        <v>-4.7076284643493711</v>
      </c>
      <c r="AB524" s="8">
        <f t="shared" ca="1" si="665"/>
        <v>-8.2360789557761187</v>
      </c>
      <c r="AC524" s="8">
        <f t="shared" ca="1" si="665"/>
        <v>-14.336770799511509</v>
      </c>
      <c r="AD524" s="8">
        <f t="shared" ca="1" si="665"/>
        <v>-16.164903896133822</v>
      </c>
      <c r="AE524" s="8">
        <f t="shared" ca="1" si="665"/>
        <v>-1.5512753984211893</v>
      </c>
      <c r="AF524" s="8">
        <f t="shared" ca="1" si="665"/>
        <v>-1.3767165603392211</v>
      </c>
      <c r="AG524" s="8">
        <f t="shared" ca="1" si="665"/>
        <v>-1.4190505945696523</v>
      </c>
      <c r="AH524" s="7"/>
      <c r="AI524" s="8">
        <f t="shared" ref="AI524:AS524" ca="1" si="666">IFERROR(AI517/AI510/30,0)</f>
        <v>0</v>
      </c>
      <c r="AJ524" s="8">
        <f t="shared" ca="1" si="666"/>
        <v>0</v>
      </c>
      <c r="AK524" s="8">
        <f t="shared" si="666"/>
        <v>-7.7226749016149894</v>
      </c>
      <c r="AL524" s="8">
        <f t="shared" ca="1" si="666"/>
        <v>-10.420311431529003</v>
      </c>
      <c r="AM524" s="8">
        <f t="shared" ca="1" si="666"/>
        <v>-13.996067350036759</v>
      </c>
      <c r="AN524" s="8">
        <f t="shared" ca="1" si="666"/>
        <v>-18.377908926211834</v>
      </c>
      <c r="AO524" s="8">
        <f t="shared" ca="1" si="666"/>
        <v>-19.848141640308782</v>
      </c>
      <c r="AP524" s="8">
        <f t="shared" ca="1" si="666"/>
        <v>-21.2375115551304</v>
      </c>
      <c r="AQ524" s="8">
        <f t="shared" ca="1" si="666"/>
        <v>-22.617949806213872</v>
      </c>
      <c r="AR524" s="8">
        <f t="shared" ca="1" si="666"/>
        <v>-23.975026794586707</v>
      </c>
      <c r="AS524" s="8">
        <f t="shared" ca="1" si="666"/>
        <v>-25.173778134316038</v>
      </c>
      <c r="AT524" s="8">
        <f t="shared" ref="AT524" ca="1" si="667">IFERROR(AT517/AT510/30,0)</f>
        <v>-26.432467041031838</v>
      </c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</row>
    <row r="525" spans="1:66" ht="13.5" customHeight="1" x14ac:dyDescent="0.3">
      <c r="A525" s="7"/>
      <c r="B525" s="173"/>
      <c r="C525" s="28" t="s">
        <v>90</v>
      </c>
      <c r="D525" s="174" t="s">
        <v>4</v>
      </c>
      <c r="E525" s="7"/>
      <c r="F525" s="7"/>
      <c r="G525" s="7"/>
      <c r="H525" s="7"/>
      <c r="I525" s="7"/>
      <c r="J525" s="8">
        <f t="shared" ref="J525:AG525" si="668">IFERROR(J518/J511/30,0)</f>
        <v>-1.74</v>
      </c>
      <c r="K525" s="8">
        <f t="shared" si="668"/>
        <v>-1.737825</v>
      </c>
      <c r="L525" s="8">
        <f t="shared" si="668"/>
        <v>-1.7912631187499999</v>
      </c>
      <c r="M525" s="8">
        <f t="shared" si="668"/>
        <v>-38.895863944218746</v>
      </c>
      <c r="N525" s="8">
        <f t="shared" si="668"/>
        <v>-40.091911760503471</v>
      </c>
      <c r="O525" s="8">
        <f t="shared" si="668"/>
        <v>-44.19080858911795</v>
      </c>
      <c r="P525" s="8">
        <f t="shared" si="668"/>
        <v>-39.814493028840779</v>
      </c>
      <c r="Q525" s="8">
        <f t="shared" si="668"/>
        <v>-43.970130738726041</v>
      </c>
      <c r="R525" s="8">
        <f t="shared" si="668"/>
        <v>0</v>
      </c>
      <c r="S525" s="8">
        <f t="shared" si="668"/>
        <v>0</v>
      </c>
      <c r="T525" s="8">
        <f t="shared" si="668"/>
        <v>0</v>
      </c>
      <c r="U525" s="8">
        <f t="shared" si="668"/>
        <v>0</v>
      </c>
      <c r="V525" s="8">
        <f t="shared" si="668"/>
        <v>0</v>
      </c>
      <c r="W525" s="8">
        <f t="shared" si="668"/>
        <v>0</v>
      </c>
      <c r="X525" s="8">
        <f t="shared" si="668"/>
        <v>0</v>
      </c>
      <c r="Y525" s="8">
        <f t="shared" si="668"/>
        <v>0</v>
      </c>
      <c r="Z525" s="8">
        <f t="shared" si="668"/>
        <v>0</v>
      </c>
      <c r="AA525" s="8">
        <f t="shared" si="668"/>
        <v>0</v>
      </c>
      <c r="AB525" s="8">
        <f t="shared" si="668"/>
        <v>0</v>
      </c>
      <c r="AC525" s="8">
        <f t="shared" si="668"/>
        <v>0</v>
      </c>
      <c r="AD525" s="8">
        <f t="shared" si="668"/>
        <v>0</v>
      </c>
      <c r="AE525" s="8">
        <f t="shared" si="668"/>
        <v>0</v>
      </c>
      <c r="AF525" s="8">
        <f t="shared" si="668"/>
        <v>0</v>
      </c>
      <c r="AG525" s="8">
        <f t="shared" si="668"/>
        <v>0</v>
      </c>
      <c r="AH525" s="7"/>
      <c r="AI525" s="8">
        <f t="shared" ref="AI525:AS525" si="669">IFERROR(AI518/AI511/30,0)</f>
        <v>-16.851372764694442</v>
      </c>
      <c r="AJ525" s="8">
        <f t="shared" si="669"/>
        <v>-42.658477452228254</v>
      </c>
      <c r="AK525" s="8">
        <f t="shared" ca="1" si="669"/>
        <v>-35.624416853959609</v>
      </c>
      <c r="AL525" s="8">
        <f t="shared" ca="1" si="669"/>
        <v>-28.166126682420156</v>
      </c>
      <c r="AM525" s="8">
        <f t="shared" ca="1" si="669"/>
        <v>-37.831403468809341</v>
      </c>
      <c r="AN525" s="8">
        <f t="shared" ca="1" si="669"/>
        <v>-49.675531712751187</v>
      </c>
      <c r="AO525" s="8">
        <f t="shared" ca="1" si="669"/>
        <v>-53.649574249771291</v>
      </c>
      <c r="AP525" s="8">
        <f t="shared" ca="1" si="669"/>
        <v>-57.405044447255278</v>
      </c>
      <c r="AQ525" s="8">
        <f t="shared" ca="1" si="669"/>
        <v>-61.136372336326879</v>
      </c>
      <c r="AR525" s="8">
        <f t="shared" ca="1" si="669"/>
        <v>-64.804554676506484</v>
      </c>
      <c r="AS525" s="8">
        <f t="shared" ca="1" si="669"/>
        <v>-68.044782410331834</v>
      </c>
      <c r="AT525" s="8">
        <f t="shared" ref="AT525" ca="1" si="670">IFERROR(AT518/AT511/30,0)</f>
        <v>-71.447021530848417</v>
      </c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</row>
    <row r="526" spans="1:66" ht="13.5" customHeight="1" x14ac:dyDescent="0.3">
      <c r="A526" s="7"/>
      <c r="B526" s="175"/>
      <c r="C526" s="176" t="s">
        <v>59</v>
      </c>
      <c r="D526" s="138" t="s">
        <v>4</v>
      </c>
      <c r="E526" s="7"/>
      <c r="F526" s="7"/>
      <c r="G526" s="7"/>
      <c r="H526" s="7"/>
      <c r="I526" s="7"/>
      <c r="J526" s="8">
        <f t="shared" ref="J526:AG526" si="671">IFERROR(J519/J512/30,0)</f>
        <v>0</v>
      </c>
      <c r="K526" s="8">
        <f t="shared" si="671"/>
        <v>0</v>
      </c>
      <c r="L526" s="8">
        <f t="shared" si="671"/>
        <v>0</v>
      </c>
      <c r="M526" s="8">
        <f t="shared" si="671"/>
        <v>0</v>
      </c>
      <c r="N526" s="8">
        <f t="shared" si="671"/>
        <v>0</v>
      </c>
      <c r="O526" s="8">
        <f t="shared" si="671"/>
        <v>0</v>
      </c>
      <c r="P526" s="8">
        <f t="shared" si="671"/>
        <v>0</v>
      </c>
      <c r="Q526" s="8">
        <f t="shared" si="671"/>
        <v>0</v>
      </c>
      <c r="R526" s="8">
        <f t="shared" si="671"/>
        <v>0</v>
      </c>
      <c r="S526" s="8">
        <f t="shared" si="671"/>
        <v>0</v>
      </c>
      <c r="T526" s="8">
        <f t="shared" si="671"/>
        <v>0</v>
      </c>
      <c r="U526" s="8">
        <f t="shared" si="671"/>
        <v>0</v>
      </c>
      <c r="V526" s="8">
        <f t="shared" si="671"/>
        <v>0</v>
      </c>
      <c r="W526" s="8">
        <f t="shared" si="671"/>
        <v>0</v>
      </c>
      <c r="X526" s="8">
        <f t="shared" si="671"/>
        <v>0</v>
      </c>
      <c r="Y526" s="8">
        <f t="shared" si="671"/>
        <v>0</v>
      </c>
      <c r="Z526" s="8">
        <f t="shared" si="671"/>
        <v>0</v>
      </c>
      <c r="AA526" s="8">
        <f t="shared" si="671"/>
        <v>0</v>
      </c>
      <c r="AB526" s="8">
        <f t="shared" si="671"/>
        <v>0</v>
      </c>
      <c r="AC526" s="8">
        <f t="shared" si="671"/>
        <v>0</v>
      </c>
      <c r="AD526" s="8">
        <f t="shared" si="671"/>
        <v>0</v>
      </c>
      <c r="AE526" s="8">
        <f t="shared" si="671"/>
        <v>0</v>
      </c>
      <c r="AF526" s="8">
        <f t="shared" si="671"/>
        <v>0</v>
      </c>
      <c r="AG526" s="8">
        <f t="shared" si="671"/>
        <v>0</v>
      </c>
      <c r="AH526" s="7"/>
      <c r="AI526" s="8">
        <f t="shared" ref="AI526:AS526" si="672">IFERROR(AI519/AI512/30,0)</f>
        <v>0</v>
      </c>
      <c r="AJ526" s="8">
        <f t="shared" si="672"/>
        <v>0</v>
      </c>
      <c r="AK526" s="8">
        <f t="shared" si="672"/>
        <v>-0.96104565405837206</v>
      </c>
      <c r="AL526" s="8">
        <f t="shared" ca="1" si="672"/>
        <v>-1.2241948960669504</v>
      </c>
      <c r="AM526" s="8">
        <f t="shared" ca="1" si="672"/>
        <v>-1.644280435139565</v>
      </c>
      <c r="AN526" s="8">
        <f t="shared" ca="1" si="672"/>
        <v>-2.1630495214452776</v>
      </c>
      <c r="AO526" s="8">
        <f t="shared" ca="1" si="672"/>
        <v>-2.3866508135494686</v>
      </c>
      <c r="AP526" s="8">
        <f t="shared" ca="1" si="672"/>
        <v>-2.553716370497932</v>
      </c>
      <c r="AQ526" s="8">
        <f t="shared" ca="1" si="672"/>
        <v>-2.7197079345802977</v>
      </c>
      <c r="AR526" s="8">
        <f t="shared" ca="1" si="672"/>
        <v>-2.8828904106551154</v>
      </c>
      <c r="AS526" s="8">
        <f t="shared" ca="1" si="672"/>
        <v>-3.0270349311878713</v>
      </c>
      <c r="AT526" s="8">
        <f t="shared" ref="AT526" ca="1" si="673">IFERROR(AT519/AT512/30,0)</f>
        <v>-3.1783866777472651</v>
      </c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</row>
    <row r="527" spans="1:66" ht="13.5" customHeight="1" x14ac:dyDescent="0.3">
      <c r="A527" s="7"/>
      <c r="B527" s="162"/>
      <c r="C527" s="177" t="s">
        <v>365</v>
      </c>
      <c r="D527" s="44" t="s">
        <v>4</v>
      </c>
      <c r="E527" s="7"/>
      <c r="F527" s="7"/>
      <c r="G527" s="7"/>
      <c r="H527" s="7"/>
      <c r="I527" s="7"/>
      <c r="J527" s="8">
        <f t="shared" ref="J527:AG527" si="674">SUM(J522:J526)</f>
        <v>-1.8414999999999999</v>
      </c>
      <c r="K527" s="8">
        <f t="shared" ca="1" si="674"/>
        <v>-1.8393249999999999</v>
      </c>
      <c r="L527" s="8">
        <f t="shared" ca="1" si="674"/>
        <v>-1.8961464520833333</v>
      </c>
      <c r="M527" s="8">
        <f t="shared" ca="1" si="674"/>
        <v>-48.37841394421875</v>
      </c>
      <c r="N527" s="8">
        <f t="shared" ca="1" si="674"/>
        <v>-49.890546760503469</v>
      </c>
      <c r="O527" s="8">
        <f t="shared" ca="1" si="674"/>
        <v>-55.018300264117954</v>
      </c>
      <c r="P527" s="8">
        <f t="shared" ca="1" si="674"/>
        <v>-49.594162928840781</v>
      </c>
      <c r="Q527" s="8">
        <f t="shared" ca="1" si="674"/>
        <v>-54.797622413726046</v>
      </c>
      <c r="R527" s="8">
        <f t="shared" ca="1" si="674"/>
        <v>-118.88839536726185</v>
      </c>
      <c r="S527" s="8">
        <f t="shared" ca="1" si="674"/>
        <v>-1.7387295460254395</v>
      </c>
      <c r="T527" s="8">
        <f t="shared" ca="1" si="674"/>
        <v>-1.6787152861632668</v>
      </c>
      <c r="U527" s="8">
        <f t="shared" ca="1" si="674"/>
        <v>-1.730625521421121</v>
      </c>
      <c r="V527" s="8">
        <f t="shared" ca="1" si="674"/>
        <v>-1.7265886978259011</v>
      </c>
      <c r="W527" s="8">
        <f t="shared" ca="1" si="674"/>
        <v>-1.6669954512480676</v>
      </c>
      <c r="X527" s="8">
        <f t="shared" ca="1" si="674"/>
        <v>-1.7185453015822791</v>
      </c>
      <c r="Y527" s="8">
        <f t="shared" ca="1" si="674"/>
        <v>-111.1046981569764</v>
      </c>
      <c r="Z527" s="8">
        <f t="shared" ca="1" si="674"/>
        <v>-114.54823635449091</v>
      </c>
      <c r="AA527" s="8">
        <f t="shared" ca="1" si="674"/>
        <v>-118.82371345516033</v>
      </c>
      <c r="AB527" s="8">
        <f t="shared" ca="1" si="674"/>
        <v>-114.72295149034657</v>
      </c>
      <c r="AC527" s="8">
        <f t="shared" ca="1" si="674"/>
        <v>-127.88298859089959</v>
      </c>
      <c r="AD527" s="8">
        <f t="shared" ca="1" si="674"/>
        <v>-125.77363187701408</v>
      </c>
      <c r="AE527" s="8">
        <f t="shared" ca="1" si="674"/>
        <v>-3.1489737576251908</v>
      </c>
      <c r="AF527" s="8">
        <f t="shared" ca="1" si="674"/>
        <v>-2.9190108635385674</v>
      </c>
      <c r="AG527" s="8">
        <f t="shared" ca="1" si="674"/>
        <v>-3.0087704475923784</v>
      </c>
      <c r="AH527" s="7"/>
      <c r="AI527" s="8">
        <f t="shared" ref="AI527:AS527" ca="1" si="675">SUM(AI522:AI526)</f>
        <v>-20.76918643136111</v>
      </c>
      <c r="AJ527" s="8">
        <f t="shared" ca="1" si="675"/>
        <v>-83.798428895940688</v>
      </c>
      <c r="AK527" s="8">
        <f t="shared" ca="1" si="675"/>
        <v>-113.40320619892485</v>
      </c>
      <c r="AL527" s="8">
        <f t="shared" ca="1" si="675"/>
        <v>-119.54047653874191</v>
      </c>
      <c r="AM527" s="8">
        <f t="shared" ca="1" si="675"/>
        <v>-158.46886264015544</v>
      </c>
      <c r="AN527" s="8">
        <f t="shared" ca="1" si="675"/>
        <v>-181.88484371541517</v>
      </c>
      <c r="AO527" s="8">
        <f t="shared" ca="1" si="675"/>
        <v>-196.48618854303697</v>
      </c>
      <c r="AP527" s="8">
        <f t="shared" ca="1" si="675"/>
        <v>-210.2402217410496</v>
      </c>
      <c r="AQ527" s="8">
        <f t="shared" ca="1" si="675"/>
        <v>-223.90583615421775</v>
      </c>
      <c r="AR527" s="8">
        <f t="shared" ca="1" si="675"/>
        <v>-237.34018632347087</v>
      </c>
      <c r="AS527" s="8">
        <f t="shared" ca="1" si="675"/>
        <v>-249.2071956396444</v>
      </c>
      <c r="AT527" s="8">
        <f t="shared" ref="AT527" ca="1" si="676">SUM(AT522:AT526)</f>
        <v>-261.66755542162667</v>
      </c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</row>
    <row r="528" spans="1:66" ht="13.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178"/>
      <c r="AJ528" s="178"/>
      <c r="AK528" s="178"/>
      <c r="AL528" s="178"/>
      <c r="AM528" s="178"/>
      <c r="AN528" s="178"/>
      <c r="AO528" s="178"/>
      <c r="AP528" s="178"/>
      <c r="AQ528" s="178"/>
      <c r="AR528" s="178"/>
      <c r="AS528" s="178"/>
      <c r="AT528" s="178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</row>
    <row r="529" spans="1:66" ht="13.5" customHeight="1" x14ac:dyDescent="0.3">
      <c r="A529" s="7"/>
      <c r="B529" s="5" t="s">
        <v>366</v>
      </c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</row>
    <row r="530" spans="1:66" ht="13.5" customHeight="1" x14ac:dyDescent="0.3">
      <c r="A530" s="7"/>
      <c r="B530" s="7"/>
      <c r="C530" s="7" t="s">
        <v>56</v>
      </c>
      <c r="D530" s="7" t="s">
        <v>40</v>
      </c>
      <c r="E530" s="7"/>
      <c r="F530" s="7"/>
      <c r="G530" s="7"/>
      <c r="H530" s="7"/>
      <c r="I530" s="7"/>
      <c r="J530" s="8">
        <f>'Cattle Feeding Cycle'!J216</f>
        <v>0</v>
      </c>
      <c r="K530" s="8">
        <f>'Cattle Feeding Cycle'!K216</f>
        <v>0</v>
      </c>
      <c r="L530" s="8">
        <f>'Cattle Feeding Cycle'!L216</f>
        <v>0</v>
      </c>
      <c r="M530" s="8">
        <f>'Cattle Feeding Cycle'!M216</f>
        <v>0</v>
      </c>
      <c r="N530" s="8">
        <f>'Cattle Feeding Cycle'!N216</f>
        <v>0</v>
      </c>
      <c r="O530" s="8">
        <f>'Cattle Feeding Cycle'!O216</f>
        <v>0</v>
      </c>
      <c r="P530" s="8">
        <f>'Cattle Feeding Cycle'!P216</f>
        <v>0</v>
      </c>
      <c r="Q530" s="8">
        <f>'Cattle Feeding Cycle'!Q216</f>
        <v>0</v>
      </c>
      <c r="R530" s="8">
        <f>'Cattle Feeding Cycle'!R216</f>
        <v>196.77241425754903</v>
      </c>
      <c r="S530" s="8">
        <f>'Cattle Feeding Cycle'!S216</f>
        <v>196.03482554578261</v>
      </c>
      <c r="T530" s="8">
        <f>'Cattle Feeding Cycle'!T216</f>
        <v>195.54473848191816</v>
      </c>
      <c r="U530" s="8">
        <f>'Cattle Feeding Cycle'!U216</f>
        <v>195.05587663571336</v>
      </c>
      <c r="V530" s="8">
        <f>'Cattle Feeding Cycle'!V216</f>
        <v>194.56823694412407</v>
      </c>
      <c r="W530" s="8">
        <f>'Cattle Feeding Cycle'!W216</f>
        <v>194.08181635176376</v>
      </c>
      <c r="X530" s="8">
        <f>'Cattle Feeding Cycle'!X216</f>
        <v>193.59661181088435</v>
      </c>
      <c r="Y530" s="8">
        <f>'Cattle Feeding Cycle'!Y216</f>
        <v>164.07312850972451</v>
      </c>
      <c r="Z530" s="8">
        <f>'Cattle Feeding Cycle'!Z216</f>
        <v>163.66294568845021</v>
      </c>
      <c r="AA530" s="8">
        <f>'Cattle Feeding Cycle'!AA216</f>
        <v>163.25378832422908</v>
      </c>
      <c r="AB530" s="8">
        <f>'Cattle Feeding Cycle'!AB216</f>
        <v>162.8456538534185</v>
      </c>
      <c r="AC530" s="8">
        <f>'Cattle Feeding Cycle'!AC216</f>
        <v>162.43853971878494</v>
      </c>
      <c r="AD530" s="8">
        <f>'Cattle Feeding Cycle'!AD216</f>
        <v>162.03244336948796</v>
      </c>
      <c r="AE530" s="8">
        <f>'Cattle Feeding Cycle'!AE216</f>
        <v>161.62736226106423</v>
      </c>
      <c r="AF530" s="8">
        <f>'Cattle Feeding Cycle'!AF216</f>
        <v>161.22329385541158</v>
      </c>
      <c r="AG530" s="8">
        <f>'Cattle Feeding Cycle'!AG216</f>
        <v>160.82023562077305</v>
      </c>
      <c r="AH530" s="7"/>
      <c r="AI530" s="8">
        <f>'Cattle Feeding Cycle'!AI216+'Cattle Feeding Cycle'!AI227</f>
        <v>198.0074875078125</v>
      </c>
      <c r="AJ530" s="8">
        <f>'Cattle Feeding Cycle'!AJ216+'Cattle Feeding Cycle'!AJ227</f>
        <v>163.25378832422908</v>
      </c>
      <c r="AK530" s="8">
        <f ca="1">'Cattle Feeding Cycle'!AK216+'Cattle Feeding Cycle'!AK227</f>
        <v>201.16948066253127</v>
      </c>
      <c r="AL530" s="8">
        <f ca="1">'Cattle Feeding Cycle'!AL216+'Cattle Feeding Cycle'!AL227</f>
        <v>247.8910925464042</v>
      </c>
      <c r="AM530" s="8">
        <f ca="1">'Cattle Feeding Cycle'!AM216+'Cattle Feeding Cycle'!AM227</f>
        <v>300</v>
      </c>
      <c r="AN530" s="8">
        <f ca="1">'Cattle Feeding Cycle'!AN216+'Cattle Feeding Cycle'!AN227</f>
        <v>300</v>
      </c>
      <c r="AO530" s="8">
        <f ca="1">'Cattle Feeding Cycle'!AO216+'Cattle Feeding Cycle'!AO227</f>
        <v>300</v>
      </c>
      <c r="AP530" s="8">
        <f ca="1">'Cattle Feeding Cycle'!AP216+'Cattle Feeding Cycle'!AP227</f>
        <v>300</v>
      </c>
      <c r="AQ530" s="8">
        <f ca="1">'Cattle Feeding Cycle'!AQ216+'Cattle Feeding Cycle'!AQ227</f>
        <v>300</v>
      </c>
      <c r="AR530" s="8">
        <f ca="1">'Cattle Feeding Cycle'!AR216+'Cattle Feeding Cycle'!AR227</f>
        <v>300</v>
      </c>
      <c r="AS530" s="8">
        <f ca="1">'Cattle Feeding Cycle'!AS216+'Cattle Feeding Cycle'!AS227</f>
        <v>300</v>
      </c>
      <c r="AT530" s="8">
        <f ca="1">'Cattle Feeding Cycle'!AT216+'Cattle Feeding Cycle'!AT227</f>
        <v>300</v>
      </c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</row>
    <row r="531" spans="1:66" ht="13.5" customHeight="1" x14ac:dyDescent="0.3">
      <c r="A531" s="7"/>
      <c r="B531" s="7"/>
      <c r="C531" s="7" t="s">
        <v>88</v>
      </c>
      <c r="D531" s="7" t="s">
        <v>40</v>
      </c>
      <c r="E531" s="7"/>
      <c r="F531" s="7"/>
      <c r="G531" s="7"/>
      <c r="H531" s="7"/>
      <c r="I531" s="7"/>
      <c r="J531" s="8">
        <f>'Cattle Feeding Cycle'!J238</f>
        <v>14</v>
      </c>
      <c r="K531" s="8">
        <f>'Cattle Feeding Cycle'!K238</f>
        <v>14</v>
      </c>
      <c r="L531" s="8">
        <f>'Cattle Feeding Cycle'!L238</f>
        <v>14</v>
      </c>
      <c r="M531" s="8">
        <f>'Cattle Feeding Cycle'!M238</f>
        <v>14</v>
      </c>
      <c r="N531" s="8">
        <f>'Cattle Feeding Cycle'!N238</f>
        <v>14</v>
      </c>
      <c r="O531" s="8">
        <f>'Cattle Feeding Cycle'!O238</f>
        <v>14</v>
      </c>
      <c r="P531" s="8">
        <f>'Cattle Feeding Cycle'!P238</f>
        <v>14</v>
      </c>
      <c r="Q531" s="8">
        <f>'Cattle Feeding Cycle'!Q238</f>
        <v>14</v>
      </c>
      <c r="R531" s="8">
        <f>'Cattle Feeding Cycle'!R238</f>
        <v>14</v>
      </c>
      <c r="S531" s="8">
        <f>'Cattle Feeding Cycle'!S238</f>
        <v>14</v>
      </c>
      <c r="T531" s="8">
        <f>'Cattle Feeding Cycle'!T238</f>
        <v>14</v>
      </c>
      <c r="U531" s="8">
        <f>'Cattle Feeding Cycle'!U238</f>
        <v>14</v>
      </c>
      <c r="V531" s="8">
        <f>'Cattle Feeding Cycle'!V238</f>
        <v>14</v>
      </c>
      <c r="W531" s="8">
        <f>'Cattle Feeding Cycle'!W238</f>
        <v>14</v>
      </c>
      <c r="X531" s="8">
        <f>'Cattle Feeding Cycle'!X238</f>
        <v>14</v>
      </c>
      <c r="Y531" s="8">
        <f>'Cattle Feeding Cycle'!Y238</f>
        <v>14</v>
      </c>
      <c r="Z531" s="8">
        <f>'Cattle Feeding Cycle'!Z238</f>
        <v>14</v>
      </c>
      <c r="AA531" s="8">
        <f>'Cattle Feeding Cycle'!AA238</f>
        <v>13.965</v>
      </c>
      <c r="AB531" s="8">
        <f>'Cattle Feeding Cycle'!AB238</f>
        <v>13.930087499999999</v>
      </c>
      <c r="AC531" s="8">
        <f>'Cattle Feeding Cycle'!AC238</f>
        <v>13.895262281249998</v>
      </c>
      <c r="AD531" s="8">
        <f>'Cattle Feeding Cycle'!AD238</f>
        <v>13.860524125546874</v>
      </c>
      <c r="AE531" s="8">
        <f>'Cattle Feeding Cycle'!AE238</f>
        <v>13.825872815233007</v>
      </c>
      <c r="AF531" s="8">
        <f>'Cattle Feeding Cycle'!AF238</f>
        <v>13.791308133194924</v>
      </c>
      <c r="AG531" s="8">
        <f>'Cattle Feeding Cycle'!AG238</f>
        <v>13.756829862861936</v>
      </c>
      <c r="AH531" s="7"/>
      <c r="AI531" s="8">
        <f>'Cattle Feeding Cycle'!AI238</f>
        <v>14</v>
      </c>
      <c r="AJ531" s="8">
        <f>'Cattle Feeding Cycle'!AJ238</f>
        <v>14</v>
      </c>
      <c r="AK531" s="8">
        <f>'Cattle Feeding Cycle'!AK238</f>
        <v>10.883585888281942</v>
      </c>
      <c r="AL531" s="8">
        <f ca="1">'Cattle Feeding Cycle'!AL238</f>
        <v>13.411298710835423</v>
      </c>
      <c r="AM531" s="8">
        <f ca="1">'Cattle Feeding Cycle'!AM238</f>
        <v>16.526072836426952</v>
      </c>
      <c r="AN531" s="8">
        <f ca="1">'Cattle Feeding Cycle'!AN238</f>
        <v>20.000000000000007</v>
      </c>
      <c r="AO531" s="8">
        <f ca="1">'Cattle Feeding Cycle'!AO238</f>
        <v>20.000000000000007</v>
      </c>
      <c r="AP531" s="8">
        <f ca="1">'Cattle Feeding Cycle'!AP238</f>
        <v>20.000000000000007</v>
      </c>
      <c r="AQ531" s="8">
        <f ca="1">'Cattle Feeding Cycle'!AQ238</f>
        <v>20.000000000000007</v>
      </c>
      <c r="AR531" s="8">
        <f ca="1">'Cattle Feeding Cycle'!AR238</f>
        <v>20.000000000000007</v>
      </c>
      <c r="AS531" s="8">
        <f ca="1">'Cattle Feeding Cycle'!AS238</f>
        <v>20.000000000000007</v>
      </c>
      <c r="AT531" s="8">
        <f ca="1">'Cattle Feeding Cycle'!AT238</f>
        <v>20.000000000000007</v>
      </c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</row>
    <row r="532" spans="1:66" ht="13.5" customHeight="1" x14ac:dyDescent="0.3">
      <c r="A532" s="7"/>
      <c r="B532" s="7"/>
      <c r="C532" s="7" t="s">
        <v>89</v>
      </c>
      <c r="D532" s="7" t="s">
        <v>40</v>
      </c>
      <c r="E532" s="7"/>
      <c r="F532" s="7"/>
      <c r="G532" s="7"/>
      <c r="H532" s="7"/>
      <c r="I532" s="7"/>
      <c r="J532" s="8">
        <f>'Cattle Feeding Cycle'!J184</f>
        <v>0</v>
      </c>
      <c r="K532" s="8">
        <f ca="1">'Cattle Feeding Cycle'!K184</f>
        <v>0</v>
      </c>
      <c r="L532" s="8">
        <f ca="1">'Cattle Feeding Cycle'!L184</f>
        <v>0</v>
      </c>
      <c r="M532" s="8">
        <f ca="1">'Cattle Feeding Cycle'!M184</f>
        <v>0</v>
      </c>
      <c r="N532" s="8">
        <f ca="1">'Cattle Feeding Cycle'!N184</f>
        <v>0</v>
      </c>
      <c r="O532" s="8">
        <f ca="1">'Cattle Feeding Cycle'!O184</f>
        <v>0</v>
      </c>
      <c r="P532" s="8">
        <f ca="1">'Cattle Feeding Cycle'!P184</f>
        <v>0</v>
      </c>
      <c r="Q532" s="8">
        <f ca="1">'Cattle Feeding Cycle'!Q184</f>
        <v>0</v>
      </c>
      <c r="R532" s="8">
        <f ca="1">'Cattle Feeding Cycle'!R184</f>
        <v>0</v>
      </c>
      <c r="S532" s="8">
        <f ca="1">'Cattle Feeding Cycle'!S184</f>
        <v>0</v>
      </c>
      <c r="T532" s="8">
        <f ca="1">'Cattle Feeding Cycle'!T184</f>
        <v>0</v>
      </c>
      <c r="U532" s="8">
        <f ca="1">'Cattle Feeding Cycle'!U184</f>
        <v>0</v>
      </c>
      <c r="V532" s="8">
        <f ca="1">'Cattle Feeding Cycle'!V184</f>
        <v>0</v>
      </c>
      <c r="W532" s="8">
        <f ca="1">'Cattle Feeding Cycle'!W184</f>
        <v>0</v>
      </c>
      <c r="X532" s="8">
        <f ca="1">'Cattle Feeding Cycle'!X184</f>
        <v>0</v>
      </c>
      <c r="Y532" s="8">
        <f ca="1">'Cattle Feeding Cycle'!Y184</f>
        <v>0</v>
      </c>
      <c r="Z532" s="8">
        <f ca="1">'Cattle Feeding Cycle'!Z184</f>
        <v>0</v>
      </c>
      <c r="AA532" s="8">
        <f ca="1">'Cattle Feeding Cycle'!AA184</f>
        <v>138.76572007559471</v>
      </c>
      <c r="AB532" s="8">
        <f ca="1">'Cattle Feeding Cycle'!AB184</f>
        <v>138.41880577540573</v>
      </c>
      <c r="AC532" s="8">
        <f ca="1">'Cattle Feeding Cycle'!AC184</f>
        <v>138.07275876096722</v>
      </c>
      <c r="AD532" s="8">
        <f ca="1">'Cattle Feeding Cycle'!AD184</f>
        <v>137.72757686406479</v>
      </c>
      <c r="AE532" s="8">
        <f ca="1">'Cattle Feeding Cycle'!AE184</f>
        <v>137.38325792190463</v>
      </c>
      <c r="AF532" s="8">
        <f ca="1">'Cattle Feeding Cycle'!AF184</f>
        <v>137.03979977709986</v>
      </c>
      <c r="AG532" s="8">
        <f ca="1">'Cattle Feeding Cycle'!AG184</f>
        <v>136.69720027765712</v>
      </c>
      <c r="AH532" s="7"/>
      <c r="AI532" s="8">
        <f ca="1">'Cattle Feeding Cycle'!AI184</f>
        <v>0</v>
      </c>
      <c r="AJ532" s="8">
        <f ca="1">'Cattle Feeding Cycle'!AJ184</f>
        <v>0</v>
      </c>
      <c r="AK532" s="8">
        <f>'Cattle Feeding Cycle'!AK184</f>
        <v>138.76572007559471</v>
      </c>
      <c r="AL532" s="8">
        <f ca="1">'Cattle Feeding Cycle'!AL184</f>
        <v>170.99405856315158</v>
      </c>
      <c r="AM532" s="8">
        <f ca="1">'Cattle Feeding Cycle'!AM184</f>
        <v>210.70742866444354</v>
      </c>
      <c r="AN532" s="8">
        <f ca="1">'Cattle Feeding Cycle'!AN184</f>
        <v>255</v>
      </c>
      <c r="AO532" s="8">
        <f ca="1">'Cattle Feeding Cycle'!AO184</f>
        <v>255</v>
      </c>
      <c r="AP532" s="8">
        <f ca="1">'Cattle Feeding Cycle'!AP184</f>
        <v>255</v>
      </c>
      <c r="AQ532" s="8">
        <f ca="1">'Cattle Feeding Cycle'!AQ184</f>
        <v>255</v>
      </c>
      <c r="AR532" s="8">
        <f ca="1">'Cattle Feeding Cycle'!AR184</f>
        <v>255</v>
      </c>
      <c r="AS532" s="8">
        <f ca="1">'Cattle Feeding Cycle'!AS184</f>
        <v>255</v>
      </c>
      <c r="AT532" s="8">
        <f ca="1">'Cattle Feeding Cycle'!AT184</f>
        <v>255</v>
      </c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</row>
    <row r="533" spans="1:66" ht="13.5" customHeight="1" x14ac:dyDescent="0.3">
      <c r="A533" s="7"/>
      <c r="B533" s="7"/>
      <c r="C533" s="7" t="s">
        <v>90</v>
      </c>
      <c r="D533" s="7" t="s">
        <v>40</v>
      </c>
      <c r="E533" s="7"/>
      <c r="F533" s="7"/>
      <c r="G533" s="7"/>
      <c r="H533" s="7"/>
      <c r="I533" s="7"/>
      <c r="J533" s="8">
        <f>'Cattle Feeding Cycle'!J194</f>
        <v>200</v>
      </c>
      <c r="K533" s="8">
        <f>'Cattle Feeding Cycle'!K194</f>
        <v>199.75</v>
      </c>
      <c r="L533" s="8">
        <f>'Cattle Feeding Cycle'!L194</f>
        <v>199.25062500000001</v>
      </c>
      <c r="M533" s="8">
        <f>'Cattle Feeding Cycle'!M194</f>
        <v>198.75249843749998</v>
      </c>
      <c r="N533" s="8">
        <f>'Cattle Feeding Cycle'!N194</f>
        <v>198.25561719140626</v>
      </c>
      <c r="O533" s="8">
        <f>'Cattle Feeding Cycle'!O194</f>
        <v>197.75997814842773</v>
      </c>
      <c r="P533" s="8">
        <f>'Cattle Feeding Cycle'!P194</f>
        <v>197.26557820305666</v>
      </c>
      <c r="Q533" s="8">
        <f>'Cattle Feeding Cycle'!Q194</f>
        <v>196.77241425754903</v>
      </c>
      <c r="R533" s="8">
        <f>'Cattle Feeding Cycle'!R194</f>
        <v>0</v>
      </c>
      <c r="S533" s="8">
        <f>'Cattle Feeding Cycle'!S194</f>
        <v>0</v>
      </c>
      <c r="T533" s="8">
        <f>'Cattle Feeding Cycle'!T194</f>
        <v>0</v>
      </c>
      <c r="U533" s="8">
        <f>'Cattle Feeding Cycle'!U194</f>
        <v>0</v>
      </c>
      <c r="V533" s="8">
        <f>'Cattle Feeding Cycle'!V194</f>
        <v>0</v>
      </c>
      <c r="W533" s="8">
        <f>'Cattle Feeding Cycle'!W194</f>
        <v>0</v>
      </c>
      <c r="X533" s="8">
        <f>'Cattle Feeding Cycle'!X194</f>
        <v>0</v>
      </c>
      <c r="Y533" s="8">
        <f>'Cattle Feeding Cycle'!Y194</f>
        <v>0</v>
      </c>
      <c r="Z533" s="8">
        <f>'Cattle Feeding Cycle'!Z194</f>
        <v>0</v>
      </c>
      <c r="AA533" s="8">
        <f>'Cattle Feeding Cycle'!AA194</f>
        <v>0</v>
      </c>
      <c r="AB533" s="8">
        <f>'Cattle Feeding Cycle'!AB194</f>
        <v>0</v>
      </c>
      <c r="AC533" s="8">
        <f>'Cattle Feeding Cycle'!AC194</f>
        <v>0</v>
      </c>
      <c r="AD533" s="8">
        <f>'Cattle Feeding Cycle'!AD194</f>
        <v>0</v>
      </c>
      <c r="AE533" s="8">
        <f>'Cattle Feeding Cycle'!AE194</f>
        <v>0</v>
      </c>
      <c r="AF533" s="8">
        <f>'Cattle Feeding Cycle'!AF194</f>
        <v>0</v>
      </c>
      <c r="AG533" s="8">
        <f>'Cattle Feeding Cycle'!AG194</f>
        <v>0</v>
      </c>
      <c r="AH533" s="7"/>
      <c r="AI533" s="8">
        <f>'Cattle Feeding Cycle'!AI194+'Cattle Feeding Cycle'!AI205</f>
        <v>198.25561719140626</v>
      </c>
      <c r="AJ533" s="8">
        <f>'Cattle Feeding Cycle'!AJ194+'Cattle Feeding Cycle'!AJ205</f>
        <v>0</v>
      </c>
      <c r="AK533" s="8">
        <f ca="1">'Cattle Feeding Cycle'!AK194+'Cattle Feeding Cycle'!AK205</f>
        <v>67.301374236663435</v>
      </c>
      <c r="AL533" s="8">
        <f ca="1">'Cattle Feeding Cycle'!AL194+'Cattle Feeding Cycle'!AL205</f>
        <v>165.86423680625703</v>
      </c>
      <c r="AM533" s="8">
        <f ca="1">'Cattle Feeding Cycle'!AM194+'Cattle Feeding Cycle'!AM205</f>
        <v>204.38620580451024</v>
      </c>
      <c r="AN533" s="8">
        <f ca="1">'Cattle Feeding Cycle'!AN194+'Cattle Feeding Cycle'!AN205</f>
        <v>247.35</v>
      </c>
      <c r="AO533" s="8">
        <f ca="1">'Cattle Feeding Cycle'!AO194+'Cattle Feeding Cycle'!AO205</f>
        <v>247.35</v>
      </c>
      <c r="AP533" s="8">
        <f ca="1">'Cattle Feeding Cycle'!AP194+'Cattle Feeding Cycle'!AP205</f>
        <v>247.35</v>
      </c>
      <c r="AQ533" s="8">
        <f ca="1">'Cattle Feeding Cycle'!AQ194+'Cattle Feeding Cycle'!AQ205</f>
        <v>247.35</v>
      </c>
      <c r="AR533" s="8">
        <f ca="1">'Cattle Feeding Cycle'!AR194+'Cattle Feeding Cycle'!AR205</f>
        <v>247.35</v>
      </c>
      <c r="AS533" s="8">
        <f ca="1">'Cattle Feeding Cycle'!AS194+'Cattle Feeding Cycle'!AS205</f>
        <v>247.35</v>
      </c>
      <c r="AT533" s="8">
        <f ca="1">'Cattle Feeding Cycle'!AT194+'Cattle Feeding Cycle'!AT205</f>
        <v>247.35</v>
      </c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</row>
    <row r="534" spans="1:66" ht="13.5" customHeight="1" x14ac:dyDescent="0.3">
      <c r="A534" s="7"/>
      <c r="B534" s="7"/>
      <c r="C534" s="7" t="s">
        <v>59</v>
      </c>
      <c r="D534" s="7" t="s">
        <v>40</v>
      </c>
      <c r="E534" s="7"/>
      <c r="F534" s="7"/>
      <c r="G534" s="7"/>
      <c r="H534" s="7"/>
      <c r="I534" s="7"/>
      <c r="J534" s="8">
        <f>'Cattle Feeding Cycle'!J252</f>
        <v>0</v>
      </c>
      <c r="K534" s="8">
        <f>'Cattle Feeding Cycle'!K252</f>
        <v>0</v>
      </c>
      <c r="L534" s="8">
        <f>'Cattle Feeding Cycle'!L252</f>
        <v>0</v>
      </c>
      <c r="M534" s="8">
        <f>'Cattle Feeding Cycle'!M252</f>
        <v>0</v>
      </c>
      <c r="N534" s="8">
        <f>'Cattle Feeding Cycle'!N252</f>
        <v>0</v>
      </c>
      <c r="O534" s="8">
        <f>'Cattle Feeding Cycle'!O252</f>
        <v>0</v>
      </c>
      <c r="P534" s="8">
        <f>'Cattle Feeding Cycle'!P252</f>
        <v>0</v>
      </c>
      <c r="Q534" s="8">
        <f>'Cattle Feeding Cycle'!Q252</f>
        <v>0</v>
      </c>
      <c r="R534" s="8">
        <f>'Cattle Feeding Cycle'!R252</f>
        <v>0</v>
      </c>
      <c r="S534" s="8">
        <f>'Cattle Feeding Cycle'!S252</f>
        <v>0</v>
      </c>
      <c r="T534" s="8">
        <f>'Cattle Feeding Cycle'!T252</f>
        <v>0</v>
      </c>
      <c r="U534" s="8">
        <f>'Cattle Feeding Cycle'!U252</f>
        <v>0</v>
      </c>
      <c r="V534" s="8">
        <f>'Cattle Feeding Cycle'!V252</f>
        <v>0</v>
      </c>
      <c r="W534" s="8">
        <f>'Cattle Feeding Cycle'!W252</f>
        <v>0</v>
      </c>
      <c r="X534" s="8">
        <f>'Cattle Feeding Cycle'!X252</f>
        <v>0</v>
      </c>
      <c r="Y534" s="8">
        <f>'Cattle Feeding Cycle'!Y252</f>
        <v>0</v>
      </c>
      <c r="Z534" s="8">
        <f>'Cattle Feeding Cycle'!Z252</f>
        <v>0</v>
      </c>
      <c r="AA534" s="8">
        <f>'Cattle Feeding Cycle'!AA252</f>
        <v>0</v>
      </c>
      <c r="AB534" s="8">
        <f>'Cattle Feeding Cycle'!AB252</f>
        <v>0</v>
      </c>
      <c r="AC534" s="8">
        <f>'Cattle Feeding Cycle'!AC252</f>
        <v>0</v>
      </c>
      <c r="AD534" s="8">
        <f>'Cattle Feeding Cycle'!AD252</f>
        <v>0</v>
      </c>
      <c r="AE534" s="8">
        <f>'Cattle Feeding Cycle'!AE252</f>
        <v>0</v>
      </c>
      <c r="AF534" s="8">
        <f>'Cattle Feeding Cycle'!AF252</f>
        <v>0</v>
      </c>
      <c r="AG534" s="8">
        <f>'Cattle Feeding Cycle'!AG252</f>
        <v>0</v>
      </c>
      <c r="AH534" s="7"/>
      <c r="AI534" s="8">
        <f>'Cattle Feeding Cycle'!AI252</f>
        <v>0</v>
      </c>
      <c r="AJ534" s="8">
        <f>'Cattle Feeding Cycle'!AJ252</f>
        <v>0</v>
      </c>
      <c r="AK534" s="8">
        <f>'Cattle Feeding Cycle'!AK252</f>
        <v>66.497788348381491</v>
      </c>
      <c r="AL534" s="8">
        <f ca="1">'Cattle Feeding Cycle'!AL252</f>
        <v>77.357001531856085</v>
      </c>
      <c r="AM534" s="8">
        <f ca="1">'Cattle Feeding Cycle'!AM252</f>
        <v>95.323165137629672</v>
      </c>
      <c r="AN534" s="8">
        <f ca="1">'Cattle Feeding Cycle'!AN252</f>
        <v>115.57377244222739</v>
      </c>
      <c r="AO534" s="8">
        <f ca="1">'Cattle Feeding Cycle'!AO252</f>
        <v>118.075</v>
      </c>
      <c r="AP534" s="8">
        <f ca="1">'Cattle Feeding Cycle'!AP252</f>
        <v>118.075</v>
      </c>
      <c r="AQ534" s="8">
        <f ca="1">'Cattle Feeding Cycle'!AQ252</f>
        <v>118.075</v>
      </c>
      <c r="AR534" s="8">
        <f ca="1">'Cattle Feeding Cycle'!AR252</f>
        <v>118.075</v>
      </c>
      <c r="AS534" s="8">
        <f ca="1">'Cattle Feeding Cycle'!AS252</f>
        <v>118.075</v>
      </c>
      <c r="AT534" s="8">
        <f ca="1">'Cattle Feeding Cycle'!AT252</f>
        <v>118.075</v>
      </c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</row>
    <row r="535" spans="1:66" ht="13.5" customHeight="1" x14ac:dyDescent="0.3">
      <c r="A535" s="7"/>
      <c r="B535" s="7"/>
      <c r="C535" s="5" t="s">
        <v>367</v>
      </c>
      <c r="D535" s="5" t="s">
        <v>40</v>
      </c>
      <c r="E535" s="7"/>
      <c r="F535" s="7"/>
      <c r="G535" s="7"/>
      <c r="H535" s="7"/>
      <c r="I535" s="7"/>
      <c r="J535" s="8">
        <f t="shared" ref="J535:AG535" si="677">SUM(J530:J534)</f>
        <v>214</v>
      </c>
      <c r="K535" s="8">
        <f t="shared" ca="1" si="677"/>
        <v>213.75</v>
      </c>
      <c r="L535" s="8">
        <f t="shared" ca="1" si="677"/>
        <v>213.25062500000001</v>
      </c>
      <c r="M535" s="8">
        <f t="shared" ca="1" si="677"/>
        <v>212.75249843749998</v>
      </c>
      <c r="N535" s="8">
        <f t="shared" ca="1" si="677"/>
        <v>212.25561719140626</v>
      </c>
      <c r="O535" s="8">
        <f t="shared" ca="1" si="677"/>
        <v>211.75997814842773</v>
      </c>
      <c r="P535" s="8">
        <f t="shared" ca="1" si="677"/>
        <v>211.26557820305666</v>
      </c>
      <c r="Q535" s="8">
        <f t="shared" ca="1" si="677"/>
        <v>210.77241425754903</v>
      </c>
      <c r="R535" s="8">
        <f t="shared" ca="1" si="677"/>
        <v>210.77241425754903</v>
      </c>
      <c r="S535" s="8">
        <f t="shared" ca="1" si="677"/>
        <v>210.03482554578261</v>
      </c>
      <c r="T535" s="8">
        <f t="shared" ca="1" si="677"/>
        <v>209.54473848191816</v>
      </c>
      <c r="U535" s="8">
        <f t="shared" ca="1" si="677"/>
        <v>209.05587663571336</v>
      </c>
      <c r="V535" s="8">
        <f t="shared" ca="1" si="677"/>
        <v>208.56823694412407</v>
      </c>
      <c r="W535" s="8">
        <f t="shared" ca="1" si="677"/>
        <v>208.08181635176376</v>
      </c>
      <c r="X535" s="8">
        <f t="shared" ca="1" si="677"/>
        <v>207.59661181088435</v>
      </c>
      <c r="Y535" s="8">
        <f t="shared" ca="1" si="677"/>
        <v>178.07312850972451</v>
      </c>
      <c r="Z535" s="8">
        <f t="shared" ca="1" si="677"/>
        <v>177.66294568845021</v>
      </c>
      <c r="AA535" s="8">
        <f t="shared" ca="1" si="677"/>
        <v>315.98450839982377</v>
      </c>
      <c r="AB535" s="8">
        <f t="shared" ca="1" si="677"/>
        <v>315.19454712882418</v>
      </c>
      <c r="AC535" s="8">
        <f t="shared" ca="1" si="677"/>
        <v>314.4065607610022</v>
      </c>
      <c r="AD535" s="8">
        <f t="shared" ca="1" si="677"/>
        <v>313.62054435909965</v>
      </c>
      <c r="AE535" s="8">
        <f t="shared" ca="1" si="677"/>
        <v>312.83649299820183</v>
      </c>
      <c r="AF535" s="8">
        <f t="shared" ca="1" si="677"/>
        <v>312.05440176570636</v>
      </c>
      <c r="AG535" s="8">
        <f t="shared" ca="1" si="677"/>
        <v>311.2742657612921</v>
      </c>
      <c r="AH535" s="7"/>
      <c r="AI535" s="12">
        <f t="shared" ref="AI535:AS535" ca="1" si="678">SUM(AI530:AI534)</f>
        <v>410.26310469921873</v>
      </c>
      <c r="AJ535" s="12">
        <f t="shared" ca="1" si="678"/>
        <v>177.25378832422908</v>
      </c>
      <c r="AK535" s="12">
        <f t="shared" ca="1" si="678"/>
        <v>484.61794921145287</v>
      </c>
      <c r="AL535" s="12">
        <f t="shared" ca="1" si="678"/>
        <v>675.51768815850437</v>
      </c>
      <c r="AM535" s="12">
        <f t="shared" ca="1" si="678"/>
        <v>826.9428724430104</v>
      </c>
      <c r="AN535" s="12">
        <f t="shared" ca="1" si="678"/>
        <v>937.92377244222746</v>
      </c>
      <c r="AO535" s="12">
        <f t="shared" ca="1" si="678"/>
        <v>940.42500000000007</v>
      </c>
      <c r="AP535" s="12">
        <f t="shared" ca="1" si="678"/>
        <v>940.42500000000007</v>
      </c>
      <c r="AQ535" s="12">
        <f t="shared" ca="1" si="678"/>
        <v>940.42500000000007</v>
      </c>
      <c r="AR535" s="12">
        <f t="shared" ca="1" si="678"/>
        <v>940.42500000000007</v>
      </c>
      <c r="AS535" s="12">
        <f t="shared" ca="1" si="678"/>
        <v>940.42500000000007</v>
      </c>
      <c r="AT535" s="12">
        <f t="shared" ref="AT535" ca="1" si="679">SUM(AT530:AT534)</f>
        <v>940.42500000000007</v>
      </c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</row>
    <row r="536" spans="1:66" ht="13.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</row>
    <row r="537" spans="1:66" ht="13.5" customHeight="1" x14ac:dyDescent="0.3">
      <c r="A537" s="7"/>
      <c r="B537" s="5" t="s">
        <v>368</v>
      </c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</row>
    <row r="538" spans="1:66" ht="13.5" customHeight="1" x14ac:dyDescent="0.3">
      <c r="A538" s="7"/>
      <c r="B538" s="7"/>
      <c r="C538" s="7" t="s">
        <v>56</v>
      </c>
      <c r="D538" s="7" t="s">
        <v>87</v>
      </c>
      <c r="E538" s="7"/>
      <c r="F538" s="7"/>
      <c r="G538" s="7"/>
      <c r="H538" s="7"/>
      <c r="I538" s="7"/>
      <c r="J538" s="8">
        <f t="shared" ref="J538:AG538" si="680">IFERROR(J522*1000/J530,0)</f>
        <v>0</v>
      </c>
      <c r="K538" s="8">
        <f t="shared" si="680"/>
        <v>0</v>
      </c>
      <c r="L538" s="8">
        <f t="shared" si="680"/>
        <v>0</v>
      </c>
      <c r="M538" s="8">
        <f t="shared" si="680"/>
        <v>0</v>
      </c>
      <c r="N538" s="8">
        <f t="shared" si="680"/>
        <v>0</v>
      </c>
      <c r="O538" s="8">
        <f t="shared" si="680"/>
        <v>0</v>
      </c>
      <c r="P538" s="8">
        <f t="shared" si="680"/>
        <v>0</v>
      </c>
      <c r="Q538" s="8">
        <f t="shared" si="680"/>
        <v>0</v>
      </c>
      <c r="R538" s="8">
        <f t="shared" si="680"/>
        <v>-550.94194999999991</v>
      </c>
      <c r="S538" s="8">
        <f t="shared" si="680"/>
        <v>-8.2782916666666679</v>
      </c>
      <c r="T538" s="8">
        <f t="shared" si="680"/>
        <v>-8.0112500000000004</v>
      </c>
      <c r="U538" s="8">
        <f t="shared" si="680"/>
        <v>-8.2782916666666679</v>
      </c>
      <c r="V538" s="8">
        <f t="shared" si="680"/>
        <v>-8.2782916666666679</v>
      </c>
      <c r="W538" s="8">
        <f t="shared" si="680"/>
        <v>-8.0112500000000004</v>
      </c>
      <c r="X538" s="8">
        <f t="shared" si="680"/>
        <v>-8.2782916666666679</v>
      </c>
      <c r="Y538" s="8">
        <f t="shared" si="680"/>
        <v>-613.30262500000003</v>
      </c>
      <c r="Z538" s="8">
        <f t="shared" si="680"/>
        <v>-633.74604583333326</v>
      </c>
      <c r="AA538" s="8">
        <f t="shared" si="680"/>
        <v>-626.2373498333335</v>
      </c>
      <c r="AB538" s="8">
        <f t="shared" si="680"/>
        <v>-585.8349401666668</v>
      </c>
      <c r="AC538" s="8">
        <f t="shared" si="680"/>
        <v>-626.23734983333338</v>
      </c>
      <c r="AD538" s="8">
        <f t="shared" si="680"/>
        <v>-606.03614500000003</v>
      </c>
      <c r="AE538" s="8">
        <f t="shared" si="680"/>
        <v>-9.1061208333333354</v>
      </c>
      <c r="AF538" s="8">
        <f t="shared" si="680"/>
        <v>-8.8123750000000012</v>
      </c>
      <c r="AG538" s="8">
        <f t="shared" si="680"/>
        <v>-9.1061208333333354</v>
      </c>
      <c r="AH538" s="7"/>
      <c r="AI538" s="8">
        <f t="shared" ref="AI538:AS538" si="681">IFERROR(AI522*1000/AI530,0)</f>
        <v>0</v>
      </c>
      <c r="AJ538" s="8">
        <f t="shared" si="681"/>
        <v>-219.37874662193045</v>
      </c>
      <c r="AK538" s="8">
        <f t="shared" ca="1" si="681"/>
        <v>-320.82894593750001</v>
      </c>
      <c r="AL538" s="8">
        <f t="shared" ca="1" si="681"/>
        <v>-296.84392823664189</v>
      </c>
      <c r="AM538" s="8">
        <f t="shared" ca="1" si="681"/>
        <v>-322.4786778332828</v>
      </c>
      <c r="AN538" s="8">
        <f t="shared" ca="1" si="681"/>
        <v>-336.10288350251517</v>
      </c>
      <c r="AO538" s="8">
        <f t="shared" ca="1" si="681"/>
        <v>-362.99111418271644</v>
      </c>
      <c r="AP538" s="8">
        <f t="shared" ca="1" si="681"/>
        <v>-388.40049217550671</v>
      </c>
      <c r="AQ538" s="8">
        <f t="shared" ca="1" si="681"/>
        <v>-413.6465241669145</v>
      </c>
      <c r="AR538" s="8">
        <f t="shared" ca="1" si="681"/>
        <v>-438.46531561692944</v>
      </c>
      <c r="AS538" s="8">
        <f t="shared" ca="1" si="681"/>
        <v>-460.38858139777597</v>
      </c>
      <c r="AT538" s="8">
        <f t="shared" ref="AT538" ca="1" si="682">IFERROR(AT522*1000/AT530,0)</f>
        <v>-483.40801046766484</v>
      </c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</row>
    <row r="539" spans="1:66" ht="13.5" customHeight="1" x14ac:dyDescent="0.3">
      <c r="A539" s="7"/>
      <c r="B539" s="7"/>
      <c r="C539" s="7" t="s">
        <v>88</v>
      </c>
      <c r="D539" s="7" t="s">
        <v>87</v>
      </c>
      <c r="E539" s="7"/>
      <c r="F539" s="7"/>
      <c r="G539" s="7"/>
      <c r="H539" s="7"/>
      <c r="I539" s="7"/>
      <c r="J539" s="8">
        <f t="shared" ref="J539:AG539" si="683">IFERROR(J523*1000/J531,0)</f>
        <v>-7.25</v>
      </c>
      <c r="K539" s="8">
        <f t="shared" si="683"/>
        <v>-7.25</v>
      </c>
      <c r="L539" s="8">
        <f t="shared" si="683"/>
        <v>-7.4916666666666671</v>
      </c>
      <c r="M539" s="8">
        <f t="shared" si="683"/>
        <v>-677.32499999999993</v>
      </c>
      <c r="N539" s="8">
        <f t="shared" si="683"/>
        <v>-699.90249999999992</v>
      </c>
      <c r="O539" s="8">
        <f t="shared" si="683"/>
        <v>-773.39226250000013</v>
      </c>
      <c r="P539" s="8">
        <f t="shared" si="683"/>
        <v>-698.54785000000004</v>
      </c>
      <c r="Q539" s="8">
        <f t="shared" si="683"/>
        <v>-773.39226250000013</v>
      </c>
      <c r="R539" s="8">
        <f t="shared" si="683"/>
        <v>-748.44412499999999</v>
      </c>
      <c r="S539" s="8">
        <f t="shared" si="683"/>
        <v>-8.2782916666666662</v>
      </c>
      <c r="T539" s="8">
        <f t="shared" si="683"/>
        <v>-8.0112500000000004</v>
      </c>
      <c r="U539" s="8">
        <f t="shared" si="683"/>
        <v>-8.2782916666666662</v>
      </c>
      <c r="V539" s="8">
        <f t="shared" si="683"/>
        <v>-8.2782916666666662</v>
      </c>
      <c r="W539" s="8">
        <f t="shared" si="683"/>
        <v>-8.0112500000000004</v>
      </c>
      <c r="X539" s="8">
        <f t="shared" si="683"/>
        <v>-8.2782916666666662</v>
      </c>
      <c r="Y539" s="8">
        <f t="shared" si="683"/>
        <v>-748.44412499999999</v>
      </c>
      <c r="Z539" s="8">
        <f t="shared" si="683"/>
        <v>-773.39226250000013</v>
      </c>
      <c r="AA539" s="8">
        <f t="shared" si="683"/>
        <v>-850.73148875000004</v>
      </c>
      <c r="AB539" s="8">
        <f t="shared" si="683"/>
        <v>-795.84558625000022</v>
      </c>
      <c r="AC539" s="8">
        <f t="shared" si="683"/>
        <v>-850.73148875000015</v>
      </c>
      <c r="AD539" s="8">
        <f t="shared" si="683"/>
        <v>-823.28853749999996</v>
      </c>
      <c r="AE539" s="8">
        <f t="shared" si="683"/>
        <v>-9.1061208333333354</v>
      </c>
      <c r="AF539" s="8">
        <f t="shared" si="683"/>
        <v>-8.8123750000000012</v>
      </c>
      <c r="AG539" s="8">
        <f t="shared" si="683"/>
        <v>-9.1061208333333354</v>
      </c>
      <c r="AH539" s="7"/>
      <c r="AI539" s="8">
        <f t="shared" ref="AI539:AS539" si="684">IFERROR(AI523*1000/AI531,0)</f>
        <v>-279.84383333333329</v>
      </c>
      <c r="AJ539" s="8">
        <f t="shared" si="684"/>
        <v>-380.39571284722223</v>
      </c>
      <c r="AK539" s="8">
        <f t="shared" si="684"/>
        <v>-418.43528413194446</v>
      </c>
      <c r="AL539" s="8">
        <f t="shared" ca="1" si="684"/>
        <v>-458.18663612447915</v>
      </c>
      <c r="AM539" s="8">
        <f t="shared" ca="1" si="684"/>
        <v>-499.42343337568241</v>
      </c>
      <c r="AN539" s="8">
        <f t="shared" ca="1" si="684"/>
        <v>-541.87442521261539</v>
      </c>
      <c r="AO539" s="8">
        <f t="shared" ca="1" si="684"/>
        <v>-585.22437922962456</v>
      </c>
      <c r="AP539" s="8">
        <f t="shared" ca="1" si="684"/>
        <v>-626.19008577569821</v>
      </c>
      <c r="AQ539" s="8">
        <f t="shared" ca="1" si="684"/>
        <v>-666.8924413511188</v>
      </c>
      <c r="AR539" s="8">
        <f t="shared" ca="1" si="684"/>
        <v>-706.90598783218582</v>
      </c>
      <c r="AS539" s="8">
        <f t="shared" ca="1" si="684"/>
        <v>-742.25128722379486</v>
      </c>
      <c r="AT539" s="8">
        <f t="shared" ref="AT539" ca="1" si="685">IFERROR(AT523*1000/AT531,0)</f>
        <v>-779.3638515849849</v>
      </c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</row>
    <row r="540" spans="1:66" ht="13.5" customHeight="1" x14ac:dyDescent="0.3">
      <c r="A540" s="7"/>
      <c r="B540" s="7"/>
      <c r="C540" s="7" t="s">
        <v>89</v>
      </c>
      <c r="D540" s="7" t="s">
        <v>87</v>
      </c>
      <c r="E540" s="7"/>
      <c r="F540" s="7"/>
      <c r="G540" s="7"/>
      <c r="H540" s="7"/>
      <c r="I540" s="7"/>
      <c r="J540" s="8">
        <f t="shared" ref="J540:AG540" si="686">IFERROR(J524*1000/J532,0)</f>
        <v>0</v>
      </c>
      <c r="K540" s="8">
        <f t="shared" ca="1" si="686"/>
        <v>0</v>
      </c>
      <c r="L540" s="8">
        <f t="shared" ca="1" si="686"/>
        <v>0</v>
      </c>
      <c r="M540" s="8">
        <f t="shared" ca="1" si="686"/>
        <v>0</v>
      </c>
      <c r="N540" s="8">
        <f t="shared" ca="1" si="686"/>
        <v>0</v>
      </c>
      <c r="O540" s="8">
        <f t="shared" ca="1" si="686"/>
        <v>0</v>
      </c>
      <c r="P540" s="8">
        <f t="shared" ca="1" si="686"/>
        <v>0</v>
      </c>
      <c r="Q540" s="8">
        <f t="shared" ca="1" si="686"/>
        <v>0</v>
      </c>
      <c r="R540" s="8">
        <f t="shared" ca="1" si="686"/>
        <v>0</v>
      </c>
      <c r="S540" s="8">
        <f t="shared" ca="1" si="686"/>
        <v>0</v>
      </c>
      <c r="T540" s="8">
        <f t="shared" ca="1" si="686"/>
        <v>0</v>
      </c>
      <c r="U540" s="8">
        <f t="shared" ca="1" si="686"/>
        <v>0</v>
      </c>
      <c r="V540" s="8">
        <f t="shared" ca="1" si="686"/>
        <v>0</v>
      </c>
      <c r="W540" s="8">
        <f t="shared" ca="1" si="686"/>
        <v>0</v>
      </c>
      <c r="X540" s="8">
        <f t="shared" ca="1" si="686"/>
        <v>0</v>
      </c>
      <c r="Y540" s="8">
        <f t="shared" ca="1" si="686"/>
        <v>0</v>
      </c>
      <c r="Z540" s="8">
        <f t="shared" ca="1" si="686"/>
        <v>0</v>
      </c>
      <c r="AA540" s="8">
        <f t="shared" ca="1" si="686"/>
        <v>-33.925010166666659</v>
      </c>
      <c r="AB540" s="8">
        <f t="shared" ca="1" si="686"/>
        <v>-59.501156000000009</v>
      </c>
      <c r="AC540" s="8">
        <f t="shared" ca="1" si="686"/>
        <v>-103.83489783333332</v>
      </c>
      <c r="AD540" s="8">
        <f t="shared" ca="1" si="686"/>
        <v>-117.36868</v>
      </c>
      <c r="AE540" s="8">
        <f t="shared" ca="1" si="686"/>
        <v>-11.291589833333331</v>
      </c>
      <c r="AF540" s="8">
        <f t="shared" ca="1" si="686"/>
        <v>-10.0461075</v>
      </c>
      <c r="AG540" s="8">
        <f t="shared" ca="1" si="686"/>
        <v>-10.38097775</v>
      </c>
      <c r="AH540" s="7"/>
      <c r="AI540" s="8">
        <f t="shared" ref="AI540:AS540" ca="1" si="687">IFERROR(AI524*1000/AI532,0)</f>
        <v>0</v>
      </c>
      <c r="AJ540" s="8">
        <f t="shared" ca="1" si="687"/>
        <v>0</v>
      </c>
      <c r="AK540" s="8">
        <f t="shared" si="687"/>
        <v>-55.652612888888889</v>
      </c>
      <c r="AL540" s="8">
        <f t="shared" ca="1" si="687"/>
        <v>-60.939611113333328</v>
      </c>
      <c r="AM540" s="8">
        <f t="shared" ca="1" si="687"/>
        <v>-66.424176113533335</v>
      </c>
      <c r="AN540" s="8">
        <f t="shared" ca="1" si="687"/>
        <v>-72.070231083183657</v>
      </c>
      <c r="AO540" s="8">
        <f t="shared" ca="1" si="687"/>
        <v>-77.835849569838359</v>
      </c>
      <c r="AP540" s="8">
        <f t="shared" ca="1" si="687"/>
        <v>-83.284359039727065</v>
      </c>
      <c r="AQ540" s="8">
        <f t="shared" ca="1" si="687"/>
        <v>-88.697842377309314</v>
      </c>
      <c r="AR540" s="8">
        <f t="shared" ca="1" si="687"/>
        <v>-94.019712919947878</v>
      </c>
      <c r="AS540" s="8">
        <f t="shared" ca="1" si="687"/>
        <v>-98.720698565945256</v>
      </c>
      <c r="AT540" s="8">
        <f t="shared" ref="AT540" ca="1" si="688">IFERROR(AT524*1000/AT532,0)</f>
        <v>-103.6567334942425</v>
      </c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</row>
    <row r="541" spans="1:66" ht="13.5" customHeight="1" x14ac:dyDescent="0.3">
      <c r="A541" s="7"/>
      <c r="B541" s="7"/>
      <c r="C541" s="7" t="s">
        <v>90</v>
      </c>
      <c r="D541" s="7" t="s">
        <v>87</v>
      </c>
      <c r="E541" s="7"/>
      <c r="F541" s="7"/>
      <c r="G541" s="7"/>
      <c r="H541" s="7"/>
      <c r="I541" s="7"/>
      <c r="J541" s="8">
        <f t="shared" ref="J541:AG541" si="689">IFERROR(J525*1000/J533,0)</f>
        <v>-8.6999999999999993</v>
      </c>
      <c r="K541" s="8">
        <f t="shared" si="689"/>
        <v>-8.7000000000000011</v>
      </c>
      <c r="L541" s="8">
        <f t="shared" si="689"/>
        <v>-8.9899999999999984</v>
      </c>
      <c r="M541" s="8">
        <f t="shared" si="689"/>
        <v>-195.70000000000002</v>
      </c>
      <c r="N541" s="8">
        <f t="shared" si="689"/>
        <v>-202.2233333333333</v>
      </c>
      <c r="O541" s="8">
        <f t="shared" si="689"/>
        <v>-223.45678333333333</v>
      </c>
      <c r="P541" s="8">
        <f t="shared" si="689"/>
        <v>-201.8319333333333</v>
      </c>
      <c r="Q541" s="8">
        <f t="shared" si="689"/>
        <v>-223.45678333333331</v>
      </c>
      <c r="R541" s="8">
        <f t="shared" si="689"/>
        <v>0</v>
      </c>
      <c r="S541" s="8">
        <f t="shared" si="689"/>
        <v>0</v>
      </c>
      <c r="T541" s="8">
        <f t="shared" si="689"/>
        <v>0</v>
      </c>
      <c r="U541" s="8">
        <f t="shared" si="689"/>
        <v>0</v>
      </c>
      <c r="V541" s="8">
        <f t="shared" si="689"/>
        <v>0</v>
      </c>
      <c r="W541" s="8">
        <f t="shared" si="689"/>
        <v>0</v>
      </c>
      <c r="X541" s="8">
        <f t="shared" si="689"/>
        <v>0</v>
      </c>
      <c r="Y541" s="8">
        <f t="shared" si="689"/>
        <v>0</v>
      </c>
      <c r="Z541" s="8">
        <f t="shared" si="689"/>
        <v>0</v>
      </c>
      <c r="AA541" s="8">
        <f t="shared" si="689"/>
        <v>0</v>
      </c>
      <c r="AB541" s="8">
        <f t="shared" si="689"/>
        <v>0</v>
      </c>
      <c r="AC541" s="8">
        <f t="shared" si="689"/>
        <v>0</v>
      </c>
      <c r="AD541" s="8">
        <f t="shared" si="689"/>
        <v>0</v>
      </c>
      <c r="AE541" s="8">
        <f t="shared" si="689"/>
        <v>0</v>
      </c>
      <c r="AF541" s="8">
        <f t="shared" si="689"/>
        <v>0</v>
      </c>
      <c r="AG541" s="8">
        <f t="shared" si="689"/>
        <v>0</v>
      </c>
      <c r="AH541" s="7"/>
      <c r="AI541" s="8">
        <f t="shared" ref="AI541:AS541" si="690">IFERROR(AI525*1000/AI533,0)</f>
        <v>-84.998210912860301</v>
      </c>
      <c r="AJ541" s="8">
        <f t="shared" si="690"/>
        <v>0</v>
      </c>
      <c r="AK541" s="8">
        <f t="shared" ca="1" si="690"/>
        <v>-529.32673749999992</v>
      </c>
      <c r="AL541" s="8">
        <f t="shared" ca="1" si="690"/>
        <v>-169.81434469999999</v>
      </c>
      <c r="AM541" s="8">
        <f t="shared" ca="1" si="690"/>
        <v>-185.09763572299997</v>
      </c>
      <c r="AN541" s="8">
        <f t="shared" ca="1" si="690"/>
        <v>-200.83093475945498</v>
      </c>
      <c r="AO541" s="8">
        <f t="shared" ca="1" si="690"/>
        <v>-216.89740954021141</v>
      </c>
      <c r="AP541" s="8">
        <f t="shared" ca="1" si="690"/>
        <v>-232.0802282080262</v>
      </c>
      <c r="AQ541" s="8">
        <f t="shared" ca="1" si="690"/>
        <v>-247.16544304154795</v>
      </c>
      <c r="AR541" s="8">
        <f t="shared" ca="1" si="690"/>
        <v>-261.99536962404079</v>
      </c>
      <c r="AS541" s="8">
        <f t="shared" ca="1" si="690"/>
        <v>-275.09513810524288</v>
      </c>
      <c r="AT541" s="8">
        <f t="shared" ref="AT541" ca="1" si="691">IFERROR(AT525*1000/AT533,0)</f>
        <v>-288.84989501050501</v>
      </c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</row>
    <row r="542" spans="1:66" ht="13.5" customHeight="1" x14ac:dyDescent="0.3">
      <c r="A542" s="7"/>
      <c r="B542" s="7"/>
      <c r="C542" s="7" t="s">
        <v>59</v>
      </c>
      <c r="D542" s="7" t="s">
        <v>87</v>
      </c>
      <c r="E542" s="7"/>
      <c r="F542" s="7"/>
      <c r="G542" s="7"/>
      <c r="H542" s="7"/>
      <c r="I542" s="7"/>
      <c r="J542" s="8">
        <f t="shared" ref="J542:AG542" si="692">IFERROR(J526*1000/J534,0)</f>
        <v>0</v>
      </c>
      <c r="K542" s="8">
        <f t="shared" si="692"/>
        <v>0</v>
      </c>
      <c r="L542" s="8">
        <f t="shared" si="692"/>
        <v>0</v>
      </c>
      <c r="M542" s="8">
        <f t="shared" si="692"/>
        <v>0</v>
      </c>
      <c r="N542" s="8">
        <f t="shared" si="692"/>
        <v>0</v>
      </c>
      <c r="O542" s="8">
        <f t="shared" si="692"/>
        <v>0</v>
      </c>
      <c r="P542" s="8">
        <f t="shared" si="692"/>
        <v>0</v>
      </c>
      <c r="Q542" s="8">
        <f t="shared" si="692"/>
        <v>0</v>
      </c>
      <c r="R542" s="8">
        <f t="shared" si="692"/>
        <v>0</v>
      </c>
      <c r="S542" s="8">
        <f t="shared" si="692"/>
        <v>0</v>
      </c>
      <c r="T542" s="8">
        <f t="shared" si="692"/>
        <v>0</v>
      </c>
      <c r="U542" s="8">
        <f t="shared" si="692"/>
        <v>0</v>
      </c>
      <c r="V542" s="8">
        <f t="shared" si="692"/>
        <v>0</v>
      </c>
      <c r="W542" s="8">
        <f t="shared" si="692"/>
        <v>0</v>
      </c>
      <c r="X542" s="8">
        <f t="shared" si="692"/>
        <v>0</v>
      </c>
      <c r="Y542" s="8">
        <f t="shared" si="692"/>
        <v>0</v>
      </c>
      <c r="Z542" s="8">
        <f t="shared" si="692"/>
        <v>0</v>
      </c>
      <c r="AA542" s="8">
        <f t="shared" si="692"/>
        <v>0</v>
      </c>
      <c r="AB542" s="8">
        <f t="shared" si="692"/>
        <v>0</v>
      </c>
      <c r="AC542" s="8">
        <f t="shared" si="692"/>
        <v>0</v>
      </c>
      <c r="AD542" s="8">
        <f t="shared" si="692"/>
        <v>0</v>
      </c>
      <c r="AE542" s="8">
        <f t="shared" si="692"/>
        <v>0</v>
      </c>
      <c r="AF542" s="8">
        <f t="shared" si="692"/>
        <v>0</v>
      </c>
      <c r="AG542" s="8">
        <f t="shared" si="692"/>
        <v>0</v>
      </c>
      <c r="AH542" s="7"/>
      <c r="AI542" s="8">
        <f t="shared" ref="AI542:AS542" si="693">IFERROR(AI526*1000/AI534,0)</f>
        <v>0</v>
      </c>
      <c r="AJ542" s="8">
        <f t="shared" si="693"/>
        <v>0</v>
      </c>
      <c r="AK542" s="8">
        <f t="shared" si="693"/>
        <v>-14.452294999999999</v>
      </c>
      <c r="AL542" s="8">
        <f t="shared" ca="1" si="693"/>
        <v>-15.825263024999998</v>
      </c>
      <c r="AM542" s="8">
        <f t="shared" ca="1" si="693"/>
        <v>-17.249536697250001</v>
      </c>
      <c r="AN542" s="8">
        <f t="shared" ca="1" si="693"/>
        <v>-18.715747316516254</v>
      </c>
      <c r="AO542" s="8">
        <f t="shared" ca="1" si="693"/>
        <v>-20.213007101837551</v>
      </c>
      <c r="AP542" s="8">
        <f t="shared" ca="1" si="693"/>
        <v>-21.627917598966182</v>
      </c>
      <c r="AQ542" s="8">
        <f t="shared" ca="1" si="693"/>
        <v>-23.033732242898985</v>
      </c>
      <c r="AR542" s="8">
        <f t="shared" ca="1" si="693"/>
        <v>-24.415756177472922</v>
      </c>
      <c r="AS542" s="8">
        <f t="shared" ca="1" si="693"/>
        <v>-25.63654398634657</v>
      </c>
      <c r="AT542" s="8">
        <f t="shared" ref="AT542" ca="1" si="694">IFERROR(AT526*1000/AT534,0)</f>
        <v>-26.918371185663897</v>
      </c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</row>
    <row r="543" spans="1:66" ht="13.5" customHeight="1" x14ac:dyDescent="0.3">
      <c r="A543" s="7"/>
      <c r="B543" s="7"/>
      <c r="C543" s="7" t="s">
        <v>91</v>
      </c>
      <c r="D543" s="7" t="s">
        <v>87</v>
      </c>
      <c r="E543" s="7"/>
      <c r="F543" s="7"/>
      <c r="G543" s="7"/>
      <c r="H543" s="7"/>
      <c r="I543" s="7"/>
      <c r="J543" s="8">
        <f t="shared" ref="J543:AG543" si="695">IFERROR(J527*1000/J535,0)</f>
        <v>-8.6051401869158877</v>
      </c>
      <c r="K543" s="8">
        <f t="shared" ca="1" si="695"/>
        <v>-8.6050292397660808</v>
      </c>
      <c r="L543" s="8">
        <f t="shared" ca="1" si="695"/>
        <v>-8.891633738861648</v>
      </c>
      <c r="M543" s="8">
        <f t="shared" ca="1" si="695"/>
        <v>-227.3929298105555</v>
      </c>
      <c r="N543" s="8">
        <f t="shared" ca="1" si="695"/>
        <v>-235.04935897886534</v>
      </c>
      <c r="O543" s="8">
        <f t="shared" ca="1" si="695"/>
        <v>-259.81444060007544</v>
      </c>
      <c r="P543" s="8">
        <f t="shared" ca="1" si="695"/>
        <v>-234.74795728991705</v>
      </c>
      <c r="Q543" s="8">
        <f t="shared" ca="1" si="695"/>
        <v>-259.98479263404562</v>
      </c>
      <c r="R543" s="8">
        <f t="shared" ca="1" si="695"/>
        <v>-564.06050946490848</v>
      </c>
      <c r="S543" s="8">
        <f t="shared" ca="1" si="695"/>
        <v>-8.2782916666666679</v>
      </c>
      <c r="T543" s="8">
        <f t="shared" ca="1" si="695"/>
        <v>-8.0112500000000004</v>
      </c>
      <c r="U543" s="8">
        <f t="shared" ca="1" si="695"/>
        <v>-8.2782916666666679</v>
      </c>
      <c r="V543" s="8">
        <f t="shared" ca="1" si="695"/>
        <v>-8.2782916666666662</v>
      </c>
      <c r="W543" s="8">
        <f t="shared" ca="1" si="695"/>
        <v>-8.0112500000000004</v>
      </c>
      <c r="X543" s="8">
        <f t="shared" ca="1" si="695"/>
        <v>-8.2782916666666679</v>
      </c>
      <c r="Y543" s="8">
        <f t="shared" ca="1" si="695"/>
        <v>-623.92736673298248</v>
      </c>
      <c r="Z543" s="8">
        <f t="shared" ca="1" si="695"/>
        <v>-644.75029337497722</v>
      </c>
      <c r="AA543" s="8">
        <f t="shared" ca="1" si="695"/>
        <v>-376.04284481190285</v>
      </c>
      <c r="AB543" s="8">
        <f t="shared" ca="1" si="695"/>
        <v>-363.9750513940769</v>
      </c>
      <c r="AC543" s="8">
        <f t="shared" ca="1" si="695"/>
        <v>-406.74402048534387</v>
      </c>
      <c r="AD543" s="8">
        <f t="shared" ca="1" si="695"/>
        <v>-401.03760464429786</v>
      </c>
      <c r="AE543" s="8">
        <f t="shared" ca="1" si="695"/>
        <v>-10.065877313243282</v>
      </c>
      <c r="AF543" s="8">
        <f t="shared" ca="1" si="695"/>
        <v>-9.3541730128523888</v>
      </c>
      <c r="AG543" s="8">
        <f t="shared" ca="1" si="695"/>
        <v>-9.6659787799474692</v>
      </c>
      <c r="AH543" s="7"/>
      <c r="AI543" s="179">
        <f t="shared" ref="AI543:AS543" ca="1" si="696">IFERROR(AI527*1000/AI535,0)</f>
        <v>-50.624065857903261</v>
      </c>
      <c r="AJ543" s="179">
        <f t="shared" ca="1" si="696"/>
        <v>-472.75959339530885</v>
      </c>
      <c r="AK543" s="179">
        <f t="shared" ca="1" si="696"/>
        <v>-234.00537760404688</v>
      </c>
      <c r="AL543" s="179">
        <f t="shared" ca="1" si="696"/>
        <v>-176.96128263438274</v>
      </c>
      <c r="AM543" s="179">
        <f t="shared" ca="1" si="696"/>
        <v>-191.63217668470381</v>
      </c>
      <c r="AN543" s="179">
        <f t="shared" ca="1" si="696"/>
        <v>-193.92284219623889</v>
      </c>
      <c r="AO543" s="179">
        <f t="shared" ca="1" si="696"/>
        <v>-208.93339558501418</v>
      </c>
      <c r="AP543" s="179">
        <f t="shared" ca="1" si="696"/>
        <v>-223.55873327596521</v>
      </c>
      <c r="AQ543" s="179">
        <f t="shared" ca="1" si="696"/>
        <v>-238.09005093890286</v>
      </c>
      <c r="AR543" s="179">
        <f t="shared" ca="1" si="696"/>
        <v>-252.37545399523711</v>
      </c>
      <c r="AS543" s="179">
        <f t="shared" ca="1" si="696"/>
        <v>-264.99422669499893</v>
      </c>
      <c r="AT543" s="179">
        <f t="shared" ref="AT543" ca="1" si="697">IFERROR(AT527*1000/AT535,0)</f>
        <v>-278.24393802974896</v>
      </c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</row>
    <row r="544" spans="1:66" ht="13.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180">
        <f t="shared" ref="AI544:AS544" ca="1" si="698">-(AI543*360)</f>
        <v>18224.663708845175</v>
      </c>
      <c r="AJ544" s="180">
        <f t="shared" ca="1" si="698"/>
        <v>170193.45362231118</v>
      </c>
      <c r="AK544" s="180">
        <f t="shared" ca="1" si="698"/>
        <v>84241.935937456874</v>
      </c>
      <c r="AL544" s="180">
        <f t="shared" ca="1" si="698"/>
        <v>63706.06174837779</v>
      </c>
      <c r="AM544" s="180">
        <f t="shared" ca="1" si="698"/>
        <v>68987.583606493368</v>
      </c>
      <c r="AN544" s="180">
        <f t="shared" ca="1" si="698"/>
        <v>69812.223190646007</v>
      </c>
      <c r="AO544" s="180">
        <f t="shared" ca="1" si="698"/>
        <v>75216.022410605103</v>
      </c>
      <c r="AP544" s="180">
        <f t="shared" ca="1" si="698"/>
        <v>80481.143979347471</v>
      </c>
      <c r="AQ544" s="180">
        <f t="shared" ca="1" si="698"/>
        <v>85712.418338005024</v>
      </c>
      <c r="AR544" s="180">
        <f t="shared" ca="1" si="698"/>
        <v>90855.163438285366</v>
      </c>
      <c r="AS544" s="180">
        <f t="shared" ca="1" si="698"/>
        <v>95397.921610199613</v>
      </c>
      <c r="AT544" s="180">
        <f t="shared" ref="AT544" ca="1" si="699">-(AT543*360)</f>
        <v>100167.81769070962</v>
      </c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</row>
    <row r="545" spans="1:66" ht="13.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</row>
    <row r="546" spans="1:66" ht="13.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</row>
    <row r="547" spans="1:66" ht="13.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</row>
    <row r="548" spans="1:66" ht="13.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</row>
    <row r="549" spans="1:66" ht="13.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</row>
    <row r="550" spans="1:66" ht="13.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</row>
    <row r="551" spans="1:66" ht="13.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</row>
    <row r="552" spans="1:66" ht="13.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</row>
    <row r="553" spans="1:66" ht="13.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</row>
    <row r="554" spans="1:66" ht="13.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</row>
    <row r="555" spans="1:66" ht="13.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</row>
    <row r="556" spans="1:66" ht="13.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</row>
    <row r="557" spans="1:66" ht="13.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</row>
    <row r="558" spans="1:66" ht="13.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</row>
    <row r="559" spans="1:66" ht="13.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</row>
    <row r="560" spans="1:66" ht="13.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</row>
    <row r="561" spans="1:66" ht="13.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</row>
    <row r="562" spans="1:66" ht="13.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</row>
    <row r="563" spans="1:66" ht="13.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</row>
    <row r="564" spans="1:66" ht="13.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</row>
    <row r="565" spans="1:66" ht="13.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</row>
    <row r="566" spans="1:66" ht="13.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</row>
    <row r="567" spans="1:66" ht="13.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</row>
    <row r="568" spans="1:66" ht="13.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</row>
    <row r="569" spans="1:66" ht="13.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</row>
    <row r="570" spans="1:66" ht="13.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</row>
    <row r="571" spans="1:66" ht="13.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</row>
    <row r="572" spans="1:66" ht="13.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</row>
    <row r="573" spans="1:66" ht="13.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</row>
    <row r="574" spans="1:66" ht="13.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</row>
    <row r="575" spans="1:66" ht="13.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</row>
    <row r="576" spans="1:66" ht="13.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</row>
    <row r="577" spans="1:66" ht="13.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</row>
    <row r="578" spans="1:66" ht="13.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</row>
    <row r="579" spans="1:66" ht="13.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</row>
    <row r="580" spans="1:66" ht="13.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</row>
    <row r="581" spans="1:66" ht="13.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</row>
    <row r="582" spans="1:66" ht="13.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</row>
    <row r="583" spans="1:66" ht="13.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</row>
    <row r="584" spans="1:66" ht="13.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</row>
    <row r="585" spans="1:66" ht="13.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</row>
    <row r="586" spans="1:66" ht="13.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</row>
    <row r="587" spans="1:66" ht="13.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</row>
    <row r="588" spans="1:66" ht="13.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</row>
    <row r="589" spans="1:66" ht="13.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</row>
    <row r="590" spans="1:66" ht="13.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</row>
    <row r="591" spans="1:66" ht="13.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</row>
    <row r="592" spans="1:66" ht="13.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</row>
    <row r="593" spans="1:66" ht="13.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</row>
    <row r="594" spans="1:66" ht="13.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</row>
    <row r="595" spans="1:66" ht="13.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</row>
    <row r="596" spans="1:66" ht="13.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</row>
    <row r="597" spans="1:66" ht="13.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</row>
    <row r="598" spans="1:66" ht="13.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</row>
    <row r="599" spans="1:66" ht="13.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</row>
    <row r="600" spans="1:66" ht="13.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</row>
    <row r="601" spans="1:66" ht="13.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</row>
    <row r="602" spans="1:66" ht="13.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</row>
    <row r="603" spans="1:66" ht="13.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</row>
    <row r="604" spans="1:66" ht="13.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</row>
    <row r="605" spans="1:66" ht="13.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</row>
    <row r="606" spans="1:66" ht="13.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</row>
    <row r="607" spans="1:66" ht="13.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</row>
    <row r="608" spans="1:66" ht="13.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</row>
    <row r="609" spans="1:66" ht="13.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</row>
    <row r="610" spans="1:66" ht="13.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</row>
    <row r="611" spans="1:66" ht="13.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</row>
    <row r="612" spans="1:66" ht="13.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</row>
    <row r="613" spans="1:66" ht="13.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</row>
    <row r="614" spans="1:66" ht="13.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</row>
    <row r="615" spans="1:66" ht="13.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</row>
    <row r="616" spans="1:66" ht="13.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</row>
    <row r="617" spans="1:66" ht="13.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</row>
    <row r="618" spans="1:66" ht="13.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</row>
    <row r="619" spans="1:66" ht="13.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</row>
    <row r="620" spans="1:66" ht="13.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</row>
    <row r="621" spans="1:66" ht="13.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</row>
    <row r="622" spans="1:66" ht="13.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</row>
    <row r="623" spans="1:66" ht="13.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</row>
    <row r="624" spans="1:66" ht="13.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</row>
    <row r="625" spans="1:66" ht="13.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</row>
    <row r="626" spans="1:66" ht="13.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</row>
    <row r="627" spans="1:66" ht="13.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</row>
    <row r="628" spans="1:66" ht="13.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</row>
    <row r="629" spans="1:66" ht="13.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</row>
    <row r="630" spans="1:66" ht="13.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</row>
    <row r="631" spans="1:66" ht="13.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</row>
    <row r="632" spans="1:66" ht="13.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</row>
    <row r="633" spans="1:66" ht="13.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</row>
    <row r="634" spans="1:66" ht="13.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</row>
    <row r="635" spans="1:66" ht="13.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</row>
    <row r="636" spans="1:66" ht="13.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</row>
    <row r="637" spans="1:66" ht="13.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</row>
    <row r="638" spans="1:66" ht="13.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</row>
    <row r="639" spans="1:66" ht="13.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</row>
    <row r="640" spans="1:66" ht="13.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</row>
    <row r="641" spans="1:66" ht="13.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</row>
    <row r="642" spans="1:66" ht="13.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</row>
    <row r="643" spans="1:66" ht="13.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</row>
    <row r="644" spans="1:66" ht="13.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</row>
    <row r="645" spans="1:66" ht="13.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</row>
    <row r="646" spans="1:66" ht="13.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</row>
    <row r="647" spans="1:66" ht="13.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</row>
    <row r="648" spans="1:66" ht="13.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</row>
    <row r="649" spans="1:66" ht="13.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</row>
    <row r="650" spans="1:66" ht="13.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</row>
    <row r="651" spans="1:66" ht="13.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</row>
    <row r="652" spans="1:66" ht="13.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</row>
    <row r="653" spans="1:66" ht="13.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</row>
    <row r="654" spans="1:66" ht="13.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</row>
    <row r="655" spans="1:66" ht="13.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</row>
    <row r="656" spans="1:66" ht="13.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</row>
    <row r="657" spans="1:66" ht="13.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</row>
    <row r="658" spans="1:66" ht="13.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</row>
    <row r="659" spans="1:66" ht="13.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</row>
    <row r="660" spans="1:66" ht="13.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</row>
    <row r="661" spans="1:66" ht="13.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</row>
    <row r="662" spans="1:66" ht="13.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</row>
    <row r="663" spans="1:66" ht="13.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</row>
    <row r="664" spans="1:66" ht="13.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</row>
    <row r="665" spans="1:66" ht="13.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</row>
    <row r="666" spans="1:66" ht="13.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</row>
    <row r="667" spans="1:66" ht="13.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</row>
    <row r="668" spans="1:66" ht="13.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</row>
    <row r="669" spans="1:66" ht="13.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</row>
    <row r="670" spans="1:66" ht="13.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</row>
    <row r="671" spans="1:66" ht="13.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</row>
    <row r="672" spans="1:66" ht="13.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</row>
    <row r="673" spans="1:66" ht="13.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</row>
    <row r="674" spans="1:66" ht="13.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</row>
    <row r="675" spans="1:66" ht="13.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</row>
    <row r="676" spans="1:66" ht="13.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</row>
    <row r="677" spans="1:66" ht="13.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</row>
    <row r="678" spans="1:66" ht="13.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</row>
    <row r="679" spans="1:66" ht="13.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</row>
    <row r="680" spans="1:66" ht="13.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</row>
    <row r="681" spans="1:66" ht="13.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</row>
    <row r="682" spans="1:66" ht="13.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</row>
    <row r="683" spans="1:66" ht="15.7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</row>
    <row r="684" spans="1:66" ht="15.7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</row>
    <row r="685" spans="1:66" ht="15.7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</row>
    <row r="686" spans="1:66" ht="15.7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</row>
    <row r="687" spans="1:66" ht="15.7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</row>
    <row r="688" spans="1:66" ht="15.7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</row>
    <row r="689" spans="1:66" ht="15.7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</row>
  </sheetData>
  <conditionalFormatting sqref="J348:AG348">
    <cfRule type="cellIs" dxfId="1" priority="1" operator="lessThan">
      <formula>0</formula>
    </cfRule>
  </conditionalFormatting>
  <conditionalFormatting sqref="AI348:AT348">
    <cfRule type="cellIs" dxfId="0" priority="2" operator="lessThan">
      <formula>0</formula>
    </cfRule>
  </conditionalFormatting>
  <dataValidations count="1">
    <dataValidation type="list" allowBlank="1" showErrorMessage="1" sqref="F10:F12" xr:uid="{00000000-0002-0000-0200-000000000000}">
      <formula1>"1,2"</formula1>
    </dataValidation>
  </dataValidations>
  <hyperlinks>
    <hyperlink ref="AU2" r:id="rId1" location="z85" xr:uid="{00000000-0004-0000-0200-000000000000}"/>
    <hyperlink ref="E30" r:id="rId2" xr:uid="{00000000-0004-0000-0200-000001000000}"/>
    <hyperlink ref="E31" r:id="rId3" xr:uid="{00000000-0004-0000-0200-000002000000}"/>
  </hyperlinks>
  <pageMargins left="0.7" right="0.7" top="0.75" bottom="0.75" header="0" footer="0"/>
  <pageSetup orientation="landscape"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470"/>
  <sheetViews>
    <sheetView zoomScale="70" zoomScaleNormal="70" workbookViewId="0">
      <pane xSplit="3" ySplit="5" topLeftCell="Z90" activePane="bottomRight" state="frozen"/>
      <selection pane="topRight" activeCell="D1" sqref="D1"/>
      <selection pane="bottomLeft" activeCell="A6" sqref="A6"/>
      <selection pane="bottomRight" activeCell="AM105" sqref="AM105"/>
    </sheetView>
  </sheetViews>
  <sheetFormatPr defaultColWidth="14.44140625" defaultRowHeight="15" customHeight="1" outlineLevelCol="1" x14ac:dyDescent="0.3"/>
  <cols>
    <col min="1" max="1" width="5.33203125" customWidth="1"/>
    <col min="2" max="2" width="4.5546875" customWidth="1"/>
    <col min="3" max="3" width="37.33203125" customWidth="1"/>
    <col min="4" max="4" width="8.88671875" customWidth="1"/>
    <col min="5" max="5" width="7.5546875" customWidth="1"/>
    <col min="6" max="6" width="9.88671875" customWidth="1"/>
    <col min="7" max="7" width="9.6640625" customWidth="1"/>
    <col min="8" max="9" width="8.6640625" customWidth="1"/>
    <col min="10" max="10" width="10.109375" customWidth="1" outlineLevel="1"/>
    <col min="11" max="11" width="8.88671875" customWidth="1" outlineLevel="1"/>
    <col min="12" max="16" width="9.88671875" customWidth="1" outlineLevel="1"/>
    <col min="17" max="33" width="8.88671875" customWidth="1" outlineLevel="1"/>
    <col min="34" max="34" width="8.6640625" customWidth="1"/>
    <col min="35" max="35" width="10.5546875" customWidth="1"/>
    <col min="36" max="36" width="9.109375" customWidth="1"/>
    <col min="37" max="37" width="10.88671875" customWidth="1"/>
    <col min="38" max="38" width="10.33203125" customWidth="1"/>
    <col min="39" max="46" width="10.5546875" customWidth="1"/>
  </cols>
  <sheetData>
    <row r="1" spans="1:69" ht="13.5" customHeight="1" x14ac:dyDescent="0.3">
      <c r="A1" s="7"/>
      <c r="C1" s="181">
        <v>46235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</row>
    <row r="2" spans="1:69" ht="13.5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</row>
    <row r="3" spans="1:69" ht="13.5" customHeight="1" x14ac:dyDescent="0.3">
      <c r="A3" s="2" t="s">
        <v>0</v>
      </c>
      <c r="B3" s="3" t="s">
        <v>369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</row>
    <row r="4" spans="1:69" ht="13.5" customHeight="1" x14ac:dyDescent="0.3">
      <c r="A4" s="7"/>
      <c r="B4" s="5" t="s">
        <v>370</v>
      </c>
      <c r="C4" s="7"/>
      <c r="D4" s="7"/>
      <c r="E4" s="7"/>
      <c r="F4" s="7"/>
      <c r="G4" s="7"/>
      <c r="H4" s="7"/>
      <c r="I4" s="7"/>
      <c r="J4" s="7">
        <f>J5-C1</f>
        <v>30</v>
      </c>
      <c r="K4" s="7">
        <f t="shared" ref="K4:AG4" si="0">K5-J5</f>
        <v>30</v>
      </c>
      <c r="L4" s="7">
        <f t="shared" si="0"/>
        <v>31</v>
      </c>
      <c r="M4" s="7">
        <f t="shared" si="0"/>
        <v>30</v>
      </c>
      <c r="N4" s="7">
        <f t="shared" si="0"/>
        <v>31</v>
      </c>
      <c r="O4" s="7">
        <f t="shared" si="0"/>
        <v>31</v>
      </c>
      <c r="P4" s="7">
        <f t="shared" si="0"/>
        <v>28</v>
      </c>
      <c r="Q4" s="7">
        <f t="shared" si="0"/>
        <v>31</v>
      </c>
      <c r="R4" s="7">
        <f t="shared" si="0"/>
        <v>30</v>
      </c>
      <c r="S4" s="7">
        <f t="shared" si="0"/>
        <v>31</v>
      </c>
      <c r="T4" s="7">
        <f t="shared" si="0"/>
        <v>30</v>
      </c>
      <c r="U4" s="7">
        <f t="shared" si="0"/>
        <v>31</v>
      </c>
      <c r="V4" s="7">
        <f t="shared" si="0"/>
        <v>31</v>
      </c>
      <c r="W4" s="7">
        <f t="shared" si="0"/>
        <v>30</v>
      </c>
      <c r="X4" s="7">
        <f t="shared" si="0"/>
        <v>31</v>
      </c>
      <c r="Y4" s="7">
        <f t="shared" si="0"/>
        <v>30</v>
      </c>
      <c r="Z4" s="7">
        <f t="shared" si="0"/>
        <v>31</v>
      </c>
      <c r="AA4" s="7">
        <f t="shared" si="0"/>
        <v>31</v>
      </c>
      <c r="AB4" s="7">
        <f t="shared" si="0"/>
        <v>29</v>
      </c>
      <c r="AC4" s="7">
        <f t="shared" si="0"/>
        <v>31</v>
      </c>
      <c r="AD4" s="7">
        <f t="shared" si="0"/>
        <v>30</v>
      </c>
      <c r="AE4" s="7">
        <f t="shared" si="0"/>
        <v>31</v>
      </c>
      <c r="AF4" s="7">
        <f t="shared" si="0"/>
        <v>30</v>
      </c>
      <c r="AG4" s="7">
        <f t="shared" si="0"/>
        <v>31</v>
      </c>
      <c r="AH4" s="7"/>
      <c r="AI4" s="7">
        <f>SUM(J4:N4)</f>
        <v>152</v>
      </c>
      <c r="AJ4" s="7">
        <f t="shared" ref="AJ4:AT4" si="1">DATE(AJ5,12,31)-DATE(AI5,12,31)</f>
        <v>365</v>
      </c>
      <c r="AK4" s="7">
        <f t="shared" si="1"/>
        <v>366</v>
      </c>
      <c r="AL4" s="7">
        <f t="shared" si="1"/>
        <v>365</v>
      </c>
      <c r="AM4" s="7">
        <f t="shared" si="1"/>
        <v>365</v>
      </c>
      <c r="AN4" s="7">
        <f t="shared" si="1"/>
        <v>365</v>
      </c>
      <c r="AO4" s="7">
        <f t="shared" si="1"/>
        <v>366</v>
      </c>
      <c r="AP4" s="7">
        <f t="shared" si="1"/>
        <v>365</v>
      </c>
      <c r="AQ4" s="7">
        <f t="shared" si="1"/>
        <v>365</v>
      </c>
      <c r="AR4" s="7">
        <f t="shared" si="1"/>
        <v>365</v>
      </c>
      <c r="AS4" s="7">
        <f t="shared" si="1"/>
        <v>366</v>
      </c>
      <c r="AT4" s="7">
        <f t="shared" si="1"/>
        <v>365</v>
      </c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</row>
    <row r="5" spans="1:69" ht="13.5" customHeight="1" x14ac:dyDescent="0.3">
      <c r="A5" s="7"/>
      <c r="B5" s="5" t="s">
        <v>371</v>
      </c>
      <c r="C5" s="7"/>
      <c r="D5" s="7"/>
      <c r="E5" s="7"/>
      <c r="F5" s="7"/>
      <c r="G5" s="7"/>
      <c r="H5" s="7"/>
      <c r="I5" s="7"/>
      <c r="J5" s="79">
        <v>46265</v>
      </c>
      <c r="K5" s="79">
        <f t="shared" ref="K5:AG5" si="2">EOMONTH(J5,1)</f>
        <v>46295</v>
      </c>
      <c r="L5" s="79">
        <f t="shared" si="2"/>
        <v>46326</v>
      </c>
      <c r="M5" s="79">
        <f t="shared" si="2"/>
        <v>46356</v>
      </c>
      <c r="N5" s="79">
        <f t="shared" si="2"/>
        <v>46387</v>
      </c>
      <c r="O5" s="79">
        <f t="shared" si="2"/>
        <v>46418</v>
      </c>
      <c r="P5" s="79">
        <f t="shared" si="2"/>
        <v>46446</v>
      </c>
      <c r="Q5" s="79">
        <f t="shared" si="2"/>
        <v>46477</v>
      </c>
      <c r="R5" s="79">
        <f t="shared" si="2"/>
        <v>46507</v>
      </c>
      <c r="S5" s="79">
        <f t="shared" si="2"/>
        <v>46538</v>
      </c>
      <c r="T5" s="79">
        <f t="shared" si="2"/>
        <v>46568</v>
      </c>
      <c r="U5" s="79">
        <f t="shared" si="2"/>
        <v>46599</v>
      </c>
      <c r="V5" s="79">
        <f t="shared" si="2"/>
        <v>46630</v>
      </c>
      <c r="W5" s="79">
        <f t="shared" si="2"/>
        <v>46660</v>
      </c>
      <c r="X5" s="79">
        <f t="shared" si="2"/>
        <v>46691</v>
      </c>
      <c r="Y5" s="79">
        <f t="shared" si="2"/>
        <v>46721</v>
      </c>
      <c r="Z5" s="79">
        <f t="shared" si="2"/>
        <v>46752</v>
      </c>
      <c r="AA5" s="79">
        <f t="shared" si="2"/>
        <v>46783</v>
      </c>
      <c r="AB5" s="79">
        <f t="shared" si="2"/>
        <v>46812</v>
      </c>
      <c r="AC5" s="79">
        <f t="shared" si="2"/>
        <v>46843</v>
      </c>
      <c r="AD5" s="79">
        <f t="shared" si="2"/>
        <v>46873</v>
      </c>
      <c r="AE5" s="79">
        <f t="shared" si="2"/>
        <v>46904</v>
      </c>
      <c r="AF5" s="79">
        <f t="shared" si="2"/>
        <v>46934</v>
      </c>
      <c r="AG5" s="79">
        <f t="shared" si="2"/>
        <v>46965</v>
      </c>
      <c r="AH5" s="7"/>
      <c r="AI5" s="6">
        <f t="shared" ref="AI5:AS5" si="3">AI146</f>
        <v>2026</v>
      </c>
      <c r="AJ5" s="6">
        <f t="shared" si="3"/>
        <v>2027</v>
      </c>
      <c r="AK5" s="6">
        <f t="shared" si="3"/>
        <v>2028</v>
      </c>
      <c r="AL5" s="6">
        <f t="shared" si="3"/>
        <v>2029</v>
      </c>
      <c r="AM5" s="6">
        <f t="shared" si="3"/>
        <v>2030</v>
      </c>
      <c r="AN5" s="6">
        <f t="shared" si="3"/>
        <v>2031</v>
      </c>
      <c r="AO5" s="6">
        <f t="shared" si="3"/>
        <v>2032</v>
      </c>
      <c r="AP5" s="6">
        <f t="shared" si="3"/>
        <v>2033</v>
      </c>
      <c r="AQ5" s="6">
        <f t="shared" si="3"/>
        <v>2034</v>
      </c>
      <c r="AR5" s="6">
        <f t="shared" si="3"/>
        <v>2035</v>
      </c>
      <c r="AS5" s="6">
        <f t="shared" si="3"/>
        <v>2036</v>
      </c>
      <c r="AT5" s="6">
        <f t="shared" ref="AT5" si="4">AT146</f>
        <v>2037</v>
      </c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</row>
    <row r="6" spans="1:69" ht="13.5" customHeight="1" x14ac:dyDescent="0.3">
      <c r="A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</row>
    <row r="7" spans="1:69" ht="13.5" customHeight="1" x14ac:dyDescent="0.3">
      <c r="A7" s="7"/>
      <c r="B7" s="5" t="s">
        <v>372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</row>
    <row r="8" spans="1:69" ht="13.5" customHeight="1" x14ac:dyDescent="0.3">
      <c r="A8" s="7"/>
      <c r="C8" s="7" t="s">
        <v>373</v>
      </c>
      <c r="D8" s="7" t="s">
        <v>61</v>
      </c>
      <c r="E8" s="7"/>
      <c r="F8" s="7"/>
      <c r="G8" s="7"/>
      <c r="H8" s="7"/>
      <c r="I8" s="7"/>
      <c r="J8" s="182">
        <v>32</v>
      </c>
      <c r="K8" s="182">
        <v>32</v>
      </c>
      <c r="L8" s="182">
        <v>32</v>
      </c>
      <c r="M8" s="182">
        <v>0</v>
      </c>
      <c r="N8" s="182">
        <v>0</v>
      </c>
      <c r="O8" s="182">
        <v>0</v>
      </c>
      <c r="P8" s="182">
        <v>0</v>
      </c>
      <c r="Q8" s="182">
        <v>0</v>
      </c>
      <c r="R8" s="182">
        <v>0</v>
      </c>
      <c r="S8" s="182">
        <v>32</v>
      </c>
      <c r="T8" s="182">
        <v>32</v>
      </c>
      <c r="U8" s="182">
        <v>32</v>
      </c>
      <c r="V8" s="182">
        <v>32</v>
      </c>
      <c r="W8" s="182">
        <v>32</v>
      </c>
      <c r="X8" s="182">
        <v>32</v>
      </c>
      <c r="Y8" s="182">
        <v>0</v>
      </c>
      <c r="Z8" s="182">
        <v>0</v>
      </c>
      <c r="AA8" s="182">
        <v>0</v>
      </c>
      <c r="AB8" s="182">
        <v>0</v>
      </c>
      <c r="AC8" s="182">
        <v>0</v>
      </c>
      <c r="AD8" s="182">
        <v>0</v>
      </c>
      <c r="AE8" s="182">
        <v>32</v>
      </c>
      <c r="AF8" s="182">
        <v>32</v>
      </c>
      <c r="AG8" s="182">
        <v>32</v>
      </c>
      <c r="AH8" s="7"/>
      <c r="AI8" s="182">
        <f t="shared" ref="AI8:AI15" si="5">SUMPRODUCT(J8:N8,J$4:N$4)</f>
        <v>2912</v>
      </c>
      <c r="AJ8" s="182">
        <f t="shared" ref="AJ8:AJ15" si="6">SUMPRODUCT(O8:Z8,O$4:Z$4)</f>
        <v>5888</v>
      </c>
      <c r="AK8" s="182">
        <f t="shared" ref="AK8:AT8" si="7">AJ8</f>
        <v>5888</v>
      </c>
      <c r="AL8" s="182">
        <f t="shared" si="7"/>
        <v>5888</v>
      </c>
      <c r="AM8" s="182">
        <f t="shared" si="7"/>
        <v>5888</v>
      </c>
      <c r="AN8" s="182">
        <f t="shared" si="7"/>
        <v>5888</v>
      </c>
      <c r="AO8" s="182">
        <f t="shared" si="7"/>
        <v>5888</v>
      </c>
      <c r="AP8" s="182">
        <f t="shared" si="7"/>
        <v>5888</v>
      </c>
      <c r="AQ8" s="182">
        <f t="shared" si="7"/>
        <v>5888</v>
      </c>
      <c r="AR8" s="182">
        <f t="shared" si="7"/>
        <v>5888</v>
      </c>
      <c r="AS8" s="182">
        <f t="shared" si="7"/>
        <v>5888</v>
      </c>
      <c r="AT8" s="182">
        <f t="shared" si="7"/>
        <v>5888</v>
      </c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</row>
    <row r="9" spans="1:69" ht="13.5" customHeight="1" x14ac:dyDescent="0.3">
      <c r="A9" s="7"/>
      <c r="C9" s="7" t="s">
        <v>374</v>
      </c>
      <c r="D9" s="7" t="s">
        <v>61</v>
      </c>
      <c r="E9" s="7"/>
      <c r="F9" s="7"/>
      <c r="G9" s="7"/>
      <c r="H9" s="7"/>
      <c r="I9" s="7"/>
      <c r="J9" s="182">
        <v>0</v>
      </c>
      <c r="K9" s="182">
        <v>0</v>
      </c>
      <c r="L9" s="182">
        <v>0</v>
      </c>
      <c r="M9" s="182">
        <v>2</v>
      </c>
      <c r="N9" s="182">
        <v>2</v>
      </c>
      <c r="O9" s="182">
        <v>2</v>
      </c>
      <c r="P9" s="182">
        <v>2</v>
      </c>
      <c r="Q9" s="182">
        <v>2</v>
      </c>
      <c r="R9" s="182">
        <v>2</v>
      </c>
      <c r="S9" s="182">
        <v>0</v>
      </c>
      <c r="T9" s="182">
        <v>0</v>
      </c>
      <c r="U9" s="182">
        <v>0</v>
      </c>
      <c r="V9" s="182">
        <v>0</v>
      </c>
      <c r="W9" s="182">
        <v>0</v>
      </c>
      <c r="X9" s="182">
        <v>0</v>
      </c>
      <c r="Y9" s="182">
        <v>2</v>
      </c>
      <c r="Z9" s="182">
        <v>2</v>
      </c>
      <c r="AA9" s="182">
        <v>2</v>
      </c>
      <c r="AB9" s="182">
        <v>2</v>
      </c>
      <c r="AC9" s="182">
        <v>2</v>
      </c>
      <c r="AD9" s="182">
        <v>2</v>
      </c>
      <c r="AE9" s="182">
        <v>0</v>
      </c>
      <c r="AF9" s="182">
        <v>0</v>
      </c>
      <c r="AG9" s="182">
        <v>0</v>
      </c>
      <c r="AH9" s="7"/>
      <c r="AI9" s="182">
        <f t="shared" si="5"/>
        <v>122</v>
      </c>
      <c r="AJ9" s="182">
        <f t="shared" si="6"/>
        <v>362</v>
      </c>
      <c r="AK9" s="182">
        <f t="shared" ref="AK9:AT9" si="8">AJ9</f>
        <v>362</v>
      </c>
      <c r="AL9" s="182">
        <f t="shared" si="8"/>
        <v>362</v>
      </c>
      <c r="AM9" s="182">
        <f t="shared" si="8"/>
        <v>362</v>
      </c>
      <c r="AN9" s="182">
        <f t="shared" si="8"/>
        <v>362</v>
      </c>
      <c r="AO9" s="182">
        <f t="shared" si="8"/>
        <v>362</v>
      </c>
      <c r="AP9" s="182">
        <f t="shared" si="8"/>
        <v>362</v>
      </c>
      <c r="AQ9" s="182">
        <f t="shared" si="8"/>
        <v>362</v>
      </c>
      <c r="AR9" s="182">
        <f t="shared" si="8"/>
        <v>362</v>
      </c>
      <c r="AS9" s="182">
        <f t="shared" si="8"/>
        <v>362</v>
      </c>
      <c r="AT9" s="182">
        <f t="shared" si="8"/>
        <v>362</v>
      </c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</row>
    <row r="10" spans="1:69" ht="13.5" customHeight="1" x14ac:dyDescent="0.3">
      <c r="A10" s="7"/>
      <c r="C10" s="7" t="s">
        <v>375</v>
      </c>
      <c r="D10" s="7" t="s">
        <v>61</v>
      </c>
      <c r="E10" s="7"/>
      <c r="F10" s="7"/>
      <c r="G10" s="7"/>
      <c r="H10" s="7"/>
      <c r="I10" s="7"/>
      <c r="J10" s="77">
        <v>0.05</v>
      </c>
      <c r="K10" s="77">
        <v>0.05</v>
      </c>
      <c r="L10" s="77">
        <v>0.05</v>
      </c>
      <c r="M10" s="77">
        <v>0.06</v>
      </c>
      <c r="N10" s="77">
        <v>0.06</v>
      </c>
      <c r="O10" s="77">
        <v>5.7000000000000002E-2</v>
      </c>
      <c r="P10" s="77">
        <v>5.7000000000000002E-2</v>
      </c>
      <c r="Q10" s="77">
        <v>5.7000000000000002E-2</v>
      </c>
      <c r="R10" s="77">
        <v>5.7000000000000002E-2</v>
      </c>
      <c r="S10" s="77">
        <v>0.05</v>
      </c>
      <c r="T10" s="77">
        <v>0.05</v>
      </c>
      <c r="U10" s="77">
        <v>0.05</v>
      </c>
      <c r="V10" s="77">
        <v>0.05</v>
      </c>
      <c r="W10" s="77">
        <v>0.05</v>
      </c>
      <c r="X10" s="77">
        <v>0.05</v>
      </c>
      <c r="Y10" s="77">
        <v>0.06</v>
      </c>
      <c r="Z10" s="77">
        <v>0.06</v>
      </c>
      <c r="AA10" s="77">
        <v>5.7000000000000002E-2</v>
      </c>
      <c r="AB10" s="77">
        <v>5.7000000000000002E-2</v>
      </c>
      <c r="AC10" s="77">
        <v>5.7000000000000002E-2</v>
      </c>
      <c r="AD10" s="77">
        <v>5.7000000000000002E-2</v>
      </c>
      <c r="AE10" s="77">
        <v>0.05</v>
      </c>
      <c r="AF10" s="77">
        <v>0.05</v>
      </c>
      <c r="AG10" s="77">
        <v>0.05</v>
      </c>
      <c r="AH10" s="7"/>
      <c r="AI10" s="182">
        <f t="shared" si="5"/>
        <v>8.2099999999999991</v>
      </c>
      <c r="AJ10" s="182">
        <f t="shared" si="6"/>
        <v>19.700000000000003</v>
      </c>
      <c r="AK10" s="182">
        <f t="shared" ref="AK10:AT10" si="9">AJ10</f>
        <v>19.700000000000003</v>
      </c>
      <c r="AL10" s="182">
        <f t="shared" si="9"/>
        <v>19.700000000000003</v>
      </c>
      <c r="AM10" s="182">
        <f t="shared" si="9"/>
        <v>19.700000000000003</v>
      </c>
      <c r="AN10" s="182">
        <f t="shared" si="9"/>
        <v>19.700000000000003</v>
      </c>
      <c r="AO10" s="182">
        <f t="shared" si="9"/>
        <v>19.700000000000003</v>
      </c>
      <c r="AP10" s="182">
        <f t="shared" si="9"/>
        <v>19.700000000000003</v>
      </c>
      <c r="AQ10" s="182">
        <f t="shared" si="9"/>
        <v>19.700000000000003</v>
      </c>
      <c r="AR10" s="182">
        <f t="shared" si="9"/>
        <v>19.700000000000003</v>
      </c>
      <c r="AS10" s="182">
        <f t="shared" si="9"/>
        <v>19.700000000000003</v>
      </c>
      <c r="AT10" s="182">
        <f t="shared" si="9"/>
        <v>19.700000000000003</v>
      </c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</row>
    <row r="11" spans="1:69" ht="13.5" customHeight="1" x14ac:dyDescent="0.3">
      <c r="A11" s="7"/>
      <c r="C11" s="7" t="s">
        <v>376</v>
      </c>
      <c r="D11" s="7" t="s">
        <v>61</v>
      </c>
      <c r="E11" s="7"/>
      <c r="F11" s="7"/>
      <c r="G11" s="7"/>
      <c r="H11" s="7"/>
      <c r="I11" s="7"/>
      <c r="J11" s="182">
        <v>0</v>
      </c>
      <c r="K11" s="182">
        <v>0</v>
      </c>
      <c r="L11" s="182">
        <v>0</v>
      </c>
      <c r="M11" s="182">
        <v>8</v>
      </c>
      <c r="N11" s="182">
        <v>8</v>
      </c>
      <c r="O11" s="182">
        <v>6</v>
      </c>
      <c r="P11" s="182">
        <v>6</v>
      </c>
      <c r="Q11" s="182">
        <v>6</v>
      </c>
      <c r="R11" s="182">
        <v>6</v>
      </c>
      <c r="S11" s="182">
        <v>0</v>
      </c>
      <c r="T11" s="182">
        <v>0</v>
      </c>
      <c r="U11" s="182">
        <v>0</v>
      </c>
      <c r="V11" s="182">
        <v>0</v>
      </c>
      <c r="W11" s="182">
        <v>0</v>
      </c>
      <c r="X11" s="182">
        <v>0</v>
      </c>
      <c r="Y11" s="182">
        <v>8</v>
      </c>
      <c r="Z11" s="182">
        <v>8</v>
      </c>
      <c r="AA11" s="182">
        <v>6</v>
      </c>
      <c r="AB11" s="182">
        <v>6</v>
      </c>
      <c r="AC11" s="182">
        <v>6</v>
      </c>
      <c r="AD11" s="182">
        <v>6</v>
      </c>
      <c r="AE11" s="182">
        <v>0</v>
      </c>
      <c r="AF11" s="182">
        <v>0</v>
      </c>
      <c r="AG11" s="182">
        <v>0</v>
      </c>
      <c r="AH11" s="7"/>
      <c r="AI11" s="182">
        <f>SUMPRODUCT(J11:N11,J$4:N$4)</f>
        <v>488</v>
      </c>
      <c r="AJ11" s="182">
        <f t="shared" si="6"/>
        <v>1208</v>
      </c>
      <c r="AK11" s="182">
        <f t="shared" ref="AK11:AT11" si="10">AJ11</f>
        <v>1208</v>
      </c>
      <c r="AL11" s="182">
        <f t="shared" si="10"/>
        <v>1208</v>
      </c>
      <c r="AM11" s="182">
        <f t="shared" si="10"/>
        <v>1208</v>
      </c>
      <c r="AN11" s="182">
        <f t="shared" si="10"/>
        <v>1208</v>
      </c>
      <c r="AO11" s="182">
        <f t="shared" si="10"/>
        <v>1208</v>
      </c>
      <c r="AP11" s="182">
        <f t="shared" si="10"/>
        <v>1208</v>
      </c>
      <c r="AQ11" s="182">
        <f t="shared" si="10"/>
        <v>1208</v>
      </c>
      <c r="AR11" s="182">
        <f t="shared" si="10"/>
        <v>1208</v>
      </c>
      <c r="AS11" s="182">
        <f t="shared" si="10"/>
        <v>1208</v>
      </c>
      <c r="AT11" s="182">
        <f t="shared" si="10"/>
        <v>1208</v>
      </c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</row>
    <row r="12" spans="1:69" ht="13.5" customHeight="1" x14ac:dyDescent="0.3">
      <c r="A12" s="7"/>
      <c r="B12" s="369"/>
      <c r="C12" s="363" t="s">
        <v>390</v>
      </c>
      <c r="D12" s="7" t="s">
        <v>61</v>
      </c>
      <c r="E12" s="7"/>
      <c r="F12" s="7"/>
      <c r="G12" s="7"/>
      <c r="H12" s="7"/>
      <c r="I12" s="7"/>
      <c r="J12" s="182">
        <v>0</v>
      </c>
      <c r="K12" s="182">
        <v>0</v>
      </c>
      <c r="L12" s="182">
        <v>0</v>
      </c>
      <c r="M12" s="182">
        <v>2</v>
      </c>
      <c r="N12" s="182">
        <v>2</v>
      </c>
      <c r="O12" s="182">
        <v>2</v>
      </c>
      <c r="P12" s="182">
        <v>2</v>
      </c>
      <c r="Q12" s="182">
        <v>2</v>
      </c>
      <c r="R12" s="182">
        <v>2</v>
      </c>
      <c r="S12" s="182">
        <v>0</v>
      </c>
      <c r="T12" s="182">
        <v>0</v>
      </c>
      <c r="U12" s="182">
        <v>0</v>
      </c>
      <c r="V12" s="182">
        <v>0</v>
      </c>
      <c r="W12" s="182">
        <v>0</v>
      </c>
      <c r="X12" s="182">
        <v>0</v>
      </c>
      <c r="Y12" s="182">
        <v>2</v>
      </c>
      <c r="Z12" s="182">
        <v>2</v>
      </c>
      <c r="AA12" s="182">
        <v>2</v>
      </c>
      <c r="AB12" s="182">
        <v>2</v>
      </c>
      <c r="AC12" s="182">
        <v>2</v>
      </c>
      <c r="AD12" s="182">
        <v>2</v>
      </c>
      <c r="AE12" s="182">
        <v>0</v>
      </c>
      <c r="AF12" s="182">
        <v>0</v>
      </c>
      <c r="AG12" s="182">
        <v>0</v>
      </c>
      <c r="AH12" s="7"/>
      <c r="AI12" s="182">
        <f t="shared" si="5"/>
        <v>122</v>
      </c>
      <c r="AJ12" s="182">
        <f t="shared" si="6"/>
        <v>362</v>
      </c>
      <c r="AK12" s="182">
        <f t="shared" ref="AK12:AT12" si="11">AJ12</f>
        <v>362</v>
      </c>
      <c r="AL12" s="182">
        <f t="shared" si="11"/>
        <v>362</v>
      </c>
      <c r="AM12" s="182">
        <f t="shared" si="11"/>
        <v>362</v>
      </c>
      <c r="AN12" s="182">
        <f t="shared" si="11"/>
        <v>362</v>
      </c>
      <c r="AO12" s="182">
        <f t="shared" si="11"/>
        <v>362</v>
      </c>
      <c r="AP12" s="182">
        <f t="shared" si="11"/>
        <v>362</v>
      </c>
      <c r="AQ12" s="182">
        <f t="shared" si="11"/>
        <v>362</v>
      </c>
      <c r="AR12" s="182">
        <f t="shared" si="11"/>
        <v>362</v>
      </c>
      <c r="AS12" s="182">
        <f t="shared" si="11"/>
        <v>362</v>
      </c>
      <c r="AT12" s="182">
        <f t="shared" si="11"/>
        <v>362</v>
      </c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</row>
    <row r="13" spans="1:69" ht="13.5" customHeight="1" x14ac:dyDescent="0.3">
      <c r="A13" s="7"/>
      <c r="C13" s="7" t="s">
        <v>751</v>
      </c>
      <c r="D13" s="7" t="s">
        <v>61</v>
      </c>
      <c r="E13" s="7"/>
      <c r="F13" s="7"/>
      <c r="G13" s="7"/>
      <c r="H13" s="7"/>
      <c r="I13" s="7"/>
      <c r="J13" s="182">
        <v>0</v>
      </c>
      <c r="K13" s="182">
        <v>0</v>
      </c>
      <c r="L13" s="182">
        <v>0</v>
      </c>
      <c r="M13" s="182">
        <v>1</v>
      </c>
      <c r="N13" s="182">
        <v>1</v>
      </c>
      <c r="O13" s="182">
        <v>1</v>
      </c>
      <c r="P13" s="182">
        <v>1</v>
      </c>
      <c r="Q13" s="182">
        <v>1</v>
      </c>
      <c r="R13" s="182">
        <v>1</v>
      </c>
      <c r="S13" s="182">
        <v>0</v>
      </c>
      <c r="T13" s="182">
        <v>0</v>
      </c>
      <c r="U13" s="182">
        <v>0</v>
      </c>
      <c r="V13" s="182">
        <v>0</v>
      </c>
      <c r="W13" s="182">
        <v>0</v>
      </c>
      <c r="X13" s="182">
        <v>0</v>
      </c>
      <c r="Y13" s="182">
        <v>1</v>
      </c>
      <c r="Z13" s="182">
        <v>1</v>
      </c>
      <c r="AA13" s="182">
        <v>1</v>
      </c>
      <c r="AB13" s="182">
        <v>1</v>
      </c>
      <c r="AC13" s="182">
        <v>1</v>
      </c>
      <c r="AD13" s="182">
        <v>1</v>
      </c>
      <c r="AE13" s="182">
        <v>0</v>
      </c>
      <c r="AF13" s="182">
        <v>0</v>
      </c>
      <c r="AG13" s="182">
        <v>0</v>
      </c>
      <c r="AH13" s="7"/>
      <c r="AI13" s="182">
        <f t="shared" si="5"/>
        <v>61</v>
      </c>
      <c r="AJ13" s="182">
        <f t="shared" si="6"/>
        <v>181</v>
      </c>
      <c r="AK13" s="182">
        <f t="shared" ref="AK13:AT13" si="12">AJ13</f>
        <v>181</v>
      </c>
      <c r="AL13" s="182">
        <f t="shared" si="12"/>
        <v>181</v>
      </c>
      <c r="AM13" s="182">
        <f t="shared" si="12"/>
        <v>181</v>
      </c>
      <c r="AN13" s="182">
        <f t="shared" si="12"/>
        <v>181</v>
      </c>
      <c r="AO13" s="182">
        <f t="shared" si="12"/>
        <v>181</v>
      </c>
      <c r="AP13" s="182">
        <f t="shared" si="12"/>
        <v>181</v>
      </c>
      <c r="AQ13" s="182">
        <f t="shared" si="12"/>
        <v>181</v>
      </c>
      <c r="AR13" s="182">
        <f t="shared" si="12"/>
        <v>181</v>
      </c>
      <c r="AS13" s="182">
        <f t="shared" si="12"/>
        <v>181</v>
      </c>
      <c r="AT13" s="182">
        <f t="shared" si="12"/>
        <v>181</v>
      </c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</row>
    <row r="14" spans="1:69" ht="13.5" customHeight="1" x14ac:dyDescent="0.3">
      <c r="A14" s="7"/>
      <c r="C14" s="7" t="s">
        <v>753</v>
      </c>
      <c r="D14" s="7" t="s">
        <v>61</v>
      </c>
      <c r="E14" s="7"/>
      <c r="F14" s="7"/>
      <c r="G14" s="7"/>
      <c r="H14" s="7"/>
      <c r="I14" s="7"/>
      <c r="J14" s="182">
        <v>0</v>
      </c>
      <c r="K14" s="182">
        <v>0</v>
      </c>
      <c r="L14" s="182">
        <v>0</v>
      </c>
      <c r="M14" s="77">
        <v>0.04</v>
      </c>
      <c r="N14" s="77">
        <v>0.04</v>
      </c>
      <c r="O14" s="77">
        <v>0.03</v>
      </c>
      <c r="P14" s="77">
        <v>0.03</v>
      </c>
      <c r="Q14" s="77">
        <v>0.03</v>
      </c>
      <c r="R14" s="77">
        <v>0.03</v>
      </c>
      <c r="S14" s="182">
        <v>0</v>
      </c>
      <c r="T14" s="182">
        <v>0</v>
      </c>
      <c r="U14" s="182">
        <v>0</v>
      </c>
      <c r="V14" s="182">
        <v>0</v>
      </c>
      <c r="W14" s="182">
        <v>0</v>
      </c>
      <c r="X14" s="182">
        <v>0</v>
      </c>
      <c r="Y14" s="77">
        <v>0.04</v>
      </c>
      <c r="Z14" s="77">
        <v>0.04</v>
      </c>
      <c r="AA14" s="77">
        <v>0.03</v>
      </c>
      <c r="AB14" s="77">
        <v>0.03</v>
      </c>
      <c r="AC14" s="77">
        <v>0.03</v>
      </c>
      <c r="AD14" s="77">
        <v>0.03</v>
      </c>
      <c r="AE14" s="182">
        <v>0</v>
      </c>
      <c r="AF14" s="182">
        <v>0</v>
      </c>
      <c r="AG14" s="182">
        <v>0</v>
      </c>
      <c r="AH14" s="7"/>
      <c r="AI14" s="182">
        <f t="shared" si="5"/>
        <v>2.44</v>
      </c>
      <c r="AJ14" s="182">
        <f t="shared" si="6"/>
        <v>6.04</v>
      </c>
      <c r="AK14" s="182">
        <f t="shared" ref="AK14:AT14" si="13">AJ14</f>
        <v>6.04</v>
      </c>
      <c r="AL14" s="182">
        <f t="shared" si="13"/>
        <v>6.04</v>
      </c>
      <c r="AM14" s="182">
        <f t="shared" si="13"/>
        <v>6.04</v>
      </c>
      <c r="AN14" s="182">
        <f t="shared" si="13"/>
        <v>6.04</v>
      </c>
      <c r="AO14" s="182">
        <f t="shared" si="13"/>
        <v>6.04</v>
      </c>
      <c r="AP14" s="182">
        <f t="shared" si="13"/>
        <v>6.04</v>
      </c>
      <c r="AQ14" s="182">
        <f t="shared" si="13"/>
        <v>6.04</v>
      </c>
      <c r="AR14" s="182">
        <f t="shared" si="13"/>
        <v>6.04</v>
      </c>
      <c r="AS14" s="182">
        <f t="shared" si="13"/>
        <v>6.04</v>
      </c>
      <c r="AT14" s="182">
        <f t="shared" si="13"/>
        <v>6.04</v>
      </c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</row>
    <row r="15" spans="1:69" ht="13.5" customHeight="1" x14ac:dyDescent="0.3">
      <c r="A15" s="7"/>
      <c r="C15" s="7" t="s">
        <v>754</v>
      </c>
      <c r="D15" s="7" t="s">
        <v>61</v>
      </c>
      <c r="E15" s="7"/>
      <c r="F15" s="7"/>
      <c r="G15" s="7"/>
      <c r="H15" s="7"/>
      <c r="I15" s="7"/>
      <c r="J15" s="182">
        <v>0</v>
      </c>
      <c r="K15" s="182">
        <v>0</v>
      </c>
      <c r="L15" s="182">
        <v>0</v>
      </c>
      <c r="M15" s="77">
        <v>4.4999999999999998E-2</v>
      </c>
      <c r="N15" s="77">
        <v>4.4999999999999998E-2</v>
      </c>
      <c r="O15" s="77">
        <v>5.5E-2</v>
      </c>
      <c r="P15" s="77">
        <v>5.5E-2</v>
      </c>
      <c r="Q15" s="77">
        <v>5.5E-2</v>
      </c>
      <c r="R15" s="77">
        <v>5.5E-2</v>
      </c>
      <c r="S15" s="182">
        <v>0</v>
      </c>
      <c r="T15" s="182">
        <v>0</v>
      </c>
      <c r="U15" s="182">
        <v>0</v>
      </c>
      <c r="V15" s="182">
        <v>0</v>
      </c>
      <c r="W15" s="182">
        <v>0</v>
      </c>
      <c r="X15" s="182">
        <v>0</v>
      </c>
      <c r="Y15" s="77">
        <v>4.4999999999999998E-2</v>
      </c>
      <c r="Z15" s="77">
        <v>4.4999999999999998E-2</v>
      </c>
      <c r="AA15" s="77">
        <v>5.5E-2</v>
      </c>
      <c r="AB15" s="77">
        <v>5.5E-2</v>
      </c>
      <c r="AC15" s="77">
        <v>5.5E-2</v>
      </c>
      <c r="AD15" s="77">
        <v>5.5E-2</v>
      </c>
      <c r="AE15" s="182">
        <v>0</v>
      </c>
      <c r="AF15" s="182">
        <v>0</v>
      </c>
      <c r="AG15" s="182">
        <v>0</v>
      </c>
      <c r="AH15" s="7"/>
      <c r="AI15" s="182">
        <f t="shared" si="5"/>
        <v>2.7450000000000001</v>
      </c>
      <c r="AJ15" s="182">
        <f t="shared" si="6"/>
        <v>9.3449999999999989</v>
      </c>
      <c r="AK15" s="182">
        <f t="shared" ref="AK15:AT15" si="14">AJ15</f>
        <v>9.3449999999999989</v>
      </c>
      <c r="AL15" s="182">
        <f t="shared" si="14"/>
        <v>9.3449999999999989</v>
      </c>
      <c r="AM15" s="182">
        <f t="shared" si="14"/>
        <v>9.3449999999999989</v>
      </c>
      <c r="AN15" s="182">
        <f t="shared" si="14"/>
        <v>9.3449999999999989</v>
      </c>
      <c r="AO15" s="182">
        <f t="shared" si="14"/>
        <v>9.3449999999999989</v>
      </c>
      <c r="AP15" s="182">
        <f t="shared" si="14"/>
        <v>9.3449999999999989</v>
      </c>
      <c r="AQ15" s="182">
        <f t="shared" si="14"/>
        <v>9.3449999999999989</v>
      </c>
      <c r="AR15" s="182">
        <f t="shared" si="14"/>
        <v>9.3449999999999989</v>
      </c>
      <c r="AS15" s="182">
        <f t="shared" si="14"/>
        <v>9.3449999999999989</v>
      </c>
      <c r="AT15" s="182">
        <f t="shared" si="14"/>
        <v>9.3449999999999989</v>
      </c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</row>
    <row r="16" spans="1:69" ht="13.5" customHeight="1" x14ac:dyDescent="0.3">
      <c r="A16" s="7"/>
      <c r="C16" s="7"/>
      <c r="D16" s="7"/>
      <c r="E16" s="7"/>
      <c r="F16" s="7"/>
      <c r="G16" s="7"/>
      <c r="H16" s="7"/>
      <c r="I16" s="7"/>
      <c r="J16" s="183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</row>
    <row r="17" spans="1:69" ht="13.5" customHeight="1" x14ac:dyDescent="0.3">
      <c r="A17" s="7"/>
      <c r="B17" s="5" t="s">
        <v>381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</row>
    <row r="18" spans="1:69" ht="13.5" customHeight="1" x14ac:dyDescent="0.3">
      <c r="A18" s="7"/>
      <c r="C18" s="7" t="s">
        <v>373</v>
      </c>
      <c r="D18" s="7" t="s">
        <v>61</v>
      </c>
      <c r="E18" s="7"/>
      <c r="F18" s="7"/>
      <c r="G18" s="7"/>
      <c r="H18" s="7"/>
      <c r="I18" s="7"/>
      <c r="J18" s="182"/>
      <c r="K18" s="182"/>
      <c r="L18" s="182"/>
      <c r="M18" s="182"/>
      <c r="N18" s="182"/>
      <c r="O18" s="182"/>
      <c r="P18" s="182"/>
      <c r="Q18" s="182"/>
      <c r="R18" s="182">
        <v>0</v>
      </c>
      <c r="S18" s="182">
        <v>32</v>
      </c>
      <c r="T18" s="182">
        <v>32</v>
      </c>
      <c r="U18" s="182">
        <v>32</v>
      </c>
      <c r="V18" s="182">
        <v>32</v>
      </c>
      <c r="W18" s="182">
        <v>32</v>
      </c>
      <c r="X18" s="182">
        <v>32</v>
      </c>
      <c r="Y18" s="182">
        <v>0</v>
      </c>
      <c r="Z18" s="182">
        <v>0</v>
      </c>
      <c r="AA18" s="182">
        <v>0</v>
      </c>
      <c r="AB18" s="182">
        <v>0</v>
      </c>
      <c r="AC18" s="182">
        <v>0</v>
      </c>
      <c r="AD18" s="182">
        <v>0</v>
      </c>
      <c r="AE18" s="182">
        <v>32</v>
      </c>
      <c r="AF18" s="182">
        <v>32</v>
      </c>
      <c r="AG18" s="182">
        <v>32</v>
      </c>
      <c r="AH18" s="7"/>
      <c r="AI18" s="182">
        <f t="shared" ref="AI18:AI25" si="15">SUMPRODUCT(J18:N18,J$4:N$4)</f>
        <v>0</v>
      </c>
      <c r="AJ18" s="182">
        <f t="shared" ref="AJ18:AJ25" si="16">SUMPRODUCT(O18:Z18,O$4:Z$4)</f>
        <v>5888</v>
      </c>
      <c r="AK18" s="182">
        <f t="shared" ref="AK18:AT18" si="17">AJ18</f>
        <v>5888</v>
      </c>
      <c r="AL18" s="182">
        <f t="shared" si="17"/>
        <v>5888</v>
      </c>
      <c r="AM18" s="182">
        <f t="shared" si="17"/>
        <v>5888</v>
      </c>
      <c r="AN18" s="182">
        <f t="shared" si="17"/>
        <v>5888</v>
      </c>
      <c r="AO18" s="182">
        <f t="shared" si="17"/>
        <v>5888</v>
      </c>
      <c r="AP18" s="182">
        <f t="shared" si="17"/>
        <v>5888</v>
      </c>
      <c r="AQ18" s="182">
        <f t="shared" si="17"/>
        <v>5888</v>
      </c>
      <c r="AR18" s="182">
        <f t="shared" si="17"/>
        <v>5888</v>
      </c>
      <c r="AS18" s="182">
        <f t="shared" si="17"/>
        <v>5888</v>
      </c>
      <c r="AT18" s="182">
        <f t="shared" si="17"/>
        <v>5888</v>
      </c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</row>
    <row r="19" spans="1:69" ht="13.5" customHeight="1" x14ac:dyDescent="0.3">
      <c r="A19" s="7"/>
      <c r="C19" s="7" t="s">
        <v>374</v>
      </c>
      <c r="D19" s="7" t="s">
        <v>61</v>
      </c>
      <c r="E19" s="7"/>
      <c r="F19" s="7"/>
      <c r="G19" s="7"/>
      <c r="H19" s="7"/>
      <c r="I19" s="7"/>
      <c r="J19" s="182"/>
      <c r="K19" s="182"/>
      <c r="L19" s="182"/>
      <c r="M19" s="182"/>
      <c r="N19" s="182"/>
      <c r="O19" s="182"/>
      <c r="P19" s="182"/>
      <c r="Q19" s="182"/>
      <c r="R19" s="182">
        <v>2</v>
      </c>
      <c r="S19" s="182">
        <v>0</v>
      </c>
      <c r="T19" s="182">
        <v>0</v>
      </c>
      <c r="U19" s="182">
        <v>0</v>
      </c>
      <c r="V19" s="182">
        <v>0</v>
      </c>
      <c r="W19" s="182">
        <v>0</v>
      </c>
      <c r="X19" s="182">
        <v>0</v>
      </c>
      <c r="Y19" s="182">
        <v>2</v>
      </c>
      <c r="Z19" s="182">
        <v>2</v>
      </c>
      <c r="AA19" s="182">
        <v>2</v>
      </c>
      <c r="AB19" s="182">
        <v>2</v>
      </c>
      <c r="AC19" s="182">
        <v>2</v>
      </c>
      <c r="AD19" s="182">
        <v>2</v>
      </c>
      <c r="AE19" s="182">
        <v>0</v>
      </c>
      <c r="AF19" s="182">
        <v>0</v>
      </c>
      <c r="AG19" s="182">
        <v>0</v>
      </c>
      <c r="AH19" s="7"/>
      <c r="AI19" s="182">
        <f t="shared" si="15"/>
        <v>0</v>
      </c>
      <c r="AJ19" s="182">
        <f t="shared" si="16"/>
        <v>182</v>
      </c>
      <c r="AK19" s="182">
        <f t="shared" ref="AK19:AT19" si="18">AJ19</f>
        <v>182</v>
      </c>
      <c r="AL19" s="182">
        <f t="shared" si="18"/>
        <v>182</v>
      </c>
      <c r="AM19" s="182">
        <f t="shared" si="18"/>
        <v>182</v>
      </c>
      <c r="AN19" s="182">
        <f t="shared" si="18"/>
        <v>182</v>
      </c>
      <c r="AO19" s="182">
        <f t="shared" si="18"/>
        <v>182</v>
      </c>
      <c r="AP19" s="182">
        <f t="shared" si="18"/>
        <v>182</v>
      </c>
      <c r="AQ19" s="182">
        <f t="shared" si="18"/>
        <v>182</v>
      </c>
      <c r="AR19" s="182">
        <f t="shared" si="18"/>
        <v>182</v>
      </c>
      <c r="AS19" s="182">
        <f t="shared" si="18"/>
        <v>182</v>
      </c>
      <c r="AT19" s="182">
        <f t="shared" si="18"/>
        <v>182</v>
      </c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</row>
    <row r="20" spans="1:69" ht="13.5" customHeight="1" x14ac:dyDescent="0.3">
      <c r="A20" s="7"/>
      <c r="C20" s="7" t="s">
        <v>375</v>
      </c>
      <c r="D20" s="7" t="s">
        <v>61</v>
      </c>
      <c r="E20" s="7"/>
      <c r="F20" s="7"/>
      <c r="G20" s="7"/>
      <c r="H20" s="7"/>
      <c r="I20" s="7"/>
      <c r="J20" s="77"/>
      <c r="K20" s="77"/>
      <c r="L20" s="77"/>
      <c r="M20" s="77"/>
      <c r="N20" s="77"/>
      <c r="O20" s="77"/>
      <c r="P20" s="77"/>
      <c r="Q20" s="77"/>
      <c r="R20" s="77">
        <v>5.7000000000000002E-2</v>
      </c>
      <c r="S20" s="77">
        <v>0.05</v>
      </c>
      <c r="T20" s="77">
        <v>0.05</v>
      </c>
      <c r="U20" s="77">
        <v>0.05</v>
      </c>
      <c r="V20" s="77">
        <v>0.05</v>
      </c>
      <c r="W20" s="77">
        <v>0.05</v>
      </c>
      <c r="X20" s="77">
        <v>0.05</v>
      </c>
      <c r="Y20" s="77">
        <v>0.06</v>
      </c>
      <c r="Z20" s="77">
        <v>0.06</v>
      </c>
      <c r="AA20" s="77">
        <v>5.7000000000000002E-2</v>
      </c>
      <c r="AB20" s="77">
        <v>5.7000000000000002E-2</v>
      </c>
      <c r="AC20" s="77">
        <v>5.7000000000000002E-2</v>
      </c>
      <c r="AD20" s="77">
        <v>5.7000000000000002E-2</v>
      </c>
      <c r="AE20" s="77">
        <v>0.05</v>
      </c>
      <c r="AF20" s="77">
        <v>0.05</v>
      </c>
      <c r="AG20" s="77">
        <v>0.05</v>
      </c>
      <c r="AH20" s="7"/>
      <c r="AI20" s="182">
        <f t="shared" si="15"/>
        <v>0</v>
      </c>
      <c r="AJ20" s="182">
        <f t="shared" si="16"/>
        <v>14.57</v>
      </c>
      <c r="AK20" s="182">
        <f t="shared" ref="AK20:AT20" si="19">AJ20</f>
        <v>14.57</v>
      </c>
      <c r="AL20" s="182">
        <f t="shared" si="19"/>
        <v>14.57</v>
      </c>
      <c r="AM20" s="182">
        <f t="shared" si="19"/>
        <v>14.57</v>
      </c>
      <c r="AN20" s="182">
        <f t="shared" si="19"/>
        <v>14.57</v>
      </c>
      <c r="AO20" s="182">
        <f t="shared" si="19"/>
        <v>14.57</v>
      </c>
      <c r="AP20" s="182">
        <f t="shared" si="19"/>
        <v>14.57</v>
      </c>
      <c r="AQ20" s="182">
        <f t="shared" si="19"/>
        <v>14.57</v>
      </c>
      <c r="AR20" s="182">
        <f t="shared" si="19"/>
        <v>14.57</v>
      </c>
      <c r="AS20" s="182">
        <f t="shared" si="19"/>
        <v>14.57</v>
      </c>
      <c r="AT20" s="182">
        <f t="shared" si="19"/>
        <v>14.57</v>
      </c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</row>
    <row r="21" spans="1:69" ht="13.5" customHeight="1" x14ac:dyDescent="0.3">
      <c r="A21" s="7"/>
      <c r="C21" s="7" t="s">
        <v>376</v>
      </c>
      <c r="D21" s="7" t="s">
        <v>61</v>
      </c>
      <c r="E21" s="7"/>
      <c r="F21" s="7"/>
      <c r="G21" s="7"/>
      <c r="H21" s="7"/>
      <c r="I21" s="7"/>
      <c r="J21" s="182"/>
      <c r="K21" s="182"/>
      <c r="L21" s="182"/>
      <c r="M21" s="182"/>
      <c r="N21" s="182"/>
      <c r="O21" s="182"/>
      <c r="P21" s="182"/>
      <c r="Q21" s="182"/>
      <c r="R21" s="182">
        <v>7</v>
      </c>
      <c r="S21" s="182">
        <v>0</v>
      </c>
      <c r="T21" s="182">
        <v>0</v>
      </c>
      <c r="U21" s="182">
        <v>0</v>
      </c>
      <c r="V21" s="182">
        <v>0</v>
      </c>
      <c r="W21" s="182">
        <v>0</v>
      </c>
      <c r="X21" s="182">
        <v>0</v>
      </c>
      <c r="Y21" s="182">
        <v>8</v>
      </c>
      <c r="Z21" s="182">
        <v>8</v>
      </c>
      <c r="AA21" s="182">
        <v>7</v>
      </c>
      <c r="AB21" s="182">
        <v>7</v>
      </c>
      <c r="AC21" s="182">
        <v>7</v>
      </c>
      <c r="AD21" s="182">
        <v>7</v>
      </c>
      <c r="AE21" s="182">
        <v>0</v>
      </c>
      <c r="AF21" s="182">
        <v>0</v>
      </c>
      <c r="AG21" s="182">
        <v>0</v>
      </c>
      <c r="AH21" s="7"/>
      <c r="AI21" s="182">
        <f t="shared" si="15"/>
        <v>0</v>
      </c>
      <c r="AJ21" s="182">
        <f t="shared" si="16"/>
        <v>698</v>
      </c>
      <c r="AK21" s="182">
        <f t="shared" ref="AK21:AT21" si="20">AJ21</f>
        <v>698</v>
      </c>
      <c r="AL21" s="182">
        <f t="shared" si="20"/>
        <v>698</v>
      </c>
      <c r="AM21" s="182">
        <f t="shared" si="20"/>
        <v>698</v>
      </c>
      <c r="AN21" s="182">
        <f t="shared" si="20"/>
        <v>698</v>
      </c>
      <c r="AO21" s="182">
        <f t="shared" si="20"/>
        <v>698</v>
      </c>
      <c r="AP21" s="182">
        <f t="shared" si="20"/>
        <v>698</v>
      </c>
      <c r="AQ21" s="182">
        <f t="shared" si="20"/>
        <v>698</v>
      </c>
      <c r="AR21" s="182">
        <f t="shared" si="20"/>
        <v>698</v>
      </c>
      <c r="AS21" s="182">
        <f t="shared" si="20"/>
        <v>698</v>
      </c>
      <c r="AT21" s="182">
        <f t="shared" si="20"/>
        <v>698</v>
      </c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</row>
    <row r="22" spans="1:69" ht="13.5" customHeight="1" x14ac:dyDescent="0.3">
      <c r="A22" s="7"/>
      <c r="C22" s="363" t="s">
        <v>390</v>
      </c>
      <c r="D22" s="7" t="s">
        <v>61</v>
      </c>
      <c r="E22" s="7"/>
      <c r="F22" s="7"/>
      <c r="G22" s="7"/>
      <c r="H22" s="7"/>
      <c r="I22" s="7"/>
      <c r="J22" s="182"/>
      <c r="K22" s="182"/>
      <c r="L22" s="182"/>
      <c r="M22" s="182"/>
      <c r="N22" s="182"/>
      <c r="O22" s="182"/>
      <c r="P22" s="182"/>
      <c r="Q22" s="182"/>
      <c r="R22" s="182">
        <v>2</v>
      </c>
      <c r="S22" s="182">
        <v>0</v>
      </c>
      <c r="T22" s="182">
        <v>0</v>
      </c>
      <c r="U22" s="182">
        <v>0</v>
      </c>
      <c r="V22" s="182">
        <v>0</v>
      </c>
      <c r="W22" s="182">
        <v>0</v>
      </c>
      <c r="X22" s="182">
        <v>0</v>
      </c>
      <c r="Y22" s="182">
        <v>2</v>
      </c>
      <c r="Z22" s="182">
        <v>2</v>
      </c>
      <c r="AA22" s="182">
        <v>2</v>
      </c>
      <c r="AB22" s="182">
        <v>2</v>
      </c>
      <c r="AC22" s="182">
        <v>2</v>
      </c>
      <c r="AD22" s="182">
        <v>2</v>
      </c>
      <c r="AE22" s="182">
        <v>0</v>
      </c>
      <c r="AF22" s="182">
        <v>0</v>
      </c>
      <c r="AG22" s="182">
        <v>0</v>
      </c>
      <c r="AH22" s="7"/>
      <c r="AI22" s="182">
        <f t="shared" si="15"/>
        <v>0</v>
      </c>
      <c r="AJ22" s="182">
        <f t="shared" si="16"/>
        <v>182</v>
      </c>
      <c r="AK22" s="182">
        <f t="shared" ref="AK22:AT22" si="21">AJ22</f>
        <v>182</v>
      </c>
      <c r="AL22" s="182">
        <f t="shared" si="21"/>
        <v>182</v>
      </c>
      <c r="AM22" s="182">
        <f t="shared" si="21"/>
        <v>182</v>
      </c>
      <c r="AN22" s="182">
        <f t="shared" si="21"/>
        <v>182</v>
      </c>
      <c r="AO22" s="182">
        <f t="shared" si="21"/>
        <v>182</v>
      </c>
      <c r="AP22" s="182">
        <f t="shared" si="21"/>
        <v>182</v>
      </c>
      <c r="AQ22" s="182">
        <f t="shared" si="21"/>
        <v>182</v>
      </c>
      <c r="AR22" s="182">
        <f t="shared" si="21"/>
        <v>182</v>
      </c>
      <c r="AS22" s="182">
        <f t="shared" si="21"/>
        <v>182</v>
      </c>
      <c r="AT22" s="182">
        <f t="shared" si="21"/>
        <v>182</v>
      </c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</row>
    <row r="23" spans="1:69" ht="13.5" customHeight="1" x14ac:dyDescent="0.3">
      <c r="A23" s="7"/>
      <c r="C23" s="7" t="s">
        <v>751</v>
      </c>
      <c r="D23" s="7" t="s">
        <v>61</v>
      </c>
      <c r="E23" s="7"/>
      <c r="F23" s="7"/>
      <c r="G23" s="7"/>
      <c r="H23" s="7"/>
      <c r="I23" s="7"/>
      <c r="J23" s="182"/>
      <c r="K23" s="182"/>
      <c r="L23" s="182"/>
      <c r="M23" s="182"/>
      <c r="N23" s="182"/>
      <c r="O23" s="182"/>
      <c r="P23" s="182"/>
      <c r="Q23" s="182"/>
      <c r="R23" s="182">
        <v>1</v>
      </c>
      <c r="S23" s="182">
        <v>0</v>
      </c>
      <c r="T23" s="182">
        <v>0</v>
      </c>
      <c r="U23" s="182">
        <v>0</v>
      </c>
      <c r="V23" s="182">
        <v>0</v>
      </c>
      <c r="W23" s="182">
        <v>0</v>
      </c>
      <c r="X23" s="182">
        <v>0</v>
      </c>
      <c r="Y23" s="182">
        <v>1</v>
      </c>
      <c r="Z23" s="182">
        <v>1</v>
      </c>
      <c r="AA23" s="182">
        <v>1</v>
      </c>
      <c r="AB23" s="182">
        <v>1</v>
      </c>
      <c r="AC23" s="182">
        <v>1</v>
      </c>
      <c r="AD23" s="182">
        <v>1</v>
      </c>
      <c r="AE23" s="182">
        <v>0</v>
      </c>
      <c r="AF23" s="182">
        <v>0</v>
      </c>
      <c r="AG23" s="182">
        <v>0</v>
      </c>
      <c r="AH23" s="7"/>
      <c r="AI23" s="182">
        <f t="shared" si="15"/>
        <v>0</v>
      </c>
      <c r="AJ23" s="182">
        <f t="shared" si="16"/>
        <v>91</v>
      </c>
      <c r="AK23" s="182">
        <f t="shared" ref="AK23:AT23" si="22">AJ23</f>
        <v>91</v>
      </c>
      <c r="AL23" s="182">
        <f t="shared" si="22"/>
        <v>91</v>
      </c>
      <c r="AM23" s="182">
        <f t="shared" si="22"/>
        <v>91</v>
      </c>
      <c r="AN23" s="182">
        <f t="shared" si="22"/>
        <v>91</v>
      </c>
      <c r="AO23" s="182">
        <f t="shared" si="22"/>
        <v>91</v>
      </c>
      <c r="AP23" s="182">
        <f t="shared" si="22"/>
        <v>91</v>
      </c>
      <c r="AQ23" s="182">
        <f t="shared" si="22"/>
        <v>91</v>
      </c>
      <c r="AR23" s="182">
        <f t="shared" si="22"/>
        <v>91</v>
      </c>
      <c r="AS23" s="182">
        <f t="shared" si="22"/>
        <v>91</v>
      </c>
      <c r="AT23" s="182">
        <f t="shared" si="22"/>
        <v>91</v>
      </c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</row>
    <row r="24" spans="1:69" ht="13.5" customHeight="1" x14ac:dyDescent="0.3">
      <c r="A24" s="7"/>
      <c r="C24" s="7" t="s">
        <v>753</v>
      </c>
      <c r="D24" s="7" t="s">
        <v>61</v>
      </c>
      <c r="E24" s="7"/>
      <c r="F24" s="7"/>
      <c r="G24" s="7"/>
      <c r="H24" s="7"/>
      <c r="I24" s="7"/>
      <c r="J24" s="182"/>
      <c r="K24" s="182"/>
      <c r="L24" s="182"/>
      <c r="M24" s="77"/>
      <c r="N24" s="77"/>
      <c r="O24" s="77"/>
      <c r="P24" s="77"/>
      <c r="Q24" s="77"/>
      <c r="R24" s="77">
        <v>0.03</v>
      </c>
      <c r="S24" s="182">
        <v>0</v>
      </c>
      <c r="T24" s="182">
        <v>0</v>
      </c>
      <c r="U24" s="182">
        <v>0</v>
      </c>
      <c r="V24" s="182">
        <v>0</v>
      </c>
      <c r="W24" s="182">
        <v>0</v>
      </c>
      <c r="X24" s="182">
        <v>0</v>
      </c>
      <c r="Y24" s="77">
        <v>0.04</v>
      </c>
      <c r="Z24" s="77">
        <v>0.04</v>
      </c>
      <c r="AA24" s="77">
        <v>0.03</v>
      </c>
      <c r="AB24" s="77">
        <v>0.03</v>
      </c>
      <c r="AC24" s="77">
        <v>0.03</v>
      </c>
      <c r="AD24" s="77">
        <v>0.03</v>
      </c>
      <c r="AE24" s="182">
        <v>0</v>
      </c>
      <c r="AF24" s="182">
        <v>0</v>
      </c>
      <c r="AG24" s="182">
        <v>0</v>
      </c>
      <c r="AH24" s="7"/>
      <c r="AI24" s="182">
        <f t="shared" si="15"/>
        <v>0</v>
      </c>
      <c r="AJ24" s="182">
        <f t="shared" si="16"/>
        <v>3.34</v>
      </c>
      <c r="AK24" s="182">
        <f t="shared" ref="AK24:AT24" si="23">AJ24</f>
        <v>3.34</v>
      </c>
      <c r="AL24" s="182">
        <f t="shared" si="23"/>
        <v>3.34</v>
      </c>
      <c r="AM24" s="182">
        <f t="shared" si="23"/>
        <v>3.34</v>
      </c>
      <c r="AN24" s="182">
        <f t="shared" si="23"/>
        <v>3.34</v>
      </c>
      <c r="AO24" s="182">
        <f t="shared" si="23"/>
        <v>3.34</v>
      </c>
      <c r="AP24" s="182">
        <f t="shared" si="23"/>
        <v>3.34</v>
      </c>
      <c r="AQ24" s="182">
        <f t="shared" si="23"/>
        <v>3.34</v>
      </c>
      <c r="AR24" s="182">
        <f t="shared" si="23"/>
        <v>3.34</v>
      </c>
      <c r="AS24" s="182">
        <f t="shared" si="23"/>
        <v>3.34</v>
      </c>
      <c r="AT24" s="182">
        <f t="shared" si="23"/>
        <v>3.34</v>
      </c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</row>
    <row r="25" spans="1:69" ht="13.5" customHeight="1" x14ac:dyDescent="0.3">
      <c r="A25" s="7"/>
      <c r="C25" s="7" t="s">
        <v>754</v>
      </c>
      <c r="D25" s="7" t="s">
        <v>61</v>
      </c>
      <c r="E25" s="7"/>
      <c r="F25" s="7"/>
      <c r="G25" s="7"/>
      <c r="H25" s="7"/>
      <c r="I25" s="7"/>
      <c r="J25" s="182"/>
      <c r="K25" s="182"/>
      <c r="L25" s="182"/>
      <c r="M25" s="77"/>
      <c r="N25" s="77"/>
      <c r="O25" s="77"/>
      <c r="P25" s="77"/>
      <c r="Q25" s="77"/>
      <c r="R25" s="77">
        <v>5.5E-2</v>
      </c>
      <c r="S25" s="182">
        <v>0</v>
      </c>
      <c r="T25" s="182">
        <v>0</v>
      </c>
      <c r="U25" s="182">
        <v>0</v>
      </c>
      <c r="V25" s="182">
        <v>0</v>
      </c>
      <c r="W25" s="182">
        <v>0</v>
      </c>
      <c r="X25" s="182">
        <v>0</v>
      </c>
      <c r="Y25" s="77">
        <v>4.4999999999999998E-2</v>
      </c>
      <c r="Z25" s="77">
        <v>4.4999999999999998E-2</v>
      </c>
      <c r="AA25" s="77">
        <v>5.5E-2</v>
      </c>
      <c r="AB25" s="77">
        <v>5.5E-2</v>
      </c>
      <c r="AC25" s="77">
        <v>5.5E-2</v>
      </c>
      <c r="AD25" s="77">
        <v>5.5E-2</v>
      </c>
      <c r="AE25" s="182">
        <v>0</v>
      </c>
      <c r="AF25" s="182">
        <v>0</v>
      </c>
      <c r="AG25" s="182">
        <v>0</v>
      </c>
      <c r="AH25" s="7"/>
      <c r="AI25" s="182">
        <f t="shared" si="15"/>
        <v>0</v>
      </c>
      <c r="AJ25" s="182">
        <f t="shared" si="16"/>
        <v>4.3949999999999996</v>
      </c>
      <c r="AK25" s="182">
        <f t="shared" ref="AK25:AT25" si="24">AJ25</f>
        <v>4.3949999999999996</v>
      </c>
      <c r="AL25" s="182">
        <f t="shared" si="24"/>
        <v>4.3949999999999996</v>
      </c>
      <c r="AM25" s="182">
        <f t="shared" si="24"/>
        <v>4.3949999999999996</v>
      </c>
      <c r="AN25" s="182">
        <f t="shared" si="24"/>
        <v>4.3949999999999996</v>
      </c>
      <c r="AO25" s="182">
        <f t="shared" si="24"/>
        <v>4.3949999999999996</v>
      </c>
      <c r="AP25" s="182">
        <f t="shared" si="24"/>
        <v>4.3949999999999996</v>
      </c>
      <c r="AQ25" s="182">
        <f t="shared" si="24"/>
        <v>4.3949999999999996</v>
      </c>
      <c r="AR25" s="182">
        <f t="shared" si="24"/>
        <v>4.3949999999999996</v>
      </c>
      <c r="AS25" s="182">
        <f t="shared" si="24"/>
        <v>4.3949999999999996</v>
      </c>
      <c r="AT25" s="182">
        <f t="shared" si="24"/>
        <v>4.3949999999999996</v>
      </c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</row>
    <row r="26" spans="1:69" ht="13.5" customHeight="1" x14ac:dyDescent="0.3">
      <c r="A26" s="7"/>
      <c r="C26" s="7"/>
      <c r="D26" s="7"/>
      <c r="E26" s="7"/>
      <c r="F26" s="7"/>
      <c r="G26" s="7"/>
      <c r="H26" s="7"/>
      <c r="I26" s="7"/>
      <c r="J26" s="183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</row>
    <row r="27" spans="1:69" ht="13.5" customHeight="1" x14ac:dyDescent="0.3">
      <c r="A27" s="7"/>
      <c r="B27" s="5" t="s">
        <v>57</v>
      </c>
      <c r="C27" s="7"/>
      <c r="D27" s="7"/>
      <c r="E27" s="7"/>
      <c r="F27" s="7"/>
      <c r="G27" s="7"/>
      <c r="H27" s="7"/>
      <c r="I27" s="7"/>
      <c r="J27" s="184"/>
      <c r="K27" s="184"/>
      <c r="L27" s="184"/>
      <c r="M27" s="184">
        <f t="shared" ref="M27:N27" si="25">M28*M4</f>
        <v>0</v>
      </c>
      <c r="N27" s="184">
        <f t="shared" si="25"/>
        <v>0</v>
      </c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</row>
    <row r="28" spans="1:69" ht="13.5" customHeight="1" x14ac:dyDescent="0.3">
      <c r="A28" s="7"/>
      <c r="B28" s="7"/>
      <c r="C28" s="7" t="s">
        <v>373</v>
      </c>
      <c r="D28" s="7" t="s">
        <v>61</v>
      </c>
      <c r="E28" s="7"/>
      <c r="F28" s="7"/>
      <c r="G28" s="7"/>
      <c r="H28" s="7"/>
      <c r="I28" s="7"/>
      <c r="J28" s="182">
        <v>12</v>
      </c>
      <c r="K28" s="182">
        <v>12</v>
      </c>
      <c r="L28" s="182">
        <v>12</v>
      </c>
      <c r="M28" s="182">
        <v>0</v>
      </c>
      <c r="N28" s="182">
        <v>0</v>
      </c>
      <c r="O28" s="182">
        <v>0</v>
      </c>
      <c r="P28" s="182">
        <v>0</v>
      </c>
      <c r="Q28" s="182">
        <v>0</v>
      </c>
      <c r="R28" s="182">
        <v>0</v>
      </c>
      <c r="S28" s="182">
        <v>12</v>
      </c>
      <c r="T28" s="182">
        <v>12</v>
      </c>
      <c r="U28" s="182">
        <v>12</v>
      </c>
      <c r="V28" s="182">
        <v>12</v>
      </c>
      <c r="W28" s="182">
        <v>12</v>
      </c>
      <c r="X28" s="182">
        <v>12</v>
      </c>
      <c r="Y28" s="182">
        <v>0</v>
      </c>
      <c r="Z28" s="182">
        <v>0</v>
      </c>
      <c r="AA28" s="182">
        <v>0</v>
      </c>
      <c r="AB28" s="182">
        <v>0</v>
      </c>
      <c r="AC28" s="182">
        <v>0</v>
      </c>
      <c r="AD28" s="182">
        <v>0</v>
      </c>
      <c r="AE28" s="182">
        <v>12</v>
      </c>
      <c r="AF28" s="182">
        <v>12</v>
      </c>
      <c r="AG28" s="182">
        <v>12</v>
      </c>
      <c r="AH28" s="7"/>
      <c r="AI28" s="182">
        <f t="shared" ref="AI28:AI33" si="26">SUMPRODUCT(J28:N28,J$4:N$4)</f>
        <v>1092</v>
      </c>
      <c r="AJ28" s="182">
        <f t="shared" ref="AJ28:AJ33" si="27">SUMPRODUCT(O28:Z28,O$4:Z$4)</f>
        <v>2208</v>
      </c>
      <c r="AK28" s="182">
        <f t="shared" ref="AK28:AT28" si="28">AJ28</f>
        <v>2208</v>
      </c>
      <c r="AL28" s="182">
        <f t="shared" si="28"/>
        <v>2208</v>
      </c>
      <c r="AM28" s="182">
        <f t="shared" si="28"/>
        <v>2208</v>
      </c>
      <c r="AN28" s="182">
        <f t="shared" si="28"/>
        <v>2208</v>
      </c>
      <c r="AO28" s="182">
        <f t="shared" si="28"/>
        <v>2208</v>
      </c>
      <c r="AP28" s="182">
        <f t="shared" si="28"/>
        <v>2208</v>
      </c>
      <c r="AQ28" s="182">
        <f t="shared" si="28"/>
        <v>2208</v>
      </c>
      <c r="AR28" s="182">
        <f t="shared" si="28"/>
        <v>2208</v>
      </c>
      <c r="AS28" s="182">
        <f t="shared" si="28"/>
        <v>2208</v>
      </c>
      <c r="AT28" s="182">
        <f t="shared" si="28"/>
        <v>2208</v>
      </c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</row>
    <row r="29" spans="1:69" ht="13.5" customHeight="1" x14ac:dyDescent="0.3">
      <c r="A29" s="7"/>
      <c r="B29" s="7"/>
      <c r="C29" s="7" t="s">
        <v>376</v>
      </c>
      <c r="D29" s="7" t="s">
        <v>61</v>
      </c>
      <c r="E29" s="7"/>
      <c r="F29" s="7"/>
      <c r="G29" s="7"/>
      <c r="H29" s="7"/>
      <c r="I29" s="7"/>
      <c r="J29" s="182">
        <v>0</v>
      </c>
      <c r="K29" s="182">
        <v>0</v>
      </c>
      <c r="L29" s="182">
        <v>0</v>
      </c>
      <c r="M29" s="182">
        <v>8</v>
      </c>
      <c r="N29" s="182">
        <v>8</v>
      </c>
      <c r="O29" s="182">
        <v>8</v>
      </c>
      <c r="P29" s="182">
        <v>8</v>
      </c>
      <c r="Q29" s="182">
        <v>8</v>
      </c>
      <c r="R29" s="182">
        <v>8</v>
      </c>
      <c r="S29" s="182">
        <v>0</v>
      </c>
      <c r="T29" s="182">
        <v>0</v>
      </c>
      <c r="U29" s="182">
        <v>0</v>
      </c>
      <c r="V29" s="182">
        <v>0</v>
      </c>
      <c r="W29" s="182">
        <v>0</v>
      </c>
      <c r="X29" s="182">
        <v>0</v>
      </c>
      <c r="Y29" s="182">
        <v>8</v>
      </c>
      <c r="Z29" s="182">
        <v>8</v>
      </c>
      <c r="AA29" s="182">
        <v>8</v>
      </c>
      <c r="AB29" s="182">
        <v>8</v>
      </c>
      <c r="AC29" s="182">
        <v>8</v>
      </c>
      <c r="AD29" s="182">
        <v>8</v>
      </c>
      <c r="AE29" s="182">
        <v>0</v>
      </c>
      <c r="AF29" s="182">
        <v>0</v>
      </c>
      <c r="AG29" s="182">
        <v>0</v>
      </c>
      <c r="AH29" s="7"/>
      <c r="AI29" s="182">
        <f t="shared" si="26"/>
        <v>488</v>
      </c>
      <c r="AJ29" s="182">
        <f t="shared" si="27"/>
        <v>1448</v>
      </c>
      <c r="AK29" s="182">
        <f t="shared" ref="AK29:AT29" si="29">AJ29</f>
        <v>1448</v>
      </c>
      <c r="AL29" s="182">
        <f t="shared" si="29"/>
        <v>1448</v>
      </c>
      <c r="AM29" s="182">
        <f t="shared" si="29"/>
        <v>1448</v>
      </c>
      <c r="AN29" s="182">
        <f t="shared" si="29"/>
        <v>1448</v>
      </c>
      <c r="AO29" s="182">
        <f t="shared" si="29"/>
        <v>1448</v>
      </c>
      <c r="AP29" s="182">
        <f t="shared" si="29"/>
        <v>1448</v>
      </c>
      <c r="AQ29" s="182">
        <f t="shared" si="29"/>
        <v>1448</v>
      </c>
      <c r="AR29" s="182">
        <f t="shared" si="29"/>
        <v>1448</v>
      </c>
      <c r="AS29" s="182">
        <f t="shared" si="29"/>
        <v>1448</v>
      </c>
      <c r="AT29" s="182">
        <f t="shared" si="29"/>
        <v>1448</v>
      </c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</row>
    <row r="30" spans="1:69" ht="13.5" customHeight="1" x14ac:dyDescent="0.3">
      <c r="A30" s="7"/>
      <c r="B30" s="7"/>
      <c r="C30" s="7" t="s">
        <v>751</v>
      </c>
      <c r="D30" s="7" t="s">
        <v>61</v>
      </c>
      <c r="E30" s="7"/>
      <c r="F30" s="7"/>
      <c r="G30" s="7"/>
      <c r="H30" s="7"/>
      <c r="I30" s="7"/>
      <c r="J30" s="182">
        <v>0</v>
      </c>
      <c r="K30" s="182">
        <v>0</v>
      </c>
      <c r="L30" s="182">
        <v>0</v>
      </c>
      <c r="M30" s="182">
        <v>1</v>
      </c>
      <c r="N30" s="182">
        <v>1</v>
      </c>
      <c r="O30" s="182">
        <v>1</v>
      </c>
      <c r="P30" s="182">
        <v>1</v>
      </c>
      <c r="Q30" s="182">
        <v>1</v>
      </c>
      <c r="R30" s="182">
        <v>1</v>
      </c>
      <c r="S30" s="182">
        <v>0</v>
      </c>
      <c r="T30" s="182">
        <v>0</v>
      </c>
      <c r="U30" s="182">
        <v>0</v>
      </c>
      <c r="V30" s="182">
        <v>0</v>
      </c>
      <c r="W30" s="182">
        <v>0</v>
      </c>
      <c r="X30" s="182">
        <v>0</v>
      </c>
      <c r="Y30" s="182">
        <v>1</v>
      </c>
      <c r="Z30" s="182">
        <v>1</v>
      </c>
      <c r="AA30" s="182">
        <v>1</v>
      </c>
      <c r="AB30" s="182">
        <v>1</v>
      </c>
      <c r="AC30" s="182">
        <v>1</v>
      </c>
      <c r="AD30" s="182">
        <v>1</v>
      </c>
      <c r="AE30" s="182">
        <v>0</v>
      </c>
      <c r="AF30" s="182">
        <v>0</v>
      </c>
      <c r="AG30" s="182">
        <v>0</v>
      </c>
      <c r="AH30" s="7"/>
      <c r="AI30" s="182">
        <f t="shared" si="26"/>
        <v>61</v>
      </c>
      <c r="AJ30" s="182">
        <f t="shared" si="27"/>
        <v>181</v>
      </c>
      <c r="AK30" s="182">
        <f t="shared" ref="AK30:AT30" si="30">AJ30</f>
        <v>181</v>
      </c>
      <c r="AL30" s="182">
        <f t="shared" si="30"/>
        <v>181</v>
      </c>
      <c r="AM30" s="182">
        <f t="shared" si="30"/>
        <v>181</v>
      </c>
      <c r="AN30" s="182">
        <f t="shared" si="30"/>
        <v>181</v>
      </c>
      <c r="AO30" s="182">
        <f t="shared" si="30"/>
        <v>181</v>
      </c>
      <c r="AP30" s="182">
        <f t="shared" si="30"/>
        <v>181</v>
      </c>
      <c r="AQ30" s="182">
        <f t="shared" si="30"/>
        <v>181</v>
      </c>
      <c r="AR30" s="182">
        <f t="shared" si="30"/>
        <v>181</v>
      </c>
      <c r="AS30" s="182">
        <f t="shared" si="30"/>
        <v>181</v>
      </c>
      <c r="AT30" s="182">
        <f t="shared" si="30"/>
        <v>181</v>
      </c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</row>
    <row r="31" spans="1:69" ht="13.5" customHeight="1" x14ac:dyDescent="0.3">
      <c r="A31" s="7"/>
      <c r="B31" s="7"/>
      <c r="C31" s="7" t="s">
        <v>374</v>
      </c>
      <c r="D31" s="7" t="s">
        <v>61</v>
      </c>
      <c r="E31" s="7"/>
      <c r="F31" s="7"/>
      <c r="G31" s="7"/>
      <c r="H31" s="7"/>
      <c r="I31" s="7"/>
      <c r="J31" s="182">
        <v>0</v>
      </c>
      <c r="K31" s="182">
        <v>0</v>
      </c>
      <c r="L31" s="182">
        <v>0</v>
      </c>
      <c r="M31" s="182">
        <f t="shared" ref="M31:R31" si="31">3.5-0.72</f>
        <v>2.7800000000000002</v>
      </c>
      <c r="N31" s="182">
        <f t="shared" si="31"/>
        <v>2.7800000000000002</v>
      </c>
      <c r="O31" s="182">
        <f t="shared" si="31"/>
        <v>2.7800000000000002</v>
      </c>
      <c r="P31" s="182">
        <f t="shared" si="31"/>
        <v>2.7800000000000002</v>
      </c>
      <c r="Q31" s="182">
        <f t="shared" si="31"/>
        <v>2.7800000000000002</v>
      </c>
      <c r="R31" s="182">
        <f t="shared" si="31"/>
        <v>2.7800000000000002</v>
      </c>
      <c r="S31" s="182">
        <v>0</v>
      </c>
      <c r="T31" s="182">
        <v>0</v>
      </c>
      <c r="U31" s="182">
        <v>0</v>
      </c>
      <c r="V31" s="182">
        <v>0</v>
      </c>
      <c r="W31" s="182">
        <v>0</v>
      </c>
      <c r="X31" s="182">
        <v>0</v>
      </c>
      <c r="Y31" s="182">
        <f t="shared" ref="Y31:AD31" si="32">3.5-0.72</f>
        <v>2.7800000000000002</v>
      </c>
      <c r="Z31" s="182">
        <f t="shared" si="32"/>
        <v>2.7800000000000002</v>
      </c>
      <c r="AA31" s="182">
        <f t="shared" si="32"/>
        <v>2.7800000000000002</v>
      </c>
      <c r="AB31" s="182">
        <f t="shared" si="32"/>
        <v>2.7800000000000002</v>
      </c>
      <c r="AC31" s="182">
        <f t="shared" si="32"/>
        <v>2.7800000000000002</v>
      </c>
      <c r="AD31" s="182">
        <f t="shared" si="32"/>
        <v>2.7800000000000002</v>
      </c>
      <c r="AE31" s="182">
        <v>0</v>
      </c>
      <c r="AF31" s="182">
        <v>0</v>
      </c>
      <c r="AG31" s="182">
        <v>0</v>
      </c>
      <c r="AH31" s="7"/>
      <c r="AI31" s="182">
        <f t="shared" si="26"/>
        <v>169.58</v>
      </c>
      <c r="AJ31" s="182">
        <f t="shared" si="27"/>
        <v>503.18</v>
      </c>
      <c r="AK31" s="182">
        <f t="shared" ref="AK31:AT31" si="33">AJ31</f>
        <v>503.18</v>
      </c>
      <c r="AL31" s="182">
        <f t="shared" si="33"/>
        <v>503.18</v>
      </c>
      <c r="AM31" s="182">
        <f t="shared" si="33"/>
        <v>503.18</v>
      </c>
      <c r="AN31" s="182">
        <f t="shared" si="33"/>
        <v>503.18</v>
      </c>
      <c r="AO31" s="182">
        <f t="shared" si="33"/>
        <v>503.18</v>
      </c>
      <c r="AP31" s="182">
        <f t="shared" si="33"/>
        <v>503.18</v>
      </c>
      <c r="AQ31" s="182">
        <f t="shared" si="33"/>
        <v>503.18</v>
      </c>
      <c r="AR31" s="182">
        <f t="shared" si="33"/>
        <v>503.18</v>
      </c>
      <c r="AS31" s="182">
        <f t="shared" si="33"/>
        <v>503.18</v>
      </c>
      <c r="AT31" s="182">
        <f t="shared" si="33"/>
        <v>503.18</v>
      </c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</row>
    <row r="32" spans="1:69" ht="13.5" customHeight="1" x14ac:dyDescent="0.3">
      <c r="A32" s="7"/>
      <c r="B32" s="7"/>
      <c r="C32" s="7" t="s">
        <v>755</v>
      </c>
      <c r="D32" s="7" t="s">
        <v>61</v>
      </c>
      <c r="E32" s="7"/>
      <c r="F32" s="7"/>
      <c r="G32" s="7"/>
      <c r="H32" s="7"/>
      <c r="I32" s="7"/>
      <c r="J32" s="182">
        <v>0</v>
      </c>
      <c r="K32" s="182">
        <v>0</v>
      </c>
      <c r="L32" s="182">
        <v>0</v>
      </c>
      <c r="M32" s="182">
        <v>0.72</v>
      </c>
      <c r="N32" s="182">
        <v>0.72</v>
      </c>
      <c r="O32" s="182">
        <v>0.72</v>
      </c>
      <c r="P32" s="182">
        <v>0.72</v>
      </c>
      <c r="Q32" s="182">
        <v>0.72</v>
      </c>
      <c r="R32" s="182">
        <v>0.72</v>
      </c>
      <c r="S32" s="182">
        <v>0</v>
      </c>
      <c r="T32" s="182">
        <v>0</v>
      </c>
      <c r="U32" s="182">
        <v>0</v>
      </c>
      <c r="V32" s="182">
        <v>0</v>
      </c>
      <c r="W32" s="182">
        <v>0</v>
      </c>
      <c r="X32" s="182">
        <v>0</v>
      </c>
      <c r="Y32" s="182">
        <v>0.72</v>
      </c>
      <c r="Z32" s="182">
        <v>0.72</v>
      </c>
      <c r="AA32" s="182">
        <v>0.72</v>
      </c>
      <c r="AB32" s="182">
        <v>0.72</v>
      </c>
      <c r="AC32" s="182">
        <v>0.72</v>
      </c>
      <c r="AD32" s="182">
        <v>0.72</v>
      </c>
      <c r="AE32" s="182">
        <v>0</v>
      </c>
      <c r="AF32" s="182">
        <v>0</v>
      </c>
      <c r="AG32" s="182">
        <v>0</v>
      </c>
      <c r="AH32" s="7"/>
      <c r="AI32" s="182">
        <f t="shared" si="26"/>
        <v>43.92</v>
      </c>
      <c r="AJ32" s="182">
        <f t="shared" si="27"/>
        <v>130.32</v>
      </c>
      <c r="AK32" s="182">
        <f t="shared" ref="AK32:AT32" si="34">AJ32</f>
        <v>130.32</v>
      </c>
      <c r="AL32" s="182">
        <f t="shared" si="34"/>
        <v>130.32</v>
      </c>
      <c r="AM32" s="182">
        <f t="shared" si="34"/>
        <v>130.32</v>
      </c>
      <c r="AN32" s="182">
        <f t="shared" si="34"/>
        <v>130.32</v>
      </c>
      <c r="AO32" s="182">
        <f t="shared" si="34"/>
        <v>130.32</v>
      </c>
      <c r="AP32" s="182">
        <f t="shared" si="34"/>
        <v>130.32</v>
      </c>
      <c r="AQ32" s="182">
        <f t="shared" si="34"/>
        <v>130.32</v>
      </c>
      <c r="AR32" s="182">
        <f t="shared" si="34"/>
        <v>130.32</v>
      </c>
      <c r="AS32" s="182">
        <f t="shared" si="34"/>
        <v>130.32</v>
      </c>
      <c r="AT32" s="182">
        <f t="shared" si="34"/>
        <v>130.32</v>
      </c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</row>
    <row r="33" spans="1:69" ht="13.5" customHeight="1" x14ac:dyDescent="0.3">
      <c r="A33" s="7"/>
      <c r="B33" s="7"/>
      <c r="C33" s="7" t="s">
        <v>375</v>
      </c>
      <c r="D33" s="7" t="s">
        <v>61</v>
      </c>
      <c r="E33" s="7"/>
      <c r="F33" s="7"/>
      <c r="G33" s="7"/>
      <c r="H33" s="7"/>
      <c r="I33" s="7"/>
      <c r="J33" s="77">
        <v>0.05</v>
      </c>
      <c r="K33" s="77">
        <v>0.05</v>
      </c>
      <c r="L33" s="77">
        <v>0.05</v>
      </c>
      <c r="M33" s="77">
        <v>4.4999999999999998E-2</v>
      </c>
      <c r="N33" s="77">
        <v>4.4999999999999998E-2</v>
      </c>
      <c r="O33" s="77">
        <v>4.4999999999999998E-2</v>
      </c>
      <c r="P33" s="77">
        <v>4.4999999999999998E-2</v>
      </c>
      <c r="Q33" s="77">
        <v>4.4999999999999998E-2</v>
      </c>
      <c r="R33" s="77">
        <v>4.4999999999999998E-2</v>
      </c>
      <c r="S33" s="77">
        <v>0.05</v>
      </c>
      <c r="T33" s="77">
        <v>0.05</v>
      </c>
      <c r="U33" s="77">
        <v>0.05</v>
      </c>
      <c r="V33" s="77">
        <v>0.05</v>
      </c>
      <c r="W33" s="77">
        <v>0.05</v>
      </c>
      <c r="X33" s="77">
        <v>0.05</v>
      </c>
      <c r="Y33" s="77">
        <v>4.4999999999999998E-2</v>
      </c>
      <c r="Z33" s="77">
        <v>4.4999999999999998E-2</v>
      </c>
      <c r="AA33" s="77">
        <v>4.4999999999999998E-2</v>
      </c>
      <c r="AB33" s="77">
        <v>4.4999999999999998E-2</v>
      </c>
      <c r="AC33" s="77">
        <v>4.4999999999999998E-2</v>
      </c>
      <c r="AD33" s="77">
        <v>4.4999999999999998E-2</v>
      </c>
      <c r="AE33" s="77">
        <v>0.05</v>
      </c>
      <c r="AF33" s="77">
        <v>0.05</v>
      </c>
      <c r="AG33" s="77">
        <v>0.05</v>
      </c>
      <c r="AH33" s="7"/>
      <c r="AI33" s="182">
        <f t="shared" si="26"/>
        <v>7.2949999999999999</v>
      </c>
      <c r="AJ33" s="182">
        <f t="shared" si="27"/>
        <v>17.345000000000002</v>
      </c>
      <c r="AK33" s="182">
        <f t="shared" ref="AK33:AT33" si="35">AJ33</f>
        <v>17.345000000000002</v>
      </c>
      <c r="AL33" s="182">
        <f t="shared" si="35"/>
        <v>17.345000000000002</v>
      </c>
      <c r="AM33" s="182">
        <f t="shared" si="35"/>
        <v>17.345000000000002</v>
      </c>
      <c r="AN33" s="182">
        <f t="shared" si="35"/>
        <v>17.345000000000002</v>
      </c>
      <c r="AO33" s="182">
        <f t="shared" si="35"/>
        <v>17.345000000000002</v>
      </c>
      <c r="AP33" s="182">
        <f t="shared" si="35"/>
        <v>17.345000000000002</v>
      </c>
      <c r="AQ33" s="182">
        <f t="shared" si="35"/>
        <v>17.345000000000002</v>
      </c>
      <c r="AR33" s="182">
        <f t="shared" si="35"/>
        <v>17.345000000000002</v>
      </c>
      <c r="AS33" s="182">
        <f t="shared" si="35"/>
        <v>17.345000000000002</v>
      </c>
      <c r="AT33" s="182">
        <f t="shared" si="35"/>
        <v>17.345000000000002</v>
      </c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</row>
    <row r="34" spans="1:69" ht="13.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</row>
    <row r="35" spans="1:69" ht="13.5" customHeight="1" x14ac:dyDescent="0.3">
      <c r="A35" s="7"/>
      <c r="B35" s="5" t="s">
        <v>89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184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</row>
    <row r="36" spans="1:69" ht="13.5" customHeight="1" x14ac:dyDescent="0.3">
      <c r="A36" s="7"/>
      <c r="B36" s="7"/>
      <c r="C36" s="7" t="s">
        <v>383</v>
      </c>
      <c r="D36" s="7" t="s">
        <v>384</v>
      </c>
      <c r="E36" s="7"/>
      <c r="F36" s="7"/>
      <c r="G36" s="7"/>
      <c r="H36" s="7"/>
      <c r="I36" s="7"/>
      <c r="J36" s="182">
        <v>0</v>
      </c>
      <c r="K36" s="182">
        <v>0</v>
      </c>
      <c r="L36" s="182">
        <v>0</v>
      </c>
      <c r="M36" s="182">
        <v>0</v>
      </c>
      <c r="N36" s="182">
        <v>6</v>
      </c>
      <c r="O36" s="182">
        <v>7</v>
      </c>
      <c r="P36" s="182">
        <v>6</v>
      </c>
      <c r="Q36" s="182">
        <v>5</v>
      </c>
      <c r="R36" s="182">
        <v>4</v>
      </c>
      <c r="S36" s="182">
        <v>4</v>
      </c>
      <c r="T36" s="182">
        <v>5</v>
      </c>
      <c r="U36" s="182">
        <v>0</v>
      </c>
      <c r="V36" s="182">
        <v>0</v>
      </c>
      <c r="W36" s="182">
        <v>0</v>
      </c>
      <c r="X36" s="182">
        <v>0</v>
      </c>
      <c r="Y36" s="182">
        <v>0</v>
      </c>
      <c r="Z36" s="182">
        <v>6</v>
      </c>
      <c r="AA36" s="182">
        <v>7</v>
      </c>
      <c r="AB36" s="182">
        <v>6</v>
      </c>
      <c r="AC36" s="182">
        <v>5</v>
      </c>
      <c r="AD36" s="182">
        <v>4</v>
      </c>
      <c r="AE36" s="182">
        <v>4</v>
      </c>
      <c r="AF36" s="182">
        <v>5</v>
      </c>
      <c r="AG36" s="182">
        <v>5</v>
      </c>
      <c r="AH36" s="7"/>
      <c r="AI36" s="182">
        <f t="shared" ref="AI36:AI42" si="36">SUMPRODUCT(J36:N36,J$4:N$4)</f>
        <v>186</v>
      </c>
      <c r="AJ36" s="182">
        <f t="shared" ref="AJ36:AJ42" si="37">SUMPRODUCT(O36:Z36,O$4:Z$4)</f>
        <v>1120</v>
      </c>
      <c r="AK36" s="182">
        <f t="shared" ref="AK36:AT36" si="38">AJ36</f>
        <v>1120</v>
      </c>
      <c r="AL36" s="182">
        <f t="shared" si="38"/>
        <v>1120</v>
      </c>
      <c r="AM36" s="182">
        <f t="shared" si="38"/>
        <v>1120</v>
      </c>
      <c r="AN36" s="182">
        <f t="shared" si="38"/>
        <v>1120</v>
      </c>
      <c r="AO36" s="182">
        <f t="shared" si="38"/>
        <v>1120</v>
      </c>
      <c r="AP36" s="182">
        <f t="shared" si="38"/>
        <v>1120</v>
      </c>
      <c r="AQ36" s="182">
        <f t="shared" si="38"/>
        <v>1120</v>
      </c>
      <c r="AR36" s="182">
        <f t="shared" si="38"/>
        <v>1120</v>
      </c>
      <c r="AS36" s="182">
        <f t="shared" si="38"/>
        <v>1120</v>
      </c>
      <c r="AT36" s="182">
        <f t="shared" si="38"/>
        <v>1120</v>
      </c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</row>
    <row r="37" spans="1:69" ht="13.5" customHeight="1" x14ac:dyDescent="0.3">
      <c r="A37" s="7"/>
      <c r="B37" s="7"/>
      <c r="C37" s="7" t="s">
        <v>376</v>
      </c>
      <c r="D37" s="7" t="s">
        <v>61</v>
      </c>
      <c r="E37" s="7"/>
      <c r="F37" s="7"/>
      <c r="G37" s="7"/>
      <c r="H37" s="7"/>
      <c r="I37" s="7"/>
      <c r="J37" s="182">
        <v>0</v>
      </c>
      <c r="K37" s="182">
        <v>0</v>
      </c>
      <c r="L37" s="182">
        <v>0</v>
      </c>
      <c r="M37" s="182">
        <v>0</v>
      </c>
      <c r="N37" s="182">
        <v>0</v>
      </c>
      <c r="O37" s="182">
        <v>0.3</v>
      </c>
      <c r="P37" s="182">
        <v>0.5</v>
      </c>
      <c r="Q37" s="182">
        <v>1</v>
      </c>
      <c r="R37" s="182">
        <v>1.2</v>
      </c>
      <c r="S37" s="182">
        <v>0</v>
      </c>
      <c r="T37" s="182">
        <v>0</v>
      </c>
      <c r="U37" s="182">
        <v>0</v>
      </c>
      <c r="V37" s="182">
        <v>0</v>
      </c>
      <c r="W37" s="182">
        <v>0</v>
      </c>
      <c r="X37" s="182">
        <v>0</v>
      </c>
      <c r="Y37" s="182">
        <v>0</v>
      </c>
      <c r="Z37" s="182">
        <v>0</v>
      </c>
      <c r="AA37" s="182">
        <v>0.3</v>
      </c>
      <c r="AB37" s="182">
        <v>0.5</v>
      </c>
      <c r="AC37" s="182">
        <v>1</v>
      </c>
      <c r="AD37" s="182">
        <v>1.2</v>
      </c>
      <c r="AE37" s="182">
        <v>0</v>
      </c>
      <c r="AF37" s="182">
        <v>0</v>
      </c>
      <c r="AG37" s="182">
        <v>0</v>
      </c>
      <c r="AH37" s="7"/>
      <c r="AI37" s="182">
        <f t="shared" si="36"/>
        <v>0</v>
      </c>
      <c r="AJ37" s="182">
        <f t="shared" si="37"/>
        <v>90.3</v>
      </c>
      <c r="AK37" s="182">
        <f t="shared" ref="AK37:AT37" si="39">AJ37</f>
        <v>90.3</v>
      </c>
      <c r="AL37" s="182">
        <f t="shared" si="39"/>
        <v>90.3</v>
      </c>
      <c r="AM37" s="182">
        <f t="shared" si="39"/>
        <v>90.3</v>
      </c>
      <c r="AN37" s="182">
        <f t="shared" si="39"/>
        <v>90.3</v>
      </c>
      <c r="AO37" s="182">
        <f t="shared" si="39"/>
        <v>90.3</v>
      </c>
      <c r="AP37" s="182">
        <f t="shared" si="39"/>
        <v>90.3</v>
      </c>
      <c r="AQ37" s="182">
        <f t="shared" si="39"/>
        <v>90.3</v>
      </c>
      <c r="AR37" s="182">
        <f t="shared" si="39"/>
        <v>90.3</v>
      </c>
      <c r="AS37" s="182">
        <f t="shared" si="39"/>
        <v>90.3</v>
      </c>
      <c r="AT37" s="182">
        <f t="shared" si="39"/>
        <v>90.3</v>
      </c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</row>
    <row r="38" spans="1:69" ht="13.5" customHeight="1" x14ac:dyDescent="0.3">
      <c r="A38" s="7"/>
      <c r="B38" s="7"/>
      <c r="C38" s="7" t="s">
        <v>378</v>
      </c>
      <c r="D38" s="7" t="s">
        <v>61</v>
      </c>
      <c r="E38" s="7"/>
      <c r="F38" s="7"/>
      <c r="G38" s="7"/>
      <c r="H38" s="7"/>
      <c r="I38" s="7"/>
      <c r="J38" s="182">
        <v>0</v>
      </c>
      <c r="K38" s="182">
        <v>0</v>
      </c>
      <c r="L38" s="182">
        <v>0</v>
      </c>
      <c r="M38" s="182">
        <v>0</v>
      </c>
      <c r="N38" s="182">
        <v>0</v>
      </c>
      <c r="O38" s="182">
        <v>0</v>
      </c>
      <c r="P38" s="182">
        <v>0</v>
      </c>
      <c r="Q38" s="182">
        <v>0</v>
      </c>
      <c r="R38" s="182">
        <v>0</v>
      </c>
      <c r="S38" s="182">
        <v>0</v>
      </c>
      <c r="T38" s="182">
        <v>0</v>
      </c>
      <c r="U38" s="182">
        <v>0</v>
      </c>
      <c r="V38" s="182">
        <v>0</v>
      </c>
      <c r="W38" s="182">
        <v>0</v>
      </c>
      <c r="X38" s="182">
        <v>0</v>
      </c>
      <c r="Y38" s="182">
        <v>0</v>
      </c>
      <c r="Z38" s="182">
        <v>0</v>
      </c>
      <c r="AA38" s="182">
        <v>0</v>
      </c>
      <c r="AB38" s="182">
        <v>0</v>
      </c>
      <c r="AC38" s="182">
        <v>0</v>
      </c>
      <c r="AD38" s="182">
        <v>0</v>
      </c>
      <c r="AE38" s="182">
        <v>0</v>
      </c>
      <c r="AF38" s="182">
        <v>0</v>
      </c>
      <c r="AG38" s="182">
        <v>0</v>
      </c>
      <c r="AH38" s="7"/>
      <c r="AI38" s="182">
        <f t="shared" si="36"/>
        <v>0</v>
      </c>
      <c r="AJ38" s="182">
        <f t="shared" si="37"/>
        <v>0</v>
      </c>
      <c r="AK38" s="182">
        <f t="shared" ref="AK38:AT38" si="40">AJ38</f>
        <v>0</v>
      </c>
      <c r="AL38" s="182">
        <f t="shared" si="40"/>
        <v>0</v>
      </c>
      <c r="AM38" s="182">
        <f t="shared" si="40"/>
        <v>0</v>
      </c>
      <c r="AN38" s="182">
        <f t="shared" si="40"/>
        <v>0</v>
      </c>
      <c r="AO38" s="182">
        <f t="shared" si="40"/>
        <v>0</v>
      </c>
      <c r="AP38" s="182">
        <f t="shared" si="40"/>
        <v>0</v>
      </c>
      <c r="AQ38" s="182">
        <f t="shared" si="40"/>
        <v>0</v>
      </c>
      <c r="AR38" s="182">
        <f t="shared" si="40"/>
        <v>0</v>
      </c>
      <c r="AS38" s="182">
        <f t="shared" si="40"/>
        <v>0</v>
      </c>
      <c r="AT38" s="182">
        <f t="shared" si="40"/>
        <v>0</v>
      </c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</row>
    <row r="39" spans="1:69" ht="13.5" customHeight="1" x14ac:dyDescent="0.3">
      <c r="A39" s="7"/>
      <c r="B39" s="7"/>
      <c r="C39" s="7" t="s">
        <v>374</v>
      </c>
      <c r="D39" s="7" t="s">
        <v>61</v>
      </c>
      <c r="E39" s="7"/>
      <c r="F39" s="7"/>
      <c r="G39" s="7"/>
      <c r="H39" s="7"/>
      <c r="I39" s="7"/>
      <c r="J39" s="182">
        <v>0</v>
      </c>
      <c r="K39" s="182">
        <v>0</v>
      </c>
      <c r="L39" s="182">
        <v>0</v>
      </c>
      <c r="M39" s="182">
        <v>0</v>
      </c>
      <c r="N39" s="182">
        <v>0</v>
      </c>
      <c r="O39" s="182">
        <v>0.2</v>
      </c>
      <c r="P39" s="182">
        <v>0.4</v>
      </c>
      <c r="Q39" s="182">
        <v>0.6</v>
      </c>
      <c r="R39" s="182">
        <v>0.7</v>
      </c>
      <c r="S39" s="182">
        <v>0</v>
      </c>
      <c r="T39" s="182">
        <v>0</v>
      </c>
      <c r="U39" s="182">
        <v>0</v>
      </c>
      <c r="V39" s="182">
        <v>0</v>
      </c>
      <c r="W39" s="182">
        <v>0</v>
      </c>
      <c r="X39" s="182">
        <v>0</v>
      </c>
      <c r="Y39" s="182">
        <v>0</v>
      </c>
      <c r="Z39" s="182">
        <v>0</v>
      </c>
      <c r="AA39" s="182">
        <v>0.2</v>
      </c>
      <c r="AB39" s="182">
        <v>0.4</v>
      </c>
      <c r="AC39" s="182">
        <v>0.6</v>
      </c>
      <c r="AD39" s="182">
        <v>0.7</v>
      </c>
      <c r="AE39" s="182">
        <v>0</v>
      </c>
      <c r="AF39" s="182">
        <v>0</v>
      </c>
      <c r="AG39" s="182">
        <v>0</v>
      </c>
      <c r="AH39" s="7"/>
      <c r="AI39" s="182">
        <f t="shared" si="36"/>
        <v>0</v>
      </c>
      <c r="AJ39" s="182">
        <f t="shared" si="37"/>
        <v>57</v>
      </c>
      <c r="AK39" s="182">
        <f t="shared" ref="AK39:AT39" si="41">AJ39</f>
        <v>57</v>
      </c>
      <c r="AL39" s="182">
        <f t="shared" si="41"/>
        <v>57</v>
      </c>
      <c r="AM39" s="182">
        <f t="shared" si="41"/>
        <v>57</v>
      </c>
      <c r="AN39" s="182">
        <f t="shared" si="41"/>
        <v>57</v>
      </c>
      <c r="AO39" s="182">
        <f t="shared" si="41"/>
        <v>57</v>
      </c>
      <c r="AP39" s="182">
        <f t="shared" si="41"/>
        <v>57</v>
      </c>
      <c r="AQ39" s="182">
        <f t="shared" si="41"/>
        <v>57</v>
      </c>
      <c r="AR39" s="182">
        <f t="shared" si="41"/>
        <v>57</v>
      </c>
      <c r="AS39" s="182">
        <f t="shared" si="41"/>
        <v>57</v>
      </c>
      <c r="AT39" s="182">
        <f t="shared" si="41"/>
        <v>57</v>
      </c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</row>
    <row r="40" spans="1:69" ht="13.5" customHeight="1" x14ac:dyDescent="0.3">
      <c r="A40" s="7"/>
      <c r="B40" s="7"/>
      <c r="C40" s="7" t="s">
        <v>375</v>
      </c>
      <c r="D40" s="7" t="s">
        <v>61</v>
      </c>
      <c r="E40" s="7"/>
      <c r="F40" s="7"/>
      <c r="G40" s="7"/>
      <c r="H40" s="7"/>
      <c r="I40" s="7"/>
      <c r="J40" s="182">
        <v>0</v>
      </c>
      <c r="K40" s="182">
        <v>0</v>
      </c>
      <c r="L40" s="182">
        <v>0</v>
      </c>
      <c r="M40" s="182">
        <v>0</v>
      </c>
      <c r="N40" s="182">
        <v>0</v>
      </c>
      <c r="O40" s="77">
        <v>8.0000000000000002E-3</v>
      </c>
      <c r="P40" s="77">
        <v>1.2E-2</v>
      </c>
      <c r="Q40" s="77">
        <v>1.6E-2</v>
      </c>
      <c r="R40" s="77">
        <v>1.7999999999999999E-2</v>
      </c>
      <c r="S40" s="77">
        <v>2.1999999999999999E-2</v>
      </c>
      <c r="T40" s="77">
        <v>2.7E-2</v>
      </c>
      <c r="U40" s="182">
        <v>0</v>
      </c>
      <c r="V40" s="182">
        <v>0</v>
      </c>
      <c r="W40" s="182">
        <v>0</v>
      </c>
      <c r="X40" s="182">
        <v>0</v>
      </c>
      <c r="Y40" s="182">
        <v>0</v>
      </c>
      <c r="Z40" s="182">
        <v>0</v>
      </c>
      <c r="AA40" s="77">
        <v>8.0000000000000002E-3</v>
      </c>
      <c r="AB40" s="77">
        <v>1.2E-2</v>
      </c>
      <c r="AC40" s="77">
        <v>1.6E-2</v>
      </c>
      <c r="AD40" s="77">
        <v>1.7999999999999999E-2</v>
      </c>
      <c r="AE40" s="77">
        <v>2.1999999999999999E-2</v>
      </c>
      <c r="AF40" s="77">
        <v>2.7E-2</v>
      </c>
      <c r="AG40" s="77">
        <v>2.7E-2</v>
      </c>
      <c r="AH40" s="7"/>
      <c r="AI40" s="182">
        <f t="shared" si="36"/>
        <v>0</v>
      </c>
      <c r="AJ40" s="182">
        <f t="shared" si="37"/>
        <v>3.1120000000000001</v>
      </c>
      <c r="AK40" s="182">
        <f t="shared" ref="AK40:AT40" si="42">AJ40</f>
        <v>3.1120000000000001</v>
      </c>
      <c r="AL40" s="182">
        <f t="shared" si="42"/>
        <v>3.1120000000000001</v>
      </c>
      <c r="AM40" s="182">
        <f t="shared" si="42"/>
        <v>3.1120000000000001</v>
      </c>
      <c r="AN40" s="182">
        <f t="shared" si="42"/>
        <v>3.1120000000000001</v>
      </c>
      <c r="AO40" s="182">
        <f t="shared" si="42"/>
        <v>3.1120000000000001</v>
      </c>
      <c r="AP40" s="182">
        <f t="shared" si="42"/>
        <v>3.1120000000000001</v>
      </c>
      <c r="AQ40" s="182">
        <f t="shared" si="42"/>
        <v>3.1120000000000001</v>
      </c>
      <c r="AR40" s="182">
        <f t="shared" si="42"/>
        <v>3.1120000000000001</v>
      </c>
      <c r="AS40" s="182">
        <f t="shared" si="42"/>
        <v>3.1120000000000001</v>
      </c>
      <c r="AT40" s="182">
        <f t="shared" si="42"/>
        <v>3.1120000000000001</v>
      </c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</row>
    <row r="41" spans="1:69" ht="13.5" customHeight="1" x14ac:dyDescent="0.3">
      <c r="A41" s="7"/>
      <c r="B41" s="7"/>
      <c r="C41" s="7" t="s">
        <v>385</v>
      </c>
      <c r="D41" s="7" t="s">
        <v>61</v>
      </c>
      <c r="E41" s="7"/>
      <c r="F41" s="7"/>
      <c r="G41" s="7"/>
      <c r="H41" s="7"/>
      <c r="I41" s="7"/>
      <c r="J41" s="182">
        <v>0</v>
      </c>
      <c r="K41" s="182">
        <v>0</v>
      </c>
      <c r="L41" s="182">
        <v>0</v>
      </c>
      <c r="M41" s="182">
        <v>0</v>
      </c>
      <c r="N41" s="182">
        <v>0</v>
      </c>
      <c r="O41" s="77">
        <v>0.01</v>
      </c>
      <c r="P41" s="77">
        <v>0.02</v>
      </c>
      <c r="Q41" s="77">
        <v>0.03</v>
      </c>
      <c r="R41" s="77">
        <v>0.03</v>
      </c>
      <c r="S41" s="77">
        <v>0.04</v>
      </c>
      <c r="T41" s="77">
        <v>0.03</v>
      </c>
      <c r="U41" s="182">
        <v>0</v>
      </c>
      <c r="V41" s="182">
        <v>0</v>
      </c>
      <c r="W41" s="182">
        <v>0</v>
      </c>
      <c r="X41" s="182">
        <v>0</v>
      </c>
      <c r="Y41" s="182">
        <v>0</v>
      </c>
      <c r="Z41" s="182">
        <v>0</v>
      </c>
      <c r="AA41" s="77">
        <v>0.01</v>
      </c>
      <c r="AB41" s="77">
        <v>0.02</v>
      </c>
      <c r="AC41" s="77">
        <v>0.03</v>
      </c>
      <c r="AD41" s="77">
        <v>0.03</v>
      </c>
      <c r="AE41" s="77">
        <v>0.04</v>
      </c>
      <c r="AF41" s="77">
        <v>0.03</v>
      </c>
      <c r="AG41" s="77">
        <v>0.03</v>
      </c>
      <c r="AH41" s="7"/>
      <c r="AI41" s="182">
        <f t="shared" si="36"/>
        <v>0</v>
      </c>
      <c r="AJ41" s="182">
        <f t="shared" si="37"/>
        <v>4.84</v>
      </c>
      <c r="AK41" s="182">
        <f t="shared" ref="AK41:AT41" si="43">AJ41</f>
        <v>4.84</v>
      </c>
      <c r="AL41" s="182">
        <f t="shared" si="43"/>
        <v>4.84</v>
      </c>
      <c r="AM41" s="182">
        <f t="shared" si="43"/>
        <v>4.84</v>
      </c>
      <c r="AN41" s="182">
        <f t="shared" si="43"/>
        <v>4.84</v>
      </c>
      <c r="AO41" s="182">
        <f t="shared" si="43"/>
        <v>4.84</v>
      </c>
      <c r="AP41" s="182">
        <f t="shared" si="43"/>
        <v>4.84</v>
      </c>
      <c r="AQ41" s="182">
        <f t="shared" si="43"/>
        <v>4.84</v>
      </c>
      <c r="AR41" s="182">
        <f t="shared" si="43"/>
        <v>4.84</v>
      </c>
      <c r="AS41" s="182">
        <f t="shared" si="43"/>
        <v>4.84</v>
      </c>
      <c r="AT41" s="182">
        <f t="shared" si="43"/>
        <v>4.84</v>
      </c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</row>
    <row r="42" spans="1:69" ht="13.5" customHeight="1" x14ac:dyDescent="0.3">
      <c r="A42" s="7"/>
      <c r="B42" s="7"/>
      <c r="C42" s="7" t="s">
        <v>373</v>
      </c>
      <c r="D42" s="7" t="s">
        <v>61</v>
      </c>
      <c r="E42" s="7"/>
      <c r="F42" s="7"/>
      <c r="G42" s="7"/>
      <c r="H42" s="7"/>
      <c r="I42" s="7"/>
      <c r="J42" s="182">
        <v>0</v>
      </c>
      <c r="K42" s="182">
        <v>0</v>
      </c>
      <c r="L42" s="182">
        <v>0</v>
      </c>
      <c r="M42" s="182">
        <v>0</v>
      </c>
      <c r="N42" s="182">
        <v>0</v>
      </c>
      <c r="O42" s="182">
        <v>0</v>
      </c>
      <c r="P42" s="182">
        <v>0</v>
      </c>
      <c r="Q42" s="182">
        <v>0</v>
      </c>
      <c r="R42" s="182">
        <v>0</v>
      </c>
      <c r="S42" s="182">
        <v>0</v>
      </c>
      <c r="T42" s="182">
        <v>9</v>
      </c>
      <c r="U42" s="182">
        <v>0</v>
      </c>
      <c r="V42" s="182">
        <v>0</v>
      </c>
      <c r="W42" s="182">
        <v>0</v>
      </c>
      <c r="X42" s="182">
        <v>0</v>
      </c>
      <c r="Y42" s="182">
        <v>0</v>
      </c>
      <c r="Z42" s="182">
        <v>0</v>
      </c>
      <c r="AA42" s="182">
        <v>0</v>
      </c>
      <c r="AB42" s="182">
        <v>0</v>
      </c>
      <c r="AC42" s="182">
        <v>0</v>
      </c>
      <c r="AD42" s="182">
        <v>0</v>
      </c>
      <c r="AE42" s="182">
        <v>0</v>
      </c>
      <c r="AF42" s="182">
        <v>9</v>
      </c>
      <c r="AG42" s="182">
        <v>9</v>
      </c>
      <c r="AH42" s="7"/>
      <c r="AI42" s="182">
        <f t="shared" si="36"/>
        <v>0</v>
      </c>
      <c r="AJ42" s="182">
        <f t="shared" si="37"/>
        <v>270</v>
      </c>
      <c r="AK42" s="182">
        <f t="shared" ref="AK42:AT42" si="44">AJ42</f>
        <v>270</v>
      </c>
      <c r="AL42" s="182">
        <f t="shared" si="44"/>
        <v>270</v>
      </c>
      <c r="AM42" s="182">
        <f t="shared" si="44"/>
        <v>270</v>
      </c>
      <c r="AN42" s="182">
        <f t="shared" si="44"/>
        <v>270</v>
      </c>
      <c r="AO42" s="182">
        <f t="shared" si="44"/>
        <v>270</v>
      </c>
      <c r="AP42" s="182">
        <f t="shared" si="44"/>
        <v>270</v>
      </c>
      <c r="AQ42" s="182">
        <f t="shared" si="44"/>
        <v>270</v>
      </c>
      <c r="AR42" s="182">
        <f t="shared" si="44"/>
        <v>270</v>
      </c>
      <c r="AS42" s="182">
        <f t="shared" si="44"/>
        <v>270</v>
      </c>
      <c r="AT42" s="182">
        <f t="shared" si="44"/>
        <v>270</v>
      </c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</row>
    <row r="43" spans="1:69" ht="13.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7"/>
      <c r="AI43" s="183"/>
      <c r="AJ43" s="183"/>
      <c r="AK43" s="183"/>
      <c r="AL43" s="183"/>
      <c r="AM43" s="183"/>
      <c r="AN43" s="183"/>
      <c r="AO43" s="183"/>
      <c r="AP43" s="183"/>
      <c r="AQ43" s="183"/>
      <c r="AR43" s="183"/>
      <c r="AS43" s="183"/>
      <c r="AT43" s="183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</row>
    <row r="44" spans="1:69" ht="13.5" customHeight="1" x14ac:dyDescent="0.3">
      <c r="A44" s="7"/>
      <c r="B44" s="5" t="s">
        <v>386</v>
      </c>
      <c r="C44" s="7"/>
      <c r="D44" s="7"/>
      <c r="E44" s="7"/>
      <c r="F44" s="7"/>
      <c r="G44" s="7"/>
      <c r="H44" s="7"/>
      <c r="I44" s="7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7"/>
      <c r="AI44" s="183"/>
      <c r="AJ44" s="183"/>
      <c r="AK44" s="183"/>
      <c r="AL44" s="183"/>
      <c r="AM44" s="183"/>
      <c r="AN44" s="183"/>
      <c r="AO44" s="183"/>
      <c r="AP44" s="183"/>
      <c r="AQ44" s="183"/>
      <c r="AR44" s="183"/>
      <c r="AS44" s="183"/>
      <c r="AT44" s="183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</row>
    <row r="45" spans="1:69" ht="13.5" customHeight="1" x14ac:dyDescent="0.3">
      <c r="A45" s="7"/>
      <c r="B45" s="7"/>
      <c r="C45" s="7" t="s">
        <v>373</v>
      </c>
      <c r="D45" s="7" t="s">
        <v>61</v>
      </c>
      <c r="E45" s="7"/>
      <c r="F45" s="7"/>
      <c r="G45" s="7"/>
      <c r="H45" s="7"/>
      <c r="I45" s="7"/>
      <c r="J45" s="182">
        <v>29</v>
      </c>
      <c r="K45" s="182">
        <v>29</v>
      </c>
      <c r="L45" s="182">
        <v>29</v>
      </c>
      <c r="M45" s="182">
        <v>0</v>
      </c>
      <c r="N45" s="182">
        <v>0</v>
      </c>
      <c r="O45" s="182">
        <v>0</v>
      </c>
      <c r="P45" s="182">
        <v>0</v>
      </c>
      <c r="Q45" s="182">
        <v>0</v>
      </c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7"/>
      <c r="AI45" s="182">
        <f t="shared" ref="AI45:AI52" si="45">SUMPRODUCT(J45:N45,J$4:N$4)</f>
        <v>2639</v>
      </c>
      <c r="AJ45" s="182">
        <f t="shared" ref="AJ45:AJ52" si="46">SUMPRODUCT(O45:Z45,O$4:Z$4)</f>
        <v>0</v>
      </c>
      <c r="AK45" s="182">
        <f t="shared" ref="AK45:AT45" si="47">AJ45</f>
        <v>0</v>
      </c>
      <c r="AL45" s="182">
        <f t="shared" si="47"/>
        <v>0</v>
      </c>
      <c r="AM45" s="182">
        <f t="shared" si="47"/>
        <v>0</v>
      </c>
      <c r="AN45" s="182">
        <f t="shared" si="47"/>
        <v>0</v>
      </c>
      <c r="AO45" s="182">
        <f t="shared" si="47"/>
        <v>0</v>
      </c>
      <c r="AP45" s="182">
        <f t="shared" si="47"/>
        <v>0</v>
      </c>
      <c r="AQ45" s="182">
        <f t="shared" si="47"/>
        <v>0</v>
      </c>
      <c r="AR45" s="182">
        <f t="shared" si="47"/>
        <v>0</v>
      </c>
      <c r="AS45" s="182">
        <f t="shared" si="47"/>
        <v>0</v>
      </c>
      <c r="AT45" s="182">
        <f t="shared" si="47"/>
        <v>0</v>
      </c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</row>
    <row r="46" spans="1:69" ht="13.5" customHeight="1" x14ac:dyDescent="0.3">
      <c r="A46" s="7"/>
      <c r="B46" s="7"/>
      <c r="C46" s="7" t="s">
        <v>374</v>
      </c>
      <c r="D46" s="7" t="s">
        <v>61</v>
      </c>
      <c r="E46" s="7"/>
      <c r="F46" s="7"/>
      <c r="G46" s="7"/>
      <c r="H46" s="7"/>
      <c r="I46" s="7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82">
        <v>0</v>
      </c>
      <c r="P46" s="182">
        <v>0</v>
      </c>
      <c r="Q46" s="182">
        <v>0</v>
      </c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7"/>
      <c r="AI46" s="182">
        <f t="shared" si="45"/>
        <v>0</v>
      </c>
      <c r="AJ46" s="182">
        <f t="shared" si="46"/>
        <v>0</v>
      </c>
      <c r="AK46" s="182">
        <f t="shared" ref="AK46:AT46" si="48">AJ46</f>
        <v>0</v>
      </c>
      <c r="AL46" s="182">
        <f t="shared" si="48"/>
        <v>0</v>
      </c>
      <c r="AM46" s="182">
        <f t="shared" si="48"/>
        <v>0</v>
      </c>
      <c r="AN46" s="182">
        <f t="shared" si="48"/>
        <v>0</v>
      </c>
      <c r="AO46" s="182">
        <f t="shared" si="48"/>
        <v>0</v>
      </c>
      <c r="AP46" s="182">
        <f t="shared" si="48"/>
        <v>0</v>
      </c>
      <c r="AQ46" s="182">
        <f t="shared" si="48"/>
        <v>0</v>
      </c>
      <c r="AR46" s="182">
        <f t="shared" si="48"/>
        <v>0</v>
      </c>
      <c r="AS46" s="182">
        <f t="shared" si="48"/>
        <v>0</v>
      </c>
      <c r="AT46" s="182">
        <f t="shared" si="48"/>
        <v>0</v>
      </c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</row>
    <row r="47" spans="1:69" ht="13.5" customHeight="1" x14ac:dyDescent="0.3">
      <c r="A47" s="7"/>
      <c r="B47" s="7"/>
      <c r="C47" s="7" t="s">
        <v>375</v>
      </c>
      <c r="D47" s="7" t="s">
        <v>61</v>
      </c>
      <c r="E47" s="7"/>
      <c r="F47" s="7"/>
      <c r="G47" s="7"/>
      <c r="H47" s="7"/>
      <c r="I47" s="7"/>
      <c r="J47" s="77">
        <v>0.03</v>
      </c>
      <c r="K47" s="77">
        <v>0.03</v>
      </c>
      <c r="L47" s="77">
        <v>0.03</v>
      </c>
      <c r="M47" s="77">
        <v>0.03</v>
      </c>
      <c r="N47" s="77">
        <v>0.03</v>
      </c>
      <c r="O47" s="77">
        <v>0.03</v>
      </c>
      <c r="P47" s="77">
        <v>0.03</v>
      </c>
      <c r="Q47" s="77">
        <v>0.03</v>
      </c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"/>
      <c r="AI47" s="182">
        <f t="shared" si="45"/>
        <v>4.5599999999999996</v>
      </c>
      <c r="AJ47" s="182">
        <f t="shared" si="46"/>
        <v>2.7</v>
      </c>
      <c r="AK47" s="182">
        <f t="shared" ref="AK47:AT47" si="49">AJ47</f>
        <v>2.7</v>
      </c>
      <c r="AL47" s="182">
        <f t="shared" si="49"/>
        <v>2.7</v>
      </c>
      <c r="AM47" s="182">
        <f t="shared" si="49"/>
        <v>2.7</v>
      </c>
      <c r="AN47" s="182">
        <f t="shared" si="49"/>
        <v>2.7</v>
      </c>
      <c r="AO47" s="182">
        <f t="shared" si="49"/>
        <v>2.7</v>
      </c>
      <c r="AP47" s="182">
        <f t="shared" si="49"/>
        <v>2.7</v>
      </c>
      <c r="AQ47" s="182">
        <f t="shared" si="49"/>
        <v>2.7</v>
      </c>
      <c r="AR47" s="182">
        <f t="shared" si="49"/>
        <v>2.7</v>
      </c>
      <c r="AS47" s="182">
        <f t="shared" si="49"/>
        <v>2.7</v>
      </c>
      <c r="AT47" s="182">
        <f t="shared" si="49"/>
        <v>2.7</v>
      </c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</row>
    <row r="48" spans="1:69" ht="13.5" customHeight="1" x14ac:dyDescent="0.3">
      <c r="A48" s="7"/>
      <c r="B48" s="7"/>
      <c r="C48" s="7" t="s">
        <v>385</v>
      </c>
      <c r="D48" s="7" t="s">
        <v>61</v>
      </c>
      <c r="E48" s="7"/>
      <c r="F48" s="7"/>
      <c r="G48" s="7"/>
      <c r="H48" s="7"/>
      <c r="I48" s="7"/>
      <c r="J48" s="77">
        <v>0.03</v>
      </c>
      <c r="K48" s="77">
        <v>0.03</v>
      </c>
      <c r="L48" s="77">
        <v>0.03</v>
      </c>
      <c r="M48" s="77">
        <v>0.03</v>
      </c>
      <c r="N48" s="77">
        <v>0.03</v>
      </c>
      <c r="O48" s="77">
        <v>0.03</v>
      </c>
      <c r="P48" s="77">
        <v>0.03</v>
      </c>
      <c r="Q48" s="77">
        <v>0.03</v>
      </c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"/>
      <c r="AI48" s="182">
        <f t="shared" si="45"/>
        <v>4.5599999999999996</v>
      </c>
      <c r="AJ48" s="182">
        <f t="shared" si="46"/>
        <v>2.7</v>
      </c>
      <c r="AK48" s="182">
        <f t="shared" ref="AK48:AT48" si="50">AJ48</f>
        <v>2.7</v>
      </c>
      <c r="AL48" s="182">
        <f t="shared" si="50"/>
        <v>2.7</v>
      </c>
      <c r="AM48" s="182">
        <f t="shared" si="50"/>
        <v>2.7</v>
      </c>
      <c r="AN48" s="182">
        <f t="shared" si="50"/>
        <v>2.7</v>
      </c>
      <c r="AO48" s="182">
        <f t="shared" si="50"/>
        <v>2.7</v>
      </c>
      <c r="AP48" s="182">
        <f t="shared" si="50"/>
        <v>2.7</v>
      </c>
      <c r="AQ48" s="182">
        <f t="shared" si="50"/>
        <v>2.7</v>
      </c>
      <c r="AR48" s="182">
        <f t="shared" si="50"/>
        <v>2.7</v>
      </c>
      <c r="AS48" s="182">
        <f t="shared" si="50"/>
        <v>2.7</v>
      </c>
      <c r="AT48" s="182">
        <f t="shared" si="50"/>
        <v>2.7</v>
      </c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</row>
    <row r="49" spans="1:69" ht="13.5" customHeight="1" x14ac:dyDescent="0.3">
      <c r="A49" s="7"/>
      <c r="B49" s="7"/>
      <c r="C49" s="7" t="s">
        <v>376</v>
      </c>
      <c r="D49" s="7" t="s">
        <v>61</v>
      </c>
      <c r="E49" s="7"/>
      <c r="F49" s="7"/>
      <c r="G49" s="7"/>
      <c r="H49" s="7"/>
      <c r="I49" s="7"/>
      <c r="J49" s="182">
        <v>0</v>
      </c>
      <c r="K49" s="182">
        <v>0</v>
      </c>
      <c r="L49" s="182">
        <v>0</v>
      </c>
      <c r="M49" s="182">
        <v>4</v>
      </c>
      <c r="N49" s="182">
        <v>4</v>
      </c>
      <c r="O49" s="182">
        <v>4</v>
      </c>
      <c r="P49" s="182">
        <v>4</v>
      </c>
      <c r="Q49" s="182">
        <v>4</v>
      </c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7"/>
      <c r="AI49" s="182">
        <f t="shared" si="45"/>
        <v>244</v>
      </c>
      <c r="AJ49" s="182">
        <f t="shared" si="46"/>
        <v>360</v>
      </c>
      <c r="AK49" s="182">
        <f t="shared" ref="AK49:AT49" si="51">AJ49</f>
        <v>360</v>
      </c>
      <c r="AL49" s="182">
        <f t="shared" si="51"/>
        <v>360</v>
      </c>
      <c r="AM49" s="182">
        <f t="shared" si="51"/>
        <v>360</v>
      </c>
      <c r="AN49" s="182">
        <f t="shared" si="51"/>
        <v>360</v>
      </c>
      <c r="AO49" s="182">
        <f t="shared" si="51"/>
        <v>360</v>
      </c>
      <c r="AP49" s="182">
        <f t="shared" si="51"/>
        <v>360</v>
      </c>
      <c r="AQ49" s="182">
        <f t="shared" si="51"/>
        <v>360</v>
      </c>
      <c r="AR49" s="182">
        <f t="shared" si="51"/>
        <v>360</v>
      </c>
      <c r="AS49" s="182">
        <f t="shared" si="51"/>
        <v>360</v>
      </c>
      <c r="AT49" s="182">
        <f t="shared" si="51"/>
        <v>360</v>
      </c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</row>
    <row r="50" spans="1:69" ht="13.5" customHeight="1" x14ac:dyDescent="0.3">
      <c r="A50" s="7"/>
      <c r="B50" s="7"/>
      <c r="C50" s="7" t="s">
        <v>377</v>
      </c>
      <c r="D50" s="7" t="s">
        <v>61</v>
      </c>
      <c r="E50" s="7"/>
      <c r="F50" s="7"/>
      <c r="G50" s="7"/>
      <c r="H50" s="7"/>
      <c r="I50" s="7"/>
      <c r="J50" s="182">
        <v>0</v>
      </c>
      <c r="K50" s="182">
        <v>0</v>
      </c>
      <c r="L50" s="182">
        <v>0</v>
      </c>
      <c r="M50" s="182">
        <v>5</v>
      </c>
      <c r="N50" s="182">
        <v>5</v>
      </c>
      <c r="O50" s="182">
        <v>5</v>
      </c>
      <c r="P50" s="182">
        <v>5</v>
      </c>
      <c r="Q50" s="182">
        <v>5</v>
      </c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7"/>
      <c r="AI50" s="182">
        <f t="shared" si="45"/>
        <v>305</v>
      </c>
      <c r="AJ50" s="182">
        <f t="shared" si="46"/>
        <v>450</v>
      </c>
      <c r="AK50" s="182">
        <f t="shared" ref="AK50:AT50" si="52">AJ50</f>
        <v>450</v>
      </c>
      <c r="AL50" s="182">
        <f t="shared" si="52"/>
        <v>450</v>
      </c>
      <c r="AM50" s="182">
        <f t="shared" si="52"/>
        <v>450</v>
      </c>
      <c r="AN50" s="182">
        <f t="shared" si="52"/>
        <v>450</v>
      </c>
      <c r="AO50" s="182">
        <f t="shared" si="52"/>
        <v>450</v>
      </c>
      <c r="AP50" s="182">
        <f t="shared" si="52"/>
        <v>450</v>
      </c>
      <c r="AQ50" s="182">
        <f t="shared" si="52"/>
        <v>450</v>
      </c>
      <c r="AR50" s="182">
        <f t="shared" si="52"/>
        <v>450</v>
      </c>
      <c r="AS50" s="182">
        <f t="shared" si="52"/>
        <v>450</v>
      </c>
      <c r="AT50" s="182">
        <f t="shared" si="52"/>
        <v>450</v>
      </c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</row>
    <row r="51" spans="1:69" ht="13.5" customHeight="1" x14ac:dyDescent="0.3">
      <c r="A51" s="7"/>
      <c r="B51" s="7"/>
      <c r="C51" s="7" t="s">
        <v>387</v>
      </c>
      <c r="D51" s="7" t="s">
        <v>61</v>
      </c>
      <c r="E51" s="7"/>
      <c r="F51" s="7"/>
      <c r="G51" s="7"/>
      <c r="H51" s="7"/>
      <c r="I51" s="7"/>
      <c r="J51" s="182">
        <v>0</v>
      </c>
      <c r="K51" s="182">
        <v>0</v>
      </c>
      <c r="L51" s="182">
        <v>0</v>
      </c>
      <c r="M51" s="182">
        <v>0</v>
      </c>
      <c r="N51" s="182">
        <v>0</v>
      </c>
      <c r="O51" s="182">
        <v>0</v>
      </c>
      <c r="P51" s="182">
        <v>0</v>
      </c>
      <c r="Q51" s="182">
        <v>0</v>
      </c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2"/>
      <c r="AE51" s="182"/>
      <c r="AF51" s="182"/>
      <c r="AG51" s="182"/>
      <c r="AH51" s="7"/>
      <c r="AI51" s="182">
        <f t="shared" si="45"/>
        <v>0</v>
      </c>
      <c r="AJ51" s="182">
        <f t="shared" si="46"/>
        <v>0</v>
      </c>
      <c r="AK51" s="182">
        <f t="shared" ref="AK51:AT51" si="53">AJ51</f>
        <v>0</v>
      </c>
      <c r="AL51" s="182">
        <f t="shared" si="53"/>
        <v>0</v>
      </c>
      <c r="AM51" s="182">
        <f t="shared" si="53"/>
        <v>0</v>
      </c>
      <c r="AN51" s="182">
        <f t="shared" si="53"/>
        <v>0</v>
      </c>
      <c r="AO51" s="182">
        <f t="shared" si="53"/>
        <v>0</v>
      </c>
      <c r="AP51" s="182">
        <f t="shared" si="53"/>
        <v>0</v>
      </c>
      <c r="AQ51" s="182">
        <f t="shared" si="53"/>
        <v>0</v>
      </c>
      <c r="AR51" s="182">
        <f t="shared" si="53"/>
        <v>0</v>
      </c>
      <c r="AS51" s="182">
        <f t="shared" si="53"/>
        <v>0</v>
      </c>
      <c r="AT51" s="182">
        <f t="shared" si="53"/>
        <v>0</v>
      </c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</row>
    <row r="52" spans="1:69" ht="13.5" customHeight="1" x14ac:dyDescent="0.3">
      <c r="A52" s="7"/>
      <c r="B52" s="7"/>
      <c r="C52" s="7" t="s">
        <v>388</v>
      </c>
      <c r="D52" s="7" t="s">
        <v>61</v>
      </c>
      <c r="E52" s="7"/>
      <c r="F52" s="7"/>
      <c r="G52" s="7"/>
      <c r="H52" s="7"/>
      <c r="I52" s="7"/>
      <c r="J52" s="182">
        <v>0</v>
      </c>
      <c r="K52" s="182">
        <v>0</v>
      </c>
      <c r="L52" s="182">
        <v>0</v>
      </c>
      <c r="M52" s="182">
        <v>0</v>
      </c>
      <c r="N52" s="182">
        <v>0</v>
      </c>
      <c r="O52" s="182">
        <v>0</v>
      </c>
      <c r="P52" s="182">
        <v>0</v>
      </c>
      <c r="Q52" s="182">
        <v>0</v>
      </c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7"/>
      <c r="AI52" s="182">
        <f t="shared" si="45"/>
        <v>0</v>
      </c>
      <c r="AJ52" s="182">
        <f t="shared" si="46"/>
        <v>0</v>
      </c>
      <c r="AK52" s="182">
        <f t="shared" ref="AK52:AT52" si="54">AJ52</f>
        <v>0</v>
      </c>
      <c r="AL52" s="182">
        <f t="shared" si="54"/>
        <v>0</v>
      </c>
      <c r="AM52" s="182">
        <f t="shared" si="54"/>
        <v>0</v>
      </c>
      <c r="AN52" s="182">
        <f t="shared" si="54"/>
        <v>0</v>
      </c>
      <c r="AO52" s="182">
        <f t="shared" si="54"/>
        <v>0</v>
      </c>
      <c r="AP52" s="182">
        <f t="shared" si="54"/>
        <v>0</v>
      </c>
      <c r="AQ52" s="182">
        <f t="shared" si="54"/>
        <v>0</v>
      </c>
      <c r="AR52" s="182">
        <f t="shared" si="54"/>
        <v>0</v>
      </c>
      <c r="AS52" s="182">
        <f t="shared" si="54"/>
        <v>0</v>
      </c>
      <c r="AT52" s="182">
        <f t="shared" si="54"/>
        <v>0</v>
      </c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</row>
    <row r="53" spans="1:69" ht="13.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7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</row>
    <row r="54" spans="1:69" ht="13.5" customHeight="1" x14ac:dyDescent="0.3">
      <c r="A54" s="7"/>
      <c r="B54" s="5" t="s">
        <v>389</v>
      </c>
      <c r="C54" s="7"/>
      <c r="D54" s="7"/>
      <c r="E54" s="7"/>
      <c r="F54" s="7"/>
      <c r="G54" s="7"/>
      <c r="H54" s="7"/>
      <c r="I54" s="7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7"/>
      <c r="AI54" s="183"/>
      <c r="AJ54" s="183"/>
      <c r="AK54" s="183"/>
      <c r="AL54" s="183"/>
      <c r="AM54" s="183"/>
      <c r="AN54" s="183"/>
      <c r="AO54" s="183"/>
      <c r="AP54" s="183"/>
      <c r="AQ54" s="183"/>
      <c r="AR54" s="183"/>
      <c r="AS54" s="183"/>
      <c r="AT54" s="183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</row>
    <row r="55" spans="1:69" ht="13.5" customHeight="1" x14ac:dyDescent="0.3">
      <c r="A55" s="7"/>
      <c r="B55" s="7"/>
      <c r="C55" s="7" t="s">
        <v>373</v>
      </c>
      <c r="D55" s="7" t="s">
        <v>61</v>
      </c>
      <c r="E55" s="7"/>
      <c r="F55" s="7"/>
      <c r="G55" s="7"/>
      <c r="H55" s="7"/>
      <c r="I55" s="7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>
        <v>29</v>
      </c>
      <c r="V55" s="182">
        <v>29</v>
      </c>
      <c r="W55" s="182">
        <v>29</v>
      </c>
      <c r="X55" s="182">
        <v>29</v>
      </c>
      <c r="Y55" s="182">
        <v>0</v>
      </c>
      <c r="Z55" s="182">
        <v>0</v>
      </c>
      <c r="AA55" s="182">
        <v>0</v>
      </c>
      <c r="AB55" s="182">
        <v>0</v>
      </c>
      <c r="AC55" s="182">
        <v>0</v>
      </c>
      <c r="AD55" s="182">
        <v>0</v>
      </c>
      <c r="AE55" s="182">
        <v>29</v>
      </c>
      <c r="AF55" s="182">
        <v>29</v>
      </c>
      <c r="AG55" s="182">
        <v>29</v>
      </c>
      <c r="AH55" s="7"/>
      <c r="AI55" s="182">
        <f t="shared" ref="AI55:AI62" si="55">SUMPRODUCT(J55:N55,J$4:N$4)</f>
        <v>0</v>
      </c>
      <c r="AJ55" s="182">
        <f t="shared" ref="AJ55:AJ62" si="56">SUMPRODUCT(O55:Z55,O$4:Z$4)</f>
        <v>3567</v>
      </c>
      <c r="AK55" s="182">
        <f t="shared" ref="AK55:AT55" si="57">AJ55</f>
        <v>3567</v>
      </c>
      <c r="AL55" s="182">
        <f t="shared" si="57"/>
        <v>3567</v>
      </c>
      <c r="AM55" s="182">
        <f t="shared" si="57"/>
        <v>3567</v>
      </c>
      <c r="AN55" s="182">
        <f t="shared" si="57"/>
        <v>3567</v>
      </c>
      <c r="AO55" s="182">
        <f t="shared" si="57"/>
        <v>3567</v>
      </c>
      <c r="AP55" s="182">
        <f t="shared" si="57"/>
        <v>3567</v>
      </c>
      <c r="AQ55" s="182">
        <f t="shared" si="57"/>
        <v>3567</v>
      </c>
      <c r="AR55" s="182">
        <f t="shared" si="57"/>
        <v>3567</v>
      </c>
      <c r="AS55" s="182">
        <f t="shared" si="57"/>
        <v>3567</v>
      </c>
      <c r="AT55" s="182">
        <f t="shared" si="57"/>
        <v>3567</v>
      </c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</row>
    <row r="56" spans="1:69" ht="13.5" customHeight="1" x14ac:dyDescent="0.3">
      <c r="A56" s="7"/>
      <c r="B56" s="7"/>
      <c r="C56" s="7" t="s">
        <v>374</v>
      </c>
      <c r="D56" s="7" t="s">
        <v>61</v>
      </c>
      <c r="E56" s="7"/>
      <c r="F56" s="7"/>
      <c r="G56" s="7"/>
      <c r="H56" s="7"/>
      <c r="I56" s="7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>
        <v>0</v>
      </c>
      <c r="V56" s="182">
        <v>0</v>
      </c>
      <c r="W56" s="182">
        <v>0</v>
      </c>
      <c r="X56" s="182">
        <v>0</v>
      </c>
      <c r="Y56" s="182">
        <v>0</v>
      </c>
      <c r="Z56" s="182">
        <v>0</v>
      </c>
      <c r="AA56" s="182">
        <v>0</v>
      </c>
      <c r="AB56" s="182">
        <v>0</v>
      </c>
      <c r="AC56" s="182">
        <v>0</v>
      </c>
      <c r="AD56" s="182">
        <v>0</v>
      </c>
      <c r="AE56" s="182">
        <v>0</v>
      </c>
      <c r="AF56" s="182">
        <v>0</v>
      </c>
      <c r="AG56" s="182">
        <v>0</v>
      </c>
      <c r="AH56" s="7"/>
      <c r="AI56" s="182">
        <f t="shared" si="55"/>
        <v>0</v>
      </c>
      <c r="AJ56" s="182">
        <f t="shared" si="56"/>
        <v>0</v>
      </c>
      <c r="AK56" s="182">
        <f t="shared" ref="AK56:AT56" si="58">AJ56</f>
        <v>0</v>
      </c>
      <c r="AL56" s="182">
        <f t="shared" si="58"/>
        <v>0</v>
      </c>
      <c r="AM56" s="182">
        <f t="shared" si="58"/>
        <v>0</v>
      </c>
      <c r="AN56" s="182">
        <f t="shared" si="58"/>
        <v>0</v>
      </c>
      <c r="AO56" s="182">
        <f t="shared" si="58"/>
        <v>0</v>
      </c>
      <c r="AP56" s="182">
        <f t="shared" si="58"/>
        <v>0</v>
      </c>
      <c r="AQ56" s="182">
        <f t="shared" si="58"/>
        <v>0</v>
      </c>
      <c r="AR56" s="182">
        <f t="shared" si="58"/>
        <v>0</v>
      </c>
      <c r="AS56" s="182">
        <f t="shared" si="58"/>
        <v>0</v>
      </c>
      <c r="AT56" s="182">
        <f t="shared" si="58"/>
        <v>0</v>
      </c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</row>
    <row r="57" spans="1:69" ht="13.5" customHeight="1" x14ac:dyDescent="0.3">
      <c r="A57" s="7"/>
      <c r="B57" s="7"/>
      <c r="C57" s="7" t="s">
        <v>375</v>
      </c>
      <c r="D57" s="7" t="s">
        <v>61</v>
      </c>
      <c r="E57" s="7"/>
      <c r="F57" s="7"/>
      <c r="G57" s="7"/>
      <c r="H57" s="7"/>
      <c r="I57" s="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>
        <v>0.03</v>
      </c>
      <c r="V57" s="77">
        <v>0.03</v>
      </c>
      <c r="W57" s="77">
        <v>0.03</v>
      </c>
      <c r="X57" s="77">
        <v>0.03</v>
      </c>
      <c r="Y57" s="77">
        <v>0.03</v>
      </c>
      <c r="Z57" s="77">
        <v>0.03</v>
      </c>
      <c r="AA57" s="77">
        <v>0.03</v>
      </c>
      <c r="AB57" s="77">
        <v>0.03</v>
      </c>
      <c r="AC57" s="77">
        <v>0.03</v>
      </c>
      <c r="AD57" s="77">
        <v>0.03</v>
      </c>
      <c r="AE57" s="77">
        <v>0.03</v>
      </c>
      <c r="AF57" s="77">
        <v>0.03</v>
      </c>
      <c r="AG57" s="77">
        <v>0.03</v>
      </c>
      <c r="AH57" s="7"/>
      <c r="AI57" s="182">
        <f t="shared" si="55"/>
        <v>0</v>
      </c>
      <c r="AJ57" s="182">
        <f t="shared" si="56"/>
        <v>5.52</v>
      </c>
      <c r="AK57" s="182">
        <f t="shared" ref="AK57:AT57" si="59">AJ57</f>
        <v>5.52</v>
      </c>
      <c r="AL57" s="182">
        <f t="shared" si="59"/>
        <v>5.52</v>
      </c>
      <c r="AM57" s="182">
        <f t="shared" si="59"/>
        <v>5.52</v>
      </c>
      <c r="AN57" s="182">
        <f t="shared" si="59"/>
        <v>5.52</v>
      </c>
      <c r="AO57" s="182">
        <f t="shared" si="59"/>
        <v>5.52</v>
      </c>
      <c r="AP57" s="182">
        <f t="shared" si="59"/>
        <v>5.52</v>
      </c>
      <c r="AQ57" s="182">
        <f t="shared" si="59"/>
        <v>5.52</v>
      </c>
      <c r="AR57" s="182">
        <f t="shared" si="59"/>
        <v>5.52</v>
      </c>
      <c r="AS57" s="182">
        <f t="shared" si="59"/>
        <v>5.52</v>
      </c>
      <c r="AT57" s="182">
        <f t="shared" si="59"/>
        <v>5.52</v>
      </c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</row>
    <row r="58" spans="1:69" ht="13.5" customHeight="1" x14ac:dyDescent="0.3">
      <c r="A58" s="7"/>
      <c r="B58" s="7"/>
      <c r="C58" s="7" t="s">
        <v>385</v>
      </c>
      <c r="D58" s="7" t="s">
        <v>61</v>
      </c>
      <c r="E58" s="7"/>
      <c r="F58" s="7"/>
      <c r="G58" s="7"/>
      <c r="H58" s="7"/>
      <c r="I58" s="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>
        <v>0.03</v>
      </c>
      <c r="V58" s="77">
        <v>0.03</v>
      </c>
      <c r="W58" s="77">
        <v>0.03</v>
      </c>
      <c r="X58" s="77">
        <v>0.03</v>
      </c>
      <c r="Y58" s="77">
        <v>0.03</v>
      </c>
      <c r="Z58" s="77">
        <v>0.03</v>
      </c>
      <c r="AA58" s="77">
        <v>0.03</v>
      </c>
      <c r="AB58" s="77">
        <v>0.03</v>
      </c>
      <c r="AC58" s="77">
        <v>0.03</v>
      </c>
      <c r="AD58" s="77">
        <v>0.03</v>
      </c>
      <c r="AE58" s="77">
        <v>0.03</v>
      </c>
      <c r="AF58" s="77">
        <v>0.03</v>
      </c>
      <c r="AG58" s="77">
        <v>0.03</v>
      </c>
      <c r="AH58" s="7"/>
      <c r="AI58" s="182">
        <f t="shared" si="55"/>
        <v>0</v>
      </c>
      <c r="AJ58" s="182">
        <f t="shared" si="56"/>
        <v>5.52</v>
      </c>
      <c r="AK58" s="182">
        <f t="shared" ref="AK58:AT58" si="60">AJ58</f>
        <v>5.52</v>
      </c>
      <c r="AL58" s="182">
        <f t="shared" si="60"/>
        <v>5.52</v>
      </c>
      <c r="AM58" s="182">
        <f t="shared" si="60"/>
        <v>5.52</v>
      </c>
      <c r="AN58" s="182">
        <f t="shared" si="60"/>
        <v>5.52</v>
      </c>
      <c r="AO58" s="182">
        <f t="shared" si="60"/>
        <v>5.52</v>
      </c>
      <c r="AP58" s="182">
        <f t="shared" si="60"/>
        <v>5.52</v>
      </c>
      <c r="AQ58" s="182">
        <f t="shared" si="60"/>
        <v>5.52</v>
      </c>
      <c r="AR58" s="182">
        <f t="shared" si="60"/>
        <v>5.52</v>
      </c>
      <c r="AS58" s="182">
        <f t="shared" si="60"/>
        <v>5.52</v>
      </c>
      <c r="AT58" s="182">
        <f t="shared" si="60"/>
        <v>5.52</v>
      </c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</row>
    <row r="59" spans="1:69" ht="13.5" customHeight="1" x14ac:dyDescent="0.3">
      <c r="A59" s="7"/>
      <c r="B59" s="7"/>
      <c r="C59" s="7" t="s">
        <v>376</v>
      </c>
      <c r="D59" s="7" t="s">
        <v>61</v>
      </c>
      <c r="E59" s="7"/>
      <c r="F59" s="7"/>
      <c r="G59" s="7"/>
      <c r="H59" s="7"/>
      <c r="I59" s="7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>
        <v>0</v>
      </c>
      <c r="V59" s="182">
        <v>0</v>
      </c>
      <c r="W59" s="182">
        <v>0</v>
      </c>
      <c r="X59" s="182">
        <v>0</v>
      </c>
      <c r="Y59" s="182">
        <v>4</v>
      </c>
      <c r="Z59" s="182">
        <v>4</v>
      </c>
      <c r="AA59" s="182">
        <v>4</v>
      </c>
      <c r="AB59" s="182">
        <v>4</v>
      </c>
      <c r="AC59" s="182">
        <v>3.5</v>
      </c>
      <c r="AD59" s="182">
        <v>3.5</v>
      </c>
      <c r="AE59" s="182">
        <v>0</v>
      </c>
      <c r="AF59" s="182">
        <v>0</v>
      </c>
      <c r="AG59" s="182">
        <v>0</v>
      </c>
      <c r="AH59" s="7"/>
      <c r="AI59" s="182">
        <f t="shared" si="55"/>
        <v>0</v>
      </c>
      <c r="AJ59" s="182">
        <f t="shared" si="56"/>
        <v>244</v>
      </c>
      <c r="AK59" s="182">
        <f t="shared" ref="AK59:AT59" si="61">AJ59</f>
        <v>244</v>
      </c>
      <c r="AL59" s="182">
        <f t="shared" si="61"/>
        <v>244</v>
      </c>
      <c r="AM59" s="182">
        <f t="shared" si="61"/>
        <v>244</v>
      </c>
      <c r="AN59" s="182">
        <f t="shared" si="61"/>
        <v>244</v>
      </c>
      <c r="AO59" s="182">
        <f t="shared" si="61"/>
        <v>244</v>
      </c>
      <c r="AP59" s="182">
        <f t="shared" si="61"/>
        <v>244</v>
      </c>
      <c r="AQ59" s="182">
        <f t="shared" si="61"/>
        <v>244</v>
      </c>
      <c r="AR59" s="182">
        <f t="shared" si="61"/>
        <v>244</v>
      </c>
      <c r="AS59" s="182">
        <f t="shared" si="61"/>
        <v>244</v>
      </c>
      <c r="AT59" s="182">
        <f t="shared" si="61"/>
        <v>244</v>
      </c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</row>
    <row r="60" spans="1:69" ht="13.5" customHeight="1" x14ac:dyDescent="0.3">
      <c r="A60" s="7"/>
      <c r="B60" s="7"/>
      <c r="C60" s="7" t="s">
        <v>377</v>
      </c>
      <c r="D60" s="7" t="s">
        <v>61</v>
      </c>
      <c r="E60" s="7"/>
      <c r="F60" s="7"/>
      <c r="G60" s="7"/>
      <c r="H60" s="7"/>
      <c r="I60" s="7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>
        <v>0</v>
      </c>
      <c r="V60" s="182">
        <v>0</v>
      </c>
      <c r="W60" s="182">
        <v>0</v>
      </c>
      <c r="X60" s="182">
        <v>0</v>
      </c>
      <c r="Y60" s="182">
        <v>5</v>
      </c>
      <c r="Z60" s="182">
        <v>5</v>
      </c>
      <c r="AA60" s="182">
        <v>5</v>
      </c>
      <c r="AB60" s="182">
        <v>5</v>
      </c>
      <c r="AC60" s="182">
        <v>7</v>
      </c>
      <c r="AD60" s="182">
        <v>7</v>
      </c>
      <c r="AE60" s="182">
        <v>0</v>
      </c>
      <c r="AF60" s="182">
        <v>0</v>
      </c>
      <c r="AG60" s="182">
        <v>0</v>
      </c>
      <c r="AH60" s="7"/>
      <c r="AI60" s="182">
        <f t="shared" si="55"/>
        <v>0</v>
      </c>
      <c r="AJ60" s="182">
        <f t="shared" si="56"/>
        <v>305</v>
      </c>
      <c r="AK60" s="182">
        <f t="shared" ref="AK60:AT60" si="62">AJ60</f>
        <v>305</v>
      </c>
      <c r="AL60" s="182">
        <f t="shared" si="62"/>
        <v>305</v>
      </c>
      <c r="AM60" s="182">
        <f t="shared" si="62"/>
        <v>305</v>
      </c>
      <c r="AN60" s="182">
        <f t="shared" si="62"/>
        <v>305</v>
      </c>
      <c r="AO60" s="182">
        <f t="shared" si="62"/>
        <v>305</v>
      </c>
      <c r="AP60" s="182">
        <f t="shared" si="62"/>
        <v>305</v>
      </c>
      <c r="AQ60" s="182">
        <f t="shared" si="62"/>
        <v>305</v>
      </c>
      <c r="AR60" s="182">
        <f t="shared" si="62"/>
        <v>305</v>
      </c>
      <c r="AS60" s="182">
        <f t="shared" si="62"/>
        <v>305</v>
      </c>
      <c r="AT60" s="182">
        <f t="shared" si="62"/>
        <v>305</v>
      </c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</row>
    <row r="61" spans="1:69" ht="13.5" customHeight="1" x14ac:dyDescent="0.3">
      <c r="A61" s="7"/>
      <c r="B61" s="7"/>
      <c r="C61" s="7" t="s">
        <v>387</v>
      </c>
      <c r="D61" s="7" t="s">
        <v>61</v>
      </c>
      <c r="E61" s="7"/>
      <c r="F61" s="7"/>
      <c r="G61" s="7"/>
      <c r="H61" s="7"/>
      <c r="I61" s="7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>
        <v>0</v>
      </c>
      <c r="V61" s="182">
        <v>0</v>
      </c>
      <c r="W61" s="182">
        <v>0</v>
      </c>
      <c r="X61" s="182">
        <v>0</v>
      </c>
      <c r="Y61" s="182">
        <v>0</v>
      </c>
      <c r="Z61" s="182">
        <v>0</v>
      </c>
      <c r="AA61" s="182">
        <v>0</v>
      </c>
      <c r="AB61" s="182">
        <v>0</v>
      </c>
      <c r="AC61" s="182">
        <v>0</v>
      </c>
      <c r="AD61" s="182">
        <v>0</v>
      </c>
      <c r="AE61" s="182">
        <v>0</v>
      </c>
      <c r="AF61" s="182">
        <v>0</v>
      </c>
      <c r="AG61" s="182">
        <v>0</v>
      </c>
      <c r="AH61" s="7"/>
      <c r="AI61" s="182">
        <f t="shared" si="55"/>
        <v>0</v>
      </c>
      <c r="AJ61" s="182">
        <f t="shared" si="56"/>
        <v>0</v>
      </c>
      <c r="AK61" s="182">
        <f t="shared" ref="AK61:AT61" si="63">AJ61</f>
        <v>0</v>
      </c>
      <c r="AL61" s="182">
        <f t="shared" si="63"/>
        <v>0</v>
      </c>
      <c r="AM61" s="182">
        <f t="shared" si="63"/>
        <v>0</v>
      </c>
      <c r="AN61" s="182">
        <f t="shared" si="63"/>
        <v>0</v>
      </c>
      <c r="AO61" s="182">
        <f t="shared" si="63"/>
        <v>0</v>
      </c>
      <c r="AP61" s="182">
        <f t="shared" si="63"/>
        <v>0</v>
      </c>
      <c r="AQ61" s="182">
        <f t="shared" si="63"/>
        <v>0</v>
      </c>
      <c r="AR61" s="182">
        <f t="shared" si="63"/>
        <v>0</v>
      </c>
      <c r="AS61" s="182">
        <f t="shared" si="63"/>
        <v>0</v>
      </c>
      <c r="AT61" s="182">
        <f t="shared" si="63"/>
        <v>0</v>
      </c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</row>
    <row r="62" spans="1:69" ht="13.5" customHeight="1" x14ac:dyDescent="0.3">
      <c r="A62" s="7"/>
      <c r="B62" s="7"/>
      <c r="C62" s="7" t="s">
        <v>388</v>
      </c>
      <c r="D62" s="7" t="s">
        <v>61</v>
      </c>
      <c r="E62" s="7"/>
      <c r="F62" s="7"/>
      <c r="G62" s="7"/>
      <c r="H62" s="7"/>
      <c r="I62" s="7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>
        <v>0</v>
      </c>
      <c r="V62" s="182">
        <v>0</v>
      </c>
      <c r="W62" s="182">
        <v>0</v>
      </c>
      <c r="X62" s="182">
        <v>0</v>
      </c>
      <c r="Y62" s="182">
        <v>0</v>
      </c>
      <c r="Z62" s="182">
        <v>0</v>
      </c>
      <c r="AA62" s="182">
        <v>0</v>
      </c>
      <c r="AB62" s="182">
        <v>0</v>
      </c>
      <c r="AC62" s="182">
        <v>0</v>
      </c>
      <c r="AD62" s="182">
        <v>0</v>
      </c>
      <c r="AE62" s="182">
        <v>0</v>
      </c>
      <c r="AF62" s="182">
        <v>0</v>
      </c>
      <c r="AG62" s="182">
        <v>0</v>
      </c>
      <c r="AH62" s="7"/>
      <c r="AI62" s="182">
        <f t="shared" si="55"/>
        <v>0</v>
      </c>
      <c r="AJ62" s="182">
        <f t="shared" si="56"/>
        <v>0</v>
      </c>
      <c r="AK62" s="182">
        <f t="shared" ref="AK62:AT62" si="64">AJ62</f>
        <v>0</v>
      </c>
      <c r="AL62" s="182">
        <f t="shared" si="64"/>
        <v>0</v>
      </c>
      <c r="AM62" s="182">
        <f t="shared" si="64"/>
        <v>0</v>
      </c>
      <c r="AN62" s="182">
        <f t="shared" si="64"/>
        <v>0</v>
      </c>
      <c r="AO62" s="182">
        <f t="shared" si="64"/>
        <v>0</v>
      </c>
      <c r="AP62" s="182">
        <f t="shared" si="64"/>
        <v>0</v>
      </c>
      <c r="AQ62" s="182">
        <f t="shared" si="64"/>
        <v>0</v>
      </c>
      <c r="AR62" s="182">
        <f t="shared" si="64"/>
        <v>0</v>
      </c>
      <c r="AS62" s="182">
        <f t="shared" si="64"/>
        <v>0</v>
      </c>
      <c r="AT62" s="182">
        <f t="shared" si="64"/>
        <v>0</v>
      </c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</row>
    <row r="63" spans="1:69" ht="13.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7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</row>
    <row r="64" spans="1:69" ht="13.5" customHeight="1" x14ac:dyDescent="0.3">
      <c r="A64" s="7"/>
      <c r="B64" s="5" t="s">
        <v>59</v>
      </c>
      <c r="C64" s="7"/>
      <c r="D64" s="7"/>
      <c r="E64" s="7"/>
      <c r="F64" s="7"/>
      <c r="G64" s="7"/>
      <c r="H64" s="7"/>
      <c r="I64" s="7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7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  <c r="AS64" s="183"/>
      <c r="AT64" s="183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</row>
    <row r="65" spans="1:69" ht="13.5" customHeight="1" x14ac:dyDescent="0.3">
      <c r="A65" s="7"/>
      <c r="B65" s="7"/>
      <c r="C65" s="7" t="s">
        <v>373</v>
      </c>
      <c r="D65" s="7" t="s">
        <v>61</v>
      </c>
      <c r="E65" s="7"/>
      <c r="F65" s="7"/>
      <c r="G65" s="7"/>
      <c r="H65" s="7"/>
      <c r="I65" s="7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>
        <v>30</v>
      </c>
      <c r="V65" s="182">
        <v>30</v>
      </c>
      <c r="W65" s="182">
        <v>30</v>
      </c>
      <c r="X65" s="182">
        <v>30</v>
      </c>
      <c r="Y65" s="182"/>
      <c r="Z65" s="182"/>
      <c r="AA65" s="182"/>
      <c r="AB65" s="182"/>
      <c r="AC65" s="182"/>
      <c r="AD65" s="182"/>
      <c r="AE65" s="182"/>
      <c r="AF65" s="182"/>
      <c r="AG65" s="182"/>
      <c r="AH65" s="7"/>
      <c r="AI65" s="182">
        <f t="shared" ref="AI65:AI71" si="65">SUMPRODUCT(J65:N65,J$4:N$4)</f>
        <v>0</v>
      </c>
      <c r="AJ65" s="182">
        <f t="shared" ref="AJ65:AJ71" si="66">SUMPRODUCT(O65:Z65,O$4:Z$4)</f>
        <v>3690</v>
      </c>
      <c r="AK65" s="182">
        <f>AJ65</f>
        <v>3690</v>
      </c>
      <c r="AL65" s="182">
        <f t="shared" ref="AL65:AT65" si="67">AK65</f>
        <v>3690</v>
      </c>
      <c r="AM65" s="182">
        <f t="shared" si="67"/>
        <v>3690</v>
      </c>
      <c r="AN65" s="182">
        <f t="shared" si="67"/>
        <v>3690</v>
      </c>
      <c r="AO65" s="182">
        <f t="shared" si="67"/>
        <v>3690</v>
      </c>
      <c r="AP65" s="182">
        <f t="shared" si="67"/>
        <v>3690</v>
      </c>
      <c r="AQ65" s="182">
        <f t="shared" si="67"/>
        <v>3690</v>
      </c>
      <c r="AR65" s="182">
        <f t="shared" si="67"/>
        <v>3690</v>
      </c>
      <c r="AS65" s="182">
        <f t="shared" si="67"/>
        <v>3690</v>
      </c>
      <c r="AT65" s="182">
        <f t="shared" si="67"/>
        <v>3690</v>
      </c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</row>
    <row r="66" spans="1:69" ht="13.5" customHeight="1" x14ac:dyDescent="0.3">
      <c r="A66" s="7"/>
      <c r="B66" s="7"/>
      <c r="C66" s="7" t="s">
        <v>374</v>
      </c>
      <c r="D66" s="7" t="s">
        <v>61</v>
      </c>
      <c r="E66" s="7"/>
      <c r="F66" s="7"/>
      <c r="G66" s="7"/>
      <c r="H66" s="7"/>
      <c r="I66" s="7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>
        <v>0</v>
      </c>
      <c r="V66" s="182">
        <v>0</v>
      </c>
      <c r="W66" s="182">
        <v>0</v>
      </c>
      <c r="X66" s="182">
        <v>0</v>
      </c>
      <c r="Y66" s="182"/>
      <c r="Z66" s="182"/>
      <c r="AA66" s="182"/>
      <c r="AB66" s="182"/>
      <c r="AC66" s="182"/>
      <c r="AD66" s="182"/>
      <c r="AE66" s="182"/>
      <c r="AF66" s="182"/>
      <c r="AG66" s="182"/>
      <c r="AH66" s="7"/>
      <c r="AI66" s="182">
        <f t="shared" si="65"/>
        <v>0</v>
      </c>
      <c r="AJ66" s="182">
        <f t="shared" si="66"/>
        <v>0</v>
      </c>
      <c r="AK66" s="182">
        <f t="shared" ref="AK66:AT66" si="68">AJ66</f>
        <v>0</v>
      </c>
      <c r="AL66" s="182">
        <f t="shared" si="68"/>
        <v>0</v>
      </c>
      <c r="AM66" s="182">
        <f t="shared" si="68"/>
        <v>0</v>
      </c>
      <c r="AN66" s="182">
        <f t="shared" si="68"/>
        <v>0</v>
      </c>
      <c r="AO66" s="182">
        <f t="shared" si="68"/>
        <v>0</v>
      </c>
      <c r="AP66" s="182">
        <f t="shared" si="68"/>
        <v>0</v>
      </c>
      <c r="AQ66" s="182">
        <f t="shared" si="68"/>
        <v>0</v>
      </c>
      <c r="AR66" s="182">
        <f t="shared" si="68"/>
        <v>0</v>
      </c>
      <c r="AS66" s="182">
        <f t="shared" si="68"/>
        <v>0</v>
      </c>
      <c r="AT66" s="182">
        <f t="shared" si="68"/>
        <v>0</v>
      </c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</row>
    <row r="67" spans="1:69" ht="13.5" customHeight="1" x14ac:dyDescent="0.3">
      <c r="A67" s="7"/>
      <c r="B67" s="7"/>
      <c r="C67" s="7" t="s">
        <v>375</v>
      </c>
      <c r="D67" s="7" t="s">
        <v>61</v>
      </c>
      <c r="E67" s="7"/>
      <c r="F67" s="7"/>
      <c r="G67" s="7"/>
      <c r="H67" s="7"/>
      <c r="I67" s="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>
        <v>0.04</v>
      </c>
      <c r="V67" s="77">
        <v>0.04</v>
      </c>
      <c r="W67" s="77">
        <v>0.04</v>
      </c>
      <c r="X67" s="77">
        <v>0.04</v>
      </c>
      <c r="Y67" s="77"/>
      <c r="Z67" s="77"/>
      <c r="AA67" s="77"/>
      <c r="AB67" s="77"/>
      <c r="AC67" s="77"/>
      <c r="AD67" s="77"/>
      <c r="AE67" s="77"/>
      <c r="AF67" s="77"/>
      <c r="AG67" s="77"/>
      <c r="AH67" s="7"/>
      <c r="AI67" s="182">
        <f t="shared" si="65"/>
        <v>0</v>
      </c>
      <c r="AJ67" s="182">
        <f t="shared" si="66"/>
        <v>4.92</v>
      </c>
      <c r="AK67" s="182">
        <f t="shared" ref="AK67:AT67" si="69">AJ67</f>
        <v>4.92</v>
      </c>
      <c r="AL67" s="182">
        <f t="shared" si="69"/>
        <v>4.92</v>
      </c>
      <c r="AM67" s="182">
        <f t="shared" si="69"/>
        <v>4.92</v>
      </c>
      <c r="AN67" s="182">
        <f t="shared" si="69"/>
        <v>4.92</v>
      </c>
      <c r="AO67" s="182">
        <f t="shared" si="69"/>
        <v>4.92</v>
      </c>
      <c r="AP67" s="182">
        <f t="shared" si="69"/>
        <v>4.92</v>
      </c>
      <c r="AQ67" s="182">
        <f t="shared" si="69"/>
        <v>4.92</v>
      </c>
      <c r="AR67" s="182">
        <f t="shared" si="69"/>
        <v>4.92</v>
      </c>
      <c r="AS67" s="182">
        <f t="shared" si="69"/>
        <v>4.92</v>
      </c>
      <c r="AT67" s="182">
        <f t="shared" si="69"/>
        <v>4.92</v>
      </c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</row>
    <row r="68" spans="1:69" ht="13.5" customHeight="1" x14ac:dyDescent="0.3">
      <c r="A68" s="7"/>
      <c r="B68" s="7"/>
      <c r="C68" s="7" t="s">
        <v>385</v>
      </c>
      <c r="D68" s="7" t="s">
        <v>61</v>
      </c>
      <c r="E68" s="7"/>
      <c r="F68" s="7"/>
      <c r="G68" s="7"/>
      <c r="H68" s="7"/>
      <c r="I68" s="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>
        <v>0.04</v>
      </c>
      <c r="V68" s="77">
        <v>0.04</v>
      </c>
      <c r="W68" s="77">
        <v>0.04</v>
      </c>
      <c r="X68" s="77">
        <v>0.04</v>
      </c>
      <c r="Y68" s="77"/>
      <c r="Z68" s="77"/>
      <c r="AA68" s="77"/>
      <c r="AB68" s="77"/>
      <c r="AC68" s="77"/>
      <c r="AD68" s="77"/>
      <c r="AE68" s="77"/>
      <c r="AF68" s="77"/>
      <c r="AG68" s="77"/>
      <c r="AH68" s="7"/>
      <c r="AI68" s="182">
        <f t="shared" si="65"/>
        <v>0</v>
      </c>
      <c r="AJ68" s="182">
        <f t="shared" si="66"/>
        <v>4.92</v>
      </c>
      <c r="AK68" s="182">
        <f t="shared" ref="AK68:AT68" si="70">AJ68</f>
        <v>4.92</v>
      </c>
      <c r="AL68" s="182">
        <f t="shared" si="70"/>
        <v>4.92</v>
      </c>
      <c r="AM68" s="182">
        <f t="shared" si="70"/>
        <v>4.92</v>
      </c>
      <c r="AN68" s="182">
        <f t="shared" si="70"/>
        <v>4.92</v>
      </c>
      <c r="AO68" s="182">
        <f t="shared" si="70"/>
        <v>4.92</v>
      </c>
      <c r="AP68" s="182">
        <f t="shared" si="70"/>
        <v>4.92</v>
      </c>
      <c r="AQ68" s="182">
        <f t="shared" si="70"/>
        <v>4.92</v>
      </c>
      <c r="AR68" s="182">
        <f t="shared" si="70"/>
        <v>4.92</v>
      </c>
      <c r="AS68" s="182">
        <f t="shared" si="70"/>
        <v>4.92</v>
      </c>
      <c r="AT68" s="182">
        <f t="shared" si="70"/>
        <v>4.92</v>
      </c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</row>
    <row r="69" spans="1:69" ht="13.5" customHeight="1" x14ac:dyDescent="0.3">
      <c r="A69" s="7"/>
      <c r="B69" s="7"/>
      <c r="C69" s="7" t="s">
        <v>376</v>
      </c>
      <c r="D69" s="7" t="s">
        <v>61</v>
      </c>
      <c r="E69" s="7"/>
      <c r="F69" s="7"/>
      <c r="G69" s="7"/>
      <c r="H69" s="7"/>
      <c r="I69" s="7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>
        <v>0</v>
      </c>
      <c r="V69" s="182">
        <v>0</v>
      </c>
      <c r="W69" s="182">
        <v>0</v>
      </c>
      <c r="X69" s="182">
        <v>0</v>
      </c>
      <c r="Y69" s="182"/>
      <c r="Z69" s="182"/>
      <c r="AA69" s="182"/>
      <c r="AB69" s="182"/>
      <c r="AC69" s="182"/>
      <c r="AD69" s="182"/>
      <c r="AE69" s="182"/>
      <c r="AF69" s="182"/>
      <c r="AG69" s="182"/>
      <c r="AH69" s="7"/>
      <c r="AI69" s="182">
        <f t="shared" si="65"/>
        <v>0</v>
      </c>
      <c r="AJ69" s="182">
        <f t="shared" si="66"/>
        <v>0</v>
      </c>
      <c r="AK69" s="182">
        <f t="shared" ref="AK69:AT69" si="71">AJ69</f>
        <v>0</v>
      </c>
      <c r="AL69" s="182">
        <f t="shared" si="71"/>
        <v>0</v>
      </c>
      <c r="AM69" s="182">
        <f t="shared" si="71"/>
        <v>0</v>
      </c>
      <c r="AN69" s="182">
        <f t="shared" si="71"/>
        <v>0</v>
      </c>
      <c r="AO69" s="182">
        <f t="shared" si="71"/>
        <v>0</v>
      </c>
      <c r="AP69" s="182">
        <f t="shared" si="71"/>
        <v>0</v>
      </c>
      <c r="AQ69" s="182">
        <f t="shared" si="71"/>
        <v>0</v>
      </c>
      <c r="AR69" s="182">
        <f t="shared" si="71"/>
        <v>0</v>
      </c>
      <c r="AS69" s="182">
        <f t="shared" si="71"/>
        <v>0</v>
      </c>
      <c r="AT69" s="182">
        <f t="shared" si="71"/>
        <v>0</v>
      </c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</row>
    <row r="70" spans="1:69" ht="13.5" customHeight="1" x14ac:dyDescent="0.3">
      <c r="A70" s="7"/>
      <c r="B70" s="7"/>
      <c r="C70" s="7" t="s">
        <v>390</v>
      </c>
      <c r="D70" s="7" t="s">
        <v>61</v>
      </c>
      <c r="E70" s="7"/>
      <c r="F70" s="7"/>
      <c r="G70" s="7"/>
      <c r="H70" s="7"/>
      <c r="I70" s="7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>
        <v>0</v>
      </c>
      <c r="V70" s="182">
        <v>0</v>
      </c>
      <c r="W70" s="182">
        <v>0</v>
      </c>
      <c r="X70" s="182">
        <v>0</v>
      </c>
      <c r="Y70" s="182"/>
      <c r="Z70" s="182"/>
      <c r="AA70" s="182"/>
      <c r="AB70" s="182"/>
      <c r="AC70" s="182"/>
      <c r="AD70" s="182"/>
      <c r="AE70" s="182"/>
      <c r="AF70" s="182"/>
      <c r="AG70" s="182"/>
      <c r="AH70" s="7"/>
      <c r="AI70" s="182">
        <f t="shared" si="65"/>
        <v>0</v>
      </c>
      <c r="AJ70" s="182">
        <f t="shared" si="66"/>
        <v>0</v>
      </c>
      <c r="AK70" s="182">
        <f t="shared" ref="AK70:AT70" si="72">AJ70</f>
        <v>0</v>
      </c>
      <c r="AL70" s="182">
        <f t="shared" si="72"/>
        <v>0</v>
      </c>
      <c r="AM70" s="182">
        <f t="shared" si="72"/>
        <v>0</v>
      </c>
      <c r="AN70" s="182">
        <f t="shared" si="72"/>
        <v>0</v>
      </c>
      <c r="AO70" s="182">
        <f t="shared" si="72"/>
        <v>0</v>
      </c>
      <c r="AP70" s="182">
        <f t="shared" si="72"/>
        <v>0</v>
      </c>
      <c r="AQ70" s="182">
        <f t="shared" si="72"/>
        <v>0</v>
      </c>
      <c r="AR70" s="182">
        <f t="shared" si="72"/>
        <v>0</v>
      </c>
      <c r="AS70" s="182">
        <f t="shared" si="72"/>
        <v>0</v>
      </c>
      <c r="AT70" s="182">
        <f t="shared" si="72"/>
        <v>0</v>
      </c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</row>
    <row r="71" spans="1:69" ht="13.5" customHeight="1" x14ac:dyDescent="0.3">
      <c r="A71" s="7"/>
      <c r="B71" s="7"/>
      <c r="C71" s="7" t="s">
        <v>378</v>
      </c>
      <c r="D71" s="7" t="s">
        <v>61</v>
      </c>
      <c r="E71" s="7"/>
      <c r="F71" s="7"/>
      <c r="G71" s="7"/>
      <c r="H71" s="7"/>
      <c r="I71" s="7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>
        <v>0</v>
      </c>
      <c r="V71" s="182">
        <v>0</v>
      </c>
      <c r="W71" s="182">
        <v>0</v>
      </c>
      <c r="X71" s="182">
        <v>0</v>
      </c>
      <c r="Y71" s="182"/>
      <c r="Z71" s="182"/>
      <c r="AA71" s="182"/>
      <c r="AB71" s="182"/>
      <c r="AC71" s="182"/>
      <c r="AD71" s="182"/>
      <c r="AE71" s="182"/>
      <c r="AF71" s="182"/>
      <c r="AG71" s="182"/>
      <c r="AH71" s="7"/>
      <c r="AI71" s="182">
        <f t="shared" si="65"/>
        <v>0</v>
      </c>
      <c r="AJ71" s="182">
        <f t="shared" si="66"/>
        <v>0</v>
      </c>
      <c r="AK71" s="182">
        <f t="shared" ref="AK71:AT71" si="73">AJ71</f>
        <v>0</v>
      </c>
      <c r="AL71" s="182">
        <f t="shared" si="73"/>
        <v>0</v>
      </c>
      <c r="AM71" s="182">
        <f t="shared" si="73"/>
        <v>0</v>
      </c>
      <c r="AN71" s="182">
        <f t="shared" si="73"/>
        <v>0</v>
      </c>
      <c r="AO71" s="182">
        <f t="shared" si="73"/>
        <v>0</v>
      </c>
      <c r="AP71" s="182">
        <f t="shared" si="73"/>
        <v>0</v>
      </c>
      <c r="AQ71" s="182">
        <f t="shared" si="73"/>
        <v>0</v>
      </c>
      <c r="AR71" s="182">
        <f t="shared" si="73"/>
        <v>0</v>
      </c>
      <c r="AS71" s="182">
        <f t="shared" si="73"/>
        <v>0</v>
      </c>
      <c r="AT71" s="182">
        <f t="shared" si="73"/>
        <v>0</v>
      </c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</row>
    <row r="72" spans="1:69" ht="13.2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7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</row>
    <row r="73" spans="1:69" ht="13.2" customHeight="1" x14ac:dyDescent="0.3">
      <c r="A73" s="7"/>
      <c r="B73" s="5" t="s">
        <v>463</v>
      </c>
      <c r="C73" s="7"/>
      <c r="D73" s="7"/>
      <c r="E73" s="7"/>
      <c r="F73" s="7"/>
      <c r="G73" s="7"/>
      <c r="H73" s="7"/>
      <c r="I73" s="7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7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</row>
    <row r="74" spans="1:69" ht="13.2" customHeight="1" x14ac:dyDescent="0.3">
      <c r="A74" s="7"/>
      <c r="B74" s="7"/>
      <c r="C74" s="7" t="s">
        <v>373</v>
      </c>
      <c r="D74" s="7" t="s">
        <v>61</v>
      </c>
      <c r="E74" s="7"/>
      <c r="F74" s="7"/>
      <c r="G74" s="7"/>
      <c r="H74" s="7"/>
      <c r="I74" s="7"/>
      <c r="J74" s="182"/>
      <c r="K74" s="182"/>
      <c r="L74" s="182"/>
      <c r="M74" s="182"/>
      <c r="N74" s="182"/>
      <c r="O74" s="182"/>
      <c r="P74" s="182"/>
      <c r="Q74" s="182"/>
      <c r="R74" s="182"/>
      <c r="S74" s="182">
        <v>30</v>
      </c>
      <c r="T74" s="182">
        <v>30</v>
      </c>
      <c r="U74" s="182">
        <v>30</v>
      </c>
      <c r="V74" s="182">
        <v>30</v>
      </c>
      <c r="W74" s="182">
        <v>30</v>
      </c>
      <c r="X74" s="182">
        <v>30</v>
      </c>
      <c r="Y74" s="182"/>
      <c r="Z74" s="182"/>
      <c r="AA74" s="182"/>
      <c r="AB74" s="182"/>
      <c r="AC74" s="182"/>
      <c r="AD74" s="182"/>
      <c r="AE74" s="182"/>
      <c r="AF74" s="182"/>
      <c r="AG74" s="182"/>
      <c r="AH74" s="7"/>
      <c r="AI74" s="182">
        <f t="shared" ref="AI74:AI80" si="74">SUMPRODUCT(J74:N74,J$4:N$4)</f>
        <v>0</v>
      </c>
      <c r="AJ74" s="182">
        <f t="shared" ref="AJ74:AJ80" si="75">SUMPRODUCT(O74:Z74,O$4:Z$4)</f>
        <v>5520</v>
      </c>
      <c r="AK74" s="182">
        <f>AJ74</f>
        <v>5520</v>
      </c>
      <c r="AL74" s="182">
        <f>AK74</f>
        <v>5520</v>
      </c>
      <c r="AM74" s="182">
        <f>AL74</f>
        <v>5520</v>
      </c>
      <c r="AN74" s="182">
        <f>AM74</f>
        <v>5520</v>
      </c>
      <c r="AO74" s="182">
        <f>AN74</f>
        <v>5520</v>
      </c>
      <c r="AP74" s="182">
        <f t="shared" ref="AP74:AS80" si="76">AO74</f>
        <v>5520</v>
      </c>
      <c r="AQ74" s="182">
        <f t="shared" si="76"/>
        <v>5520</v>
      </c>
      <c r="AR74" s="182">
        <f t="shared" si="76"/>
        <v>5520</v>
      </c>
      <c r="AS74" s="182">
        <f t="shared" si="76"/>
        <v>5520</v>
      </c>
      <c r="AT74" s="182">
        <f t="shared" ref="AT74" si="77">AS74</f>
        <v>5520</v>
      </c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</row>
    <row r="75" spans="1:69" ht="13.2" customHeight="1" x14ac:dyDescent="0.3">
      <c r="A75" s="7"/>
      <c r="B75" s="7"/>
      <c r="C75" s="7" t="s">
        <v>374</v>
      </c>
      <c r="D75" s="7" t="s">
        <v>61</v>
      </c>
      <c r="E75" s="7"/>
      <c r="F75" s="7"/>
      <c r="G75" s="7"/>
      <c r="H75" s="7"/>
      <c r="I75" s="7"/>
      <c r="J75" s="182"/>
      <c r="K75" s="182"/>
      <c r="L75" s="182"/>
      <c r="M75" s="182"/>
      <c r="N75" s="182"/>
      <c r="O75" s="182"/>
      <c r="P75" s="182"/>
      <c r="Q75" s="182"/>
      <c r="R75" s="182"/>
      <c r="S75" s="182">
        <v>0</v>
      </c>
      <c r="T75" s="182">
        <v>0</v>
      </c>
      <c r="U75" s="182">
        <v>0</v>
      </c>
      <c r="V75" s="182">
        <v>0</v>
      </c>
      <c r="W75" s="182">
        <v>0</v>
      </c>
      <c r="X75" s="182">
        <v>0</v>
      </c>
      <c r="Y75" s="182"/>
      <c r="Z75" s="182"/>
      <c r="AA75" s="182"/>
      <c r="AB75" s="182"/>
      <c r="AC75" s="182"/>
      <c r="AD75" s="182"/>
      <c r="AE75" s="182"/>
      <c r="AF75" s="182"/>
      <c r="AG75" s="182"/>
      <c r="AH75" s="7"/>
      <c r="AI75" s="182">
        <f t="shared" si="74"/>
        <v>0</v>
      </c>
      <c r="AJ75" s="182">
        <f t="shared" si="75"/>
        <v>0</v>
      </c>
      <c r="AK75" s="182">
        <f t="shared" ref="AK75:AO80" si="78">AJ75</f>
        <v>0</v>
      </c>
      <c r="AL75" s="182">
        <f t="shared" si="78"/>
        <v>0</v>
      </c>
      <c r="AM75" s="182">
        <f t="shared" si="78"/>
        <v>0</v>
      </c>
      <c r="AN75" s="182">
        <f t="shared" si="78"/>
        <v>0</v>
      </c>
      <c r="AO75" s="182">
        <f t="shared" si="78"/>
        <v>0</v>
      </c>
      <c r="AP75" s="182">
        <f t="shared" si="76"/>
        <v>0</v>
      </c>
      <c r="AQ75" s="182">
        <f t="shared" si="76"/>
        <v>0</v>
      </c>
      <c r="AR75" s="182">
        <f t="shared" si="76"/>
        <v>0</v>
      </c>
      <c r="AS75" s="182">
        <f t="shared" si="76"/>
        <v>0</v>
      </c>
      <c r="AT75" s="182">
        <f t="shared" ref="AT75" si="79">AS75</f>
        <v>0</v>
      </c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</row>
    <row r="76" spans="1:69" ht="13.2" customHeight="1" x14ac:dyDescent="0.3">
      <c r="A76" s="7"/>
      <c r="B76" s="7"/>
      <c r="C76" s="7" t="s">
        <v>375</v>
      </c>
      <c r="D76" s="7" t="s">
        <v>61</v>
      </c>
      <c r="E76" s="7"/>
      <c r="F76" s="7"/>
      <c r="G76" s="7"/>
      <c r="H76" s="7"/>
      <c r="I76" s="7"/>
      <c r="J76" s="77"/>
      <c r="K76" s="77"/>
      <c r="L76" s="77"/>
      <c r="M76" s="77"/>
      <c r="N76" s="77"/>
      <c r="O76" s="77"/>
      <c r="P76" s="77"/>
      <c r="Q76" s="77"/>
      <c r="R76" s="77"/>
      <c r="S76" s="77">
        <v>0.04</v>
      </c>
      <c r="T76" s="77">
        <v>0.04</v>
      </c>
      <c r="U76" s="77">
        <v>0.04</v>
      </c>
      <c r="V76" s="77">
        <v>0.04</v>
      </c>
      <c r="W76" s="77">
        <v>0.04</v>
      </c>
      <c r="X76" s="77">
        <v>0.04</v>
      </c>
      <c r="Y76" s="77"/>
      <c r="Z76" s="77"/>
      <c r="AA76" s="77"/>
      <c r="AB76" s="77"/>
      <c r="AC76" s="77"/>
      <c r="AD76" s="77"/>
      <c r="AE76" s="77"/>
      <c r="AF76" s="77"/>
      <c r="AG76" s="77"/>
      <c r="AH76" s="7"/>
      <c r="AI76" s="182">
        <f t="shared" si="74"/>
        <v>0</v>
      </c>
      <c r="AJ76" s="182">
        <f>SUMPRODUCT(O76:Z76,O$4:Z$4)</f>
        <v>7.36</v>
      </c>
      <c r="AK76" s="182">
        <f t="shared" si="78"/>
        <v>7.36</v>
      </c>
      <c r="AL76" s="182">
        <f t="shared" si="78"/>
        <v>7.36</v>
      </c>
      <c r="AM76" s="182">
        <f t="shared" si="78"/>
        <v>7.36</v>
      </c>
      <c r="AN76" s="182">
        <f t="shared" si="78"/>
        <v>7.36</v>
      </c>
      <c r="AO76" s="182">
        <f t="shared" si="78"/>
        <v>7.36</v>
      </c>
      <c r="AP76" s="182">
        <f t="shared" si="76"/>
        <v>7.36</v>
      </c>
      <c r="AQ76" s="182">
        <f t="shared" si="76"/>
        <v>7.36</v>
      </c>
      <c r="AR76" s="182">
        <f t="shared" si="76"/>
        <v>7.36</v>
      </c>
      <c r="AS76" s="182">
        <f t="shared" si="76"/>
        <v>7.36</v>
      </c>
      <c r="AT76" s="182">
        <f t="shared" ref="AT76" si="80">AS76</f>
        <v>7.36</v>
      </c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</row>
    <row r="77" spans="1:69" ht="13.2" customHeight="1" x14ac:dyDescent="0.3">
      <c r="A77" s="7"/>
      <c r="B77" s="7"/>
      <c r="C77" s="7" t="s">
        <v>385</v>
      </c>
      <c r="D77" s="7" t="s">
        <v>61</v>
      </c>
      <c r="E77" s="7"/>
      <c r="F77" s="7"/>
      <c r="G77" s="7"/>
      <c r="H77" s="7"/>
      <c r="I77" s="7"/>
      <c r="J77" s="77"/>
      <c r="K77" s="77"/>
      <c r="L77" s="77"/>
      <c r="M77" s="77"/>
      <c r="N77" s="77"/>
      <c r="O77" s="77"/>
      <c r="P77" s="77"/>
      <c r="Q77" s="77"/>
      <c r="R77" s="77"/>
      <c r="S77" s="77">
        <v>0.04</v>
      </c>
      <c r="T77" s="77">
        <v>0.04</v>
      </c>
      <c r="U77" s="77">
        <v>0.04</v>
      </c>
      <c r="V77" s="77">
        <v>0.04</v>
      </c>
      <c r="W77" s="77">
        <v>0.04</v>
      </c>
      <c r="X77" s="77">
        <v>0.04</v>
      </c>
      <c r="Y77" s="77"/>
      <c r="Z77" s="77"/>
      <c r="AA77" s="77"/>
      <c r="AB77" s="77"/>
      <c r="AC77" s="77"/>
      <c r="AD77" s="77"/>
      <c r="AE77" s="77"/>
      <c r="AF77" s="77"/>
      <c r="AG77" s="77"/>
      <c r="AH77" s="7"/>
      <c r="AI77" s="182">
        <f t="shared" si="74"/>
        <v>0</v>
      </c>
      <c r="AJ77" s="182">
        <f>SUMPRODUCT(O77:Z77,O$4:Z$4)</f>
        <v>7.36</v>
      </c>
      <c r="AK77" s="182">
        <f t="shared" si="78"/>
        <v>7.36</v>
      </c>
      <c r="AL77" s="182">
        <f t="shared" si="78"/>
        <v>7.36</v>
      </c>
      <c r="AM77" s="182">
        <f t="shared" si="78"/>
        <v>7.36</v>
      </c>
      <c r="AN77" s="182">
        <f t="shared" si="78"/>
        <v>7.36</v>
      </c>
      <c r="AO77" s="182">
        <f t="shared" si="78"/>
        <v>7.36</v>
      </c>
      <c r="AP77" s="182">
        <f t="shared" si="76"/>
        <v>7.36</v>
      </c>
      <c r="AQ77" s="182">
        <f t="shared" si="76"/>
        <v>7.36</v>
      </c>
      <c r="AR77" s="182">
        <f t="shared" si="76"/>
        <v>7.36</v>
      </c>
      <c r="AS77" s="182">
        <f t="shared" si="76"/>
        <v>7.36</v>
      </c>
      <c r="AT77" s="182">
        <f t="shared" ref="AT77" si="81">AS77</f>
        <v>7.36</v>
      </c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</row>
    <row r="78" spans="1:69" ht="13.2" customHeight="1" x14ac:dyDescent="0.3">
      <c r="A78" s="7"/>
      <c r="B78" s="7"/>
      <c r="C78" s="7" t="s">
        <v>376</v>
      </c>
      <c r="D78" s="7" t="s">
        <v>61</v>
      </c>
      <c r="E78" s="7"/>
      <c r="F78" s="7"/>
      <c r="G78" s="7"/>
      <c r="H78" s="7"/>
      <c r="I78" s="7"/>
      <c r="J78" s="182"/>
      <c r="K78" s="182"/>
      <c r="L78" s="182"/>
      <c r="M78" s="182"/>
      <c r="N78" s="182"/>
      <c r="O78" s="182"/>
      <c r="P78" s="182"/>
      <c r="Q78" s="182"/>
      <c r="R78" s="182"/>
      <c r="S78" s="182">
        <v>0</v>
      </c>
      <c r="T78" s="182">
        <v>0</v>
      </c>
      <c r="U78" s="182">
        <v>0</v>
      </c>
      <c r="V78" s="182">
        <v>0</v>
      </c>
      <c r="W78" s="182">
        <v>0</v>
      </c>
      <c r="X78" s="182">
        <v>0</v>
      </c>
      <c r="Y78" s="182"/>
      <c r="Z78" s="182"/>
      <c r="AA78" s="182"/>
      <c r="AB78" s="182"/>
      <c r="AC78" s="182"/>
      <c r="AD78" s="182"/>
      <c r="AE78" s="182"/>
      <c r="AF78" s="182"/>
      <c r="AG78" s="182"/>
      <c r="AH78" s="7"/>
      <c r="AI78" s="182">
        <f t="shared" si="74"/>
        <v>0</v>
      </c>
      <c r="AJ78" s="182">
        <f t="shared" si="75"/>
        <v>0</v>
      </c>
      <c r="AK78" s="182">
        <f t="shared" si="78"/>
        <v>0</v>
      </c>
      <c r="AL78" s="182">
        <f t="shared" si="78"/>
        <v>0</v>
      </c>
      <c r="AM78" s="182">
        <f t="shared" si="78"/>
        <v>0</v>
      </c>
      <c r="AN78" s="182">
        <f t="shared" si="78"/>
        <v>0</v>
      </c>
      <c r="AO78" s="182">
        <f t="shared" si="78"/>
        <v>0</v>
      </c>
      <c r="AP78" s="182">
        <f t="shared" si="76"/>
        <v>0</v>
      </c>
      <c r="AQ78" s="182">
        <f t="shared" si="76"/>
        <v>0</v>
      </c>
      <c r="AR78" s="182">
        <f t="shared" si="76"/>
        <v>0</v>
      </c>
      <c r="AS78" s="182">
        <f t="shared" si="76"/>
        <v>0</v>
      </c>
      <c r="AT78" s="182">
        <f t="shared" ref="AT78" si="82">AS78</f>
        <v>0</v>
      </c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</row>
    <row r="79" spans="1:69" ht="13.2" customHeight="1" x14ac:dyDescent="0.3">
      <c r="A79" s="7"/>
      <c r="B79" s="7"/>
      <c r="C79" s="7" t="s">
        <v>390</v>
      </c>
      <c r="D79" s="7" t="s">
        <v>61</v>
      </c>
      <c r="E79" s="351"/>
      <c r="F79" s="19"/>
      <c r="G79" s="7"/>
      <c r="H79" s="7"/>
      <c r="I79" s="7"/>
      <c r="J79" s="182"/>
      <c r="K79" s="182"/>
      <c r="L79" s="182"/>
      <c r="M79" s="182"/>
      <c r="N79" s="182"/>
      <c r="O79" s="182"/>
      <c r="P79" s="182"/>
      <c r="Q79" s="182"/>
      <c r="R79" s="182"/>
      <c r="S79" s="182">
        <v>0</v>
      </c>
      <c r="T79" s="182">
        <v>0</v>
      </c>
      <c r="U79" s="182">
        <v>0</v>
      </c>
      <c r="V79" s="182">
        <v>0</v>
      </c>
      <c r="W79" s="182">
        <v>0</v>
      </c>
      <c r="X79" s="182">
        <v>0</v>
      </c>
      <c r="Y79" s="182"/>
      <c r="Z79" s="182"/>
      <c r="AA79" s="182"/>
      <c r="AB79" s="182"/>
      <c r="AC79" s="182"/>
      <c r="AD79" s="182"/>
      <c r="AE79" s="182"/>
      <c r="AF79" s="182"/>
      <c r="AG79" s="182"/>
      <c r="AH79" s="7"/>
      <c r="AI79" s="182">
        <f t="shared" si="74"/>
        <v>0</v>
      </c>
      <c r="AJ79" s="182">
        <f t="shared" si="75"/>
        <v>0</v>
      </c>
      <c r="AK79" s="182">
        <f t="shared" si="78"/>
        <v>0</v>
      </c>
      <c r="AL79" s="182">
        <f t="shared" si="78"/>
        <v>0</v>
      </c>
      <c r="AM79" s="182">
        <f t="shared" si="78"/>
        <v>0</v>
      </c>
      <c r="AN79" s="182">
        <f t="shared" si="78"/>
        <v>0</v>
      </c>
      <c r="AO79" s="182">
        <f t="shared" si="78"/>
        <v>0</v>
      </c>
      <c r="AP79" s="182">
        <f t="shared" si="76"/>
        <v>0</v>
      </c>
      <c r="AQ79" s="182">
        <f t="shared" si="76"/>
        <v>0</v>
      </c>
      <c r="AR79" s="182">
        <f t="shared" si="76"/>
        <v>0</v>
      </c>
      <c r="AS79" s="182">
        <f t="shared" si="76"/>
        <v>0</v>
      </c>
      <c r="AT79" s="182">
        <f t="shared" ref="AT79" si="83">AS79</f>
        <v>0</v>
      </c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</row>
    <row r="80" spans="1:69" ht="13.2" customHeight="1" x14ac:dyDescent="0.3">
      <c r="A80" s="7"/>
      <c r="B80" s="7"/>
      <c r="C80" s="7" t="s">
        <v>378</v>
      </c>
      <c r="D80" s="7" t="s">
        <v>61</v>
      </c>
      <c r="E80" s="7"/>
      <c r="F80" s="7"/>
      <c r="G80" s="7"/>
      <c r="H80" s="7"/>
      <c r="I80" s="7"/>
      <c r="J80" s="182"/>
      <c r="K80" s="182"/>
      <c r="L80" s="182"/>
      <c r="M80" s="182"/>
      <c r="N80" s="182"/>
      <c r="O80" s="182"/>
      <c r="P80" s="182"/>
      <c r="Q80" s="182"/>
      <c r="R80" s="182"/>
      <c r="S80" s="182">
        <v>0</v>
      </c>
      <c r="T80" s="182">
        <v>0</v>
      </c>
      <c r="U80" s="182">
        <v>0</v>
      </c>
      <c r="V80" s="182">
        <v>0</v>
      </c>
      <c r="W80" s="182">
        <v>0</v>
      </c>
      <c r="X80" s="182">
        <v>0</v>
      </c>
      <c r="Y80" s="182"/>
      <c r="Z80" s="182"/>
      <c r="AA80" s="182"/>
      <c r="AB80" s="182"/>
      <c r="AC80" s="182"/>
      <c r="AD80" s="182"/>
      <c r="AE80" s="182"/>
      <c r="AF80" s="182"/>
      <c r="AG80" s="182"/>
      <c r="AH80" s="7"/>
      <c r="AI80" s="182">
        <f t="shared" si="74"/>
        <v>0</v>
      </c>
      <c r="AJ80" s="182">
        <f t="shared" si="75"/>
        <v>0</v>
      </c>
      <c r="AK80" s="182">
        <f t="shared" si="78"/>
        <v>0</v>
      </c>
      <c r="AL80" s="182">
        <f t="shared" si="78"/>
        <v>0</v>
      </c>
      <c r="AM80" s="182">
        <f t="shared" si="78"/>
        <v>0</v>
      </c>
      <c r="AN80" s="182">
        <f t="shared" si="78"/>
        <v>0</v>
      </c>
      <c r="AO80" s="182">
        <f t="shared" si="78"/>
        <v>0</v>
      </c>
      <c r="AP80" s="182">
        <f t="shared" si="76"/>
        <v>0</v>
      </c>
      <c r="AQ80" s="182">
        <f t="shared" si="76"/>
        <v>0</v>
      </c>
      <c r="AR80" s="182">
        <f t="shared" si="76"/>
        <v>0</v>
      </c>
      <c r="AS80" s="182">
        <f t="shared" si="76"/>
        <v>0</v>
      </c>
      <c r="AT80" s="182">
        <f t="shared" ref="AT80" si="84">AS80</f>
        <v>0</v>
      </c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</row>
    <row r="81" spans="1:69" ht="13.2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7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  <c r="AS81" s="183"/>
      <c r="AT81" s="183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</row>
    <row r="82" spans="1:69" ht="13.2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7"/>
      <c r="AI82" s="183"/>
      <c r="AJ82" s="183"/>
      <c r="AK82" s="183"/>
      <c r="AL82" s="183"/>
      <c r="AM82" s="183"/>
      <c r="AN82" s="183"/>
      <c r="AO82" s="183"/>
      <c r="AP82" s="183"/>
      <c r="AQ82" s="183"/>
      <c r="AR82" s="183"/>
      <c r="AS82" s="183"/>
      <c r="AT82" s="183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</row>
    <row r="83" spans="1:69" ht="13.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7"/>
      <c r="AI83" s="183"/>
      <c r="AJ83" s="183"/>
      <c r="AK83" s="183"/>
      <c r="AL83" s="183"/>
      <c r="AM83" s="183"/>
      <c r="AN83" s="183"/>
      <c r="AO83" s="183"/>
      <c r="AP83" s="183"/>
      <c r="AQ83" s="183"/>
      <c r="AR83" s="183"/>
      <c r="AS83" s="183"/>
      <c r="AT83" s="183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</row>
    <row r="84" spans="1:69" ht="13.5" customHeight="1" x14ac:dyDescent="0.3">
      <c r="A84" s="2" t="s">
        <v>0</v>
      </c>
      <c r="B84" s="3" t="s">
        <v>391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</row>
    <row r="85" spans="1:69" ht="13.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19">
        <f>'Operating Model'!AI31</f>
        <v>0.11</v>
      </c>
      <c r="K85" s="7"/>
      <c r="L85" s="7"/>
      <c r="M85" s="7"/>
      <c r="N85" s="7"/>
      <c r="O85" s="19">
        <f>'Operating Model'!AJ31</f>
        <v>0.105</v>
      </c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19">
        <f>'Operating Model'!AK31</f>
        <v>0.1</v>
      </c>
      <c r="AB85" s="7"/>
      <c r="AC85" s="7"/>
      <c r="AD85" s="7"/>
      <c r="AE85" s="7"/>
      <c r="AF85" s="7"/>
      <c r="AG85" s="7"/>
      <c r="AH85" s="7"/>
      <c r="AI85" s="19">
        <f>'Operating Model'!AI31</f>
        <v>0.11</v>
      </c>
      <c r="AJ85" s="19">
        <f>'Operating Model'!AJ31</f>
        <v>0.105</v>
      </c>
      <c r="AK85" s="19">
        <f>'Operating Model'!AK31</f>
        <v>0.1</v>
      </c>
      <c r="AL85" s="19">
        <f>'Operating Model'!AL31</f>
        <v>9.5000000000000001E-2</v>
      </c>
      <c r="AM85" s="19">
        <f>'Operating Model'!AM31</f>
        <v>0.09</v>
      </c>
      <c r="AN85" s="19">
        <f>'Operating Model'!AN31</f>
        <v>8.5000000000000006E-2</v>
      </c>
      <c r="AO85" s="19">
        <f>'Operating Model'!AO31</f>
        <v>0.08</v>
      </c>
      <c r="AP85" s="19">
        <f>'Operating Model'!AP31</f>
        <v>7.0000000000000007E-2</v>
      </c>
      <c r="AQ85" s="19">
        <f>'Operating Model'!AQ31</f>
        <v>6.5000000000000002E-2</v>
      </c>
      <c r="AR85" s="19">
        <f>'Operating Model'!AR31</f>
        <v>0.06</v>
      </c>
      <c r="AS85" s="19">
        <f>'Operating Model'!AS31</f>
        <v>0.05</v>
      </c>
      <c r="AT85" s="19">
        <f>'Operating Model'!AT31</f>
        <v>0.05</v>
      </c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</row>
    <row r="86" spans="1:69" ht="13.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</row>
    <row r="87" spans="1:69" ht="13.5" customHeight="1" x14ac:dyDescent="0.3">
      <c r="A87" s="7"/>
      <c r="B87" s="7"/>
      <c r="C87" s="7" t="s">
        <v>383</v>
      </c>
      <c r="D87" s="7" t="s">
        <v>392</v>
      </c>
      <c r="E87" s="7"/>
      <c r="F87" s="7"/>
      <c r="G87" s="7"/>
      <c r="H87" s="7"/>
      <c r="I87" s="7"/>
      <c r="J87" s="182">
        <v>0</v>
      </c>
      <c r="K87" s="182">
        <v>0</v>
      </c>
      <c r="L87" s="182">
        <v>0</v>
      </c>
      <c r="M87" s="182">
        <v>0</v>
      </c>
      <c r="N87" s="182">
        <v>0</v>
      </c>
      <c r="O87" s="182">
        <v>0</v>
      </c>
      <c r="P87" s="182">
        <v>0</v>
      </c>
      <c r="Q87" s="182">
        <v>0</v>
      </c>
      <c r="R87" s="182">
        <v>0</v>
      </c>
      <c r="S87" s="182">
        <v>0</v>
      </c>
      <c r="T87" s="182">
        <v>0</v>
      </c>
      <c r="U87" s="182">
        <v>0</v>
      </c>
      <c r="V87" s="182">
        <v>0</v>
      </c>
      <c r="W87" s="182">
        <v>0</v>
      </c>
      <c r="X87" s="182">
        <v>0</v>
      </c>
      <c r="Y87" s="182">
        <v>0</v>
      </c>
      <c r="Z87" s="182">
        <v>0</v>
      </c>
      <c r="AA87" s="182">
        <v>0</v>
      </c>
      <c r="AB87" s="182">
        <v>0</v>
      </c>
      <c r="AC87" s="182">
        <v>0</v>
      </c>
      <c r="AD87" s="182">
        <v>0</v>
      </c>
      <c r="AE87" s="182">
        <v>0</v>
      </c>
      <c r="AF87" s="182">
        <v>0</v>
      </c>
      <c r="AG87" s="182">
        <v>0</v>
      </c>
      <c r="AH87" s="7"/>
      <c r="AI87" s="182">
        <v>0</v>
      </c>
      <c r="AJ87" s="182">
        <v>0</v>
      </c>
      <c r="AK87" s="182">
        <v>0</v>
      </c>
      <c r="AL87" s="182">
        <v>0</v>
      </c>
      <c r="AM87" s="182">
        <v>0</v>
      </c>
      <c r="AN87" s="182">
        <v>0</v>
      </c>
      <c r="AO87" s="182">
        <v>0</v>
      </c>
      <c r="AP87" s="182">
        <v>0</v>
      </c>
      <c r="AQ87" s="182">
        <v>0</v>
      </c>
      <c r="AR87" s="182">
        <v>0</v>
      </c>
      <c r="AS87" s="182">
        <v>0</v>
      </c>
      <c r="AT87" s="182">
        <v>0</v>
      </c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</row>
    <row r="88" spans="1:69" ht="13.5" customHeight="1" x14ac:dyDescent="0.3">
      <c r="A88" s="7" t="s">
        <v>393</v>
      </c>
      <c r="B88" s="7"/>
      <c r="C88" s="7" t="s">
        <v>373</v>
      </c>
      <c r="D88" s="7" t="s">
        <v>394</v>
      </c>
      <c r="E88" s="7"/>
      <c r="F88" s="7"/>
      <c r="G88" s="7"/>
      <c r="H88" s="7"/>
      <c r="I88" s="7"/>
      <c r="J88" s="182">
        <v>0</v>
      </c>
      <c r="K88" s="182">
        <v>0</v>
      </c>
      <c r="L88" s="182">
        <v>0</v>
      </c>
      <c r="M88" s="182">
        <v>0</v>
      </c>
      <c r="N88" s="182">
        <v>0</v>
      </c>
      <c r="O88" s="182">
        <f t="shared" ref="O88:O99" si="85">J88*(1+$O$85)</f>
        <v>0</v>
      </c>
      <c r="P88" s="182">
        <f t="shared" ref="P88:Z88" si="86">O88</f>
        <v>0</v>
      </c>
      <c r="Q88" s="182">
        <f t="shared" si="86"/>
        <v>0</v>
      </c>
      <c r="R88" s="182">
        <f t="shared" si="86"/>
        <v>0</v>
      </c>
      <c r="S88" s="182">
        <f t="shared" si="86"/>
        <v>0</v>
      </c>
      <c r="T88" s="182">
        <f t="shared" si="86"/>
        <v>0</v>
      </c>
      <c r="U88" s="182">
        <f t="shared" si="86"/>
        <v>0</v>
      </c>
      <c r="V88" s="182">
        <f t="shared" si="86"/>
        <v>0</v>
      </c>
      <c r="W88" s="182">
        <f t="shared" si="86"/>
        <v>0</v>
      </c>
      <c r="X88" s="182">
        <f t="shared" si="86"/>
        <v>0</v>
      </c>
      <c r="Y88" s="182">
        <f t="shared" si="86"/>
        <v>0</v>
      </c>
      <c r="Z88" s="182">
        <f t="shared" si="86"/>
        <v>0</v>
      </c>
      <c r="AA88" s="182">
        <f t="shared" ref="AA88:AA99" si="87">Z88*(1+$AA$85)</f>
        <v>0</v>
      </c>
      <c r="AB88" s="182">
        <f t="shared" ref="AB88:AG88" si="88">AA88</f>
        <v>0</v>
      </c>
      <c r="AC88" s="182">
        <f t="shared" si="88"/>
        <v>0</v>
      </c>
      <c r="AD88" s="182">
        <f t="shared" si="88"/>
        <v>0</v>
      </c>
      <c r="AE88" s="182">
        <f t="shared" si="88"/>
        <v>0</v>
      </c>
      <c r="AF88" s="182">
        <f t="shared" si="88"/>
        <v>0</v>
      </c>
      <c r="AG88" s="182">
        <f t="shared" si="88"/>
        <v>0</v>
      </c>
      <c r="AH88" s="7"/>
      <c r="AI88" s="128">
        <f t="shared" ref="AI88:AI99" si="89">J88</f>
        <v>0</v>
      </c>
      <c r="AJ88" s="182">
        <f t="shared" ref="AJ88:AT88" si="90">AI88*(1+$AA$85)</f>
        <v>0</v>
      </c>
      <c r="AK88" s="182">
        <f t="shared" si="90"/>
        <v>0</v>
      </c>
      <c r="AL88" s="182">
        <f t="shared" si="90"/>
        <v>0</v>
      </c>
      <c r="AM88" s="182">
        <f t="shared" si="90"/>
        <v>0</v>
      </c>
      <c r="AN88" s="182">
        <f t="shared" si="90"/>
        <v>0</v>
      </c>
      <c r="AO88" s="182">
        <f t="shared" si="90"/>
        <v>0</v>
      </c>
      <c r="AP88" s="182">
        <f t="shared" si="90"/>
        <v>0</v>
      </c>
      <c r="AQ88" s="182">
        <f t="shared" si="90"/>
        <v>0</v>
      </c>
      <c r="AR88" s="182">
        <f t="shared" si="90"/>
        <v>0</v>
      </c>
      <c r="AS88" s="182">
        <f t="shared" si="90"/>
        <v>0</v>
      </c>
      <c r="AT88" s="182">
        <f t="shared" si="90"/>
        <v>0</v>
      </c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</row>
    <row r="89" spans="1:69" ht="13.5" customHeight="1" x14ac:dyDescent="0.3">
      <c r="A89" s="7" t="s">
        <v>395</v>
      </c>
      <c r="B89" s="7"/>
      <c r="C89" s="7" t="s">
        <v>374</v>
      </c>
      <c r="D89" s="7" t="s">
        <v>394</v>
      </c>
      <c r="E89" s="7"/>
      <c r="F89" s="7"/>
      <c r="G89" s="7"/>
      <c r="H89" s="7"/>
      <c r="I89" s="7"/>
      <c r="J89" s="182">
        <v>80</v>
      </c>
      <c r="K89" s="182">
        <v>80</v>
      </c>
      <c r="L89" s="182">
        <v>80</v>
      </c>
      <c r="M89" s="182">
        <v>80</v>
      </c>
      <c r="N89" s="182">
        <v>80</v>
      </c>
      <c r="O89" s="182">
        <f t="shared" si="85"/>
        <v>88.4</v>
      </c>
      <c r="P89" s="182">
        <f t="shared" ref="P89:Z89" si="91">O89</f>
        <v>88.4</v>
      </c>
      <c r="Q89" s="182">
        <f t="shared" si="91"/>
        <v>88.4</v>
      </c>
      <c r="R89" s="182">
        <f t="shared" si="91"/>
        <v>88.4</v>
      </c>
      <c r="S89" s="182">
        <f t="shared" si="91"/>
        <v>88.4</v>
      </c>
      <c r="T89" s="182">
        <f t="shared" si="91"/>
        <v>88.4</v>
      </c>
      <c r="U89" s="182">
        <f t="shared" si="91"/>
        <v>88.4</v>
      </c>
      <c r="V89" s="182">
        <f t="shared" si="91"/>
        <v>88.4</v>
      </c>
      <c r="W89" s="182">
        <f t="shared" si="91"/>
        <v>88.4</v>
      </c>
      <c r="X89" s="182">
        <f t="shared" si="91"/>
        <v>88.4</v>
      </c>
      <c r="Y89" s="182">
        <f t="shared" si="91"/>
        <v>88.4</v>
      </c>
      <c r="Z89" s="182">
        <f t="shared" si="91"/>
        <v>88.4</v>
      </c>
      <c r="AA89" s="182">
        <f t="shared" si="87"/>
        <v>97.240000000000009</v>
      </c>
      <c r="AB89" s="182">
        <f t="shared" ref="AB89:AG89" si="92">AA89</f>
        <v>97.240000000000009</v>
      </c>
      <c r="AC89" s="182">
        <f t="shared" si="92"/>
        <v>97.240000000000009</v>
      </c>
      <c r="AD89" s="182">
        <f t="shared" si="92"/>
        <v>97.240000000000009</v>
      </c>
      <c r="AE89" s="182">
        <f t="shared" si="92"/>
        <v>97.240000000000009</v>
      </c>
      <c r="AF89" s="182">
        <f t="shared" si="92"/>
        <v>97.240000000000009</v>
      </c>
      <c r="AG89" s="182">
        <f t="shared" si="92"/>
        <v>97.240000000000009</v>
      </c>
      <c r="AH89" s="7"/>
      <c r="AI89" s="128">
        <f t="shared" si="89"/>
        <v>80</v>
      </c>
      <c r="AJ89" s="182">
        <f t="shared" ref="AJ89:AT89" si="93">AI89*(1+AJ$85)</f>
        <v>88.4</v>
      </c>
      <c r="AK89" s="182">
        <f t="shared" si="93"/>
        <v>97.240000000000009</v>
      </c>
      <c r="AL89" s="182">
        <f t="shared" si="93"/>
        <v>106.4778</v>
      </c>
      <c r="AM89" s="182">
        <f t="shared" si="93"/>
        <v>116.06080200000001</v>
      </c>
      <c r="AN89" s="182">
        <f t="shared" si="93"/>
        <v>125.92597017</v>
      </c>
      <c r="AO89" s="182">
        <f t="shared" si="93"/>
        <v>136.0000477836</v>
      </c>
      <c r="AP89" s="182">
        <f t="shared" si="93"/>
        <v>145.520051128452</v>
      </c>
      <c r="AQ89" s="182">
        <f t="shared" si="93"/>
        <v>154.97885445180137</v>
      </c>
      <c r="AR89" s="182">
        <f t="shared" si="93"/>
        <v>164.27758571890945</v>
      </c>
      <c r="AS89" s="182">
        <f t="shared" si="93"/>
        <v>172.49146500485492</v>
      </c>
      <c r="AT89" s="182">
        <f t="shared" si="93"/>
        <v>181.11603825509766</v>
      </c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</row>
    <row r="90" spans="1:69" ht="13.5" customHeight="1" x14ac:dyDescent="0.3">
      <c r="A90" s="7" t="s">
        <v>396</v>
      </c>
      <c r="B90" s="7"/>
      <c r="C90" s="7" t="s">
        <v>375</v>
      </c>
      <c r="D90" s="7" t="s">
        <v>394</v>
      </c>
      <c r="E90" s="7"/>
      <c r="F90" s="7"/>
      <c r="G90" s="7"/>
      <c r="H90" s="7"/>
      <c r="I90" s="7"/>
      <c r="J90" s="182">
        <v>145</v>
      </c>
      <c r="K90" s="182">
        <v>145</v>
      </c>
      <c r="L90" s="182">
        <v>145</v>
      </c>
      <c r="M90" s="182">
        <v>145</v>
      </c>
      <c r="N90" s="182">
        <v>145</v>
      </c>
      <c r="O90" s="182">
        <f t="shared" si="85"/>
        <v>160.22499999999999</v>
      </c>
      <c r="P90" s="182">
        <f t="shared" ref="P90:Z90" si="94">O90</f>
        <v>160.22499999999999</v>
      </c>
      <c r="Q90" s="182">
        <f t="shared" si="94"/>
        <v>160.22499999999999</v>
      </c>
      <c r="R90" s="182">
        <f t="shared" si="94"/>
        <v>160.22499999999999</v>
      </c>
      <c r="S90" s="182">
        <f t="shared" si="94"/>
        <v>160.22499999999999</v>
      </c>
      <c r="T90" s="182">
        <f t="shared" si="94"/>
        <v>160.22499999999999</v>
      </c>
      <c r="U90" s="182">
        <f t="shared" si="94"/>
        <v>160.22499999999999</v>
      </c>
      <c r="V90" s="182">
        <f t="shared" si="94"/>
        <v>160.22499999999999</v>
      </c>
      <c r="W90" s="182">
        <f t="shared" si="94"/>
        <v>160.22499999999999</v>
      </c>
      <c r="X90" s="182">
        <f t="shared" si="94"/>
        <v>160.22499999999999</v>
      </c>
      <c r="Y90" s="182">
        <f t="shared" si="94"/>
        <v>160.22499999999999</v>
      </c>
      <c r="Z90" s="182">
        <f t="shared" si="94"/>
        <v>160.22499999999999</v>
      </c>
      <c r="AA90" s="182">
        <f t="shared" si="87"/>
        <v>176.2475</v>
      </c>
      <c r="AB90" s="182">
        <f t="shared" ref="AB90:AG90" si="95">AA90</f>
        <v>176.2475</v>
      </c>
      <c r="AC90" s="182">
        <f t="shared" si="95"/>
        <v>176.2475</v>
      </c>
      <c r="AD90" s="182">
        <f t="shared" si="95"/>
        <v>176.2475</v>
      </c>
      <c r="AE90" s="182">
        <f t="shared" si="95"/>
        <v>176.2475</v>
      </c>
      <c r="AF90" s="182">
        <f t="shared" si="95"/>
        <v>176.2475</v>
      </c>
      <c r="AG90" s="182">
        <f t="shared" si="95"/>
        <v>176.2475</v>
      </c>
      <c r="AH90" s="7"/>
      <c r="AI90" s="128">
        <f t="shared" si="89"/>
        <v>145</v>
      </c>
      <c r="AJ90" s="182">
        <f t="shared" ref="AJ90:AT90" si="96">AI90*(1+AJ$85)</f>
        <v>160.22499999999999</v>
      </c>
      <c r="AK90" s="182">
        <f t="shared" si="96"/>
        <v>176.2475</v>
      </c>
      <c r="AL90" s="182">
        <f t="shared" si="96"/>
        <v>192.99101250000001</v>
      </c>
      <c r="AM90" s="182">
        <f t="shared" si="96"/>
        <v>210.36020362500003</v>
      </c>
      <c r="AN90" s="182">
        <f t="shared" si="96"/>
        <v>228.24082093312501</v>
      </c>
      <c r="AO90" s="182">
        <f t="shared" si="96"/>
        <v>246.50008660777502</v>
      </c>
      <c r="AP90" s="182">
        <f t="shared" si="96"/>
        <v>263.7550926703193</v>
      </c>
      <c r="AQ90" s="182">
        <f t="shared" si="96"/>
        <v>280.89917369389002</v>
      </c>
      <c r="AR90" s="182">
        <f t="shared" si="96"/>
        <v>297.75312411552346</v>
      </c>
      <c r="AS90" s="182">
        <f t="shared" si="96"/>
        <v>312.64078032129964</v>
      </c>
      <c r="AT90" s="182">
        <f t="shared" si="96"/>
        <v>328.27281933736464</v>
      </c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</row>
    <row r="91" spans="1:69" ht="13.5" customHeight="1" x14ac:dyDescent="0.3">
      <c r="A91" s="7" t="s">
        <v>393</v>
      </c>
      <c r="B91" s="7"/>
      <c r="C91" s="7" t="s">
        <v>376</v>
      </c>
      <c r="D91" s="7" t="s">
        <v>394</v>
      </c>
      <c r="E91" s="7"/>
      <c r="F91" s="7"/>
      <c r="G91" s="7"/>
      <c r="H91" s="7"/>
      <c r="I91" s="7"/>
      <c r="J91" s="128">
        <v>28</v>
      </c>
      <c r="K91" s="128">
        <v>28</v>
      </c>
      <c r="L91" s="128">
        <v>28</v>
      </c>
      <c r="M91" s="128">
        <v>28</v>
      </c>
      <c r="N91" s="128">
        <v>28</v>
      </c>
      <c r="O91" s="182">
        <f t="shared" si="85"/>
        <v>30.939999999999998</v>
      </c>
      <c r="P91" s="182">
        <f t="shared" ref="P91:Z91" si="97">O91</f>
        <v>30.939999999999998</v>
      </c>
      <c r="Q91" s="182">
        <f t="shared" si="97"/>
        <v>30.939999999999998</v>
      </c>
      <c r="R91" s="182">
        <f t="shared" si="97"/>
        <v>30.939999999999998</v>
      </c>
      <c r="S91" s="182">
        <f t="shared" si="97"/>
        <v>30.939999999999998</v>
      </c>
      <c r="T91" s="182">
        <f t="shared" si="97"/>
        <v>30.939999999999998</v>
      </c>
      <c r="U91" s="182">
        <f t="shared" si="97"/>
        <v>30.939999999999998</v>
      </c>
      <c r="V91" s="182">
        <f t="shared" si="97"/>
        <v>30.939999999999998</v>
      </c>
      <c r="W91" s="182">
        <f t="shared" si="97"/>
        <v>30.939999999999998</v>
      </c>
      <c r="X91" s="182">
        <f t="shared" si="97"/>
        <v>30.939999999999998</v>
      </c>
      <c r="Y91" s="182">
        <f t="shared" si="97"/>
        <v>30.939999999999998</v>
      </c>
      <c r="Z91" s="182">
        <f t="shared" si="97"/>
        <v>30.939999999999998</v>
      </c>
      <c r="AA91" s="182">
        <f t="shared" si="87"/>
        <v>34.033999999999999</v>
      </c>
      <c r="AB91" s="182">
        <f t="shared" ref="AB91:AG91" si="98">AA91</f>
        <v>34.033999999999999</v>
      </c>
      <c r="AC91" s="182">
        <f t="shared" si="98"/>
        <v>34.033999999999999</v>
      </c>
      <c r="AD91" s="182">
        <f t="shared" si="98"/>
        <v>34.033999999999999</v>
      </c>
      <c r="AE91" s="182">
        <f t="shared" si="98"/>
        <v>34.033999999999999</v>
      </c>
      <c r="AF91" s="182">
        <f t="shared" si="98"/>
        <v>34.033999999999999</v>
      </c>
      <c r="AG91" s="182">
        <f t="shared" si="98"/>
        <v>34.033999999999999</v>
      </c>
      <c r="AH91" s="7"/>
      <c r="AI91" s="128">
        <f t="shared" si="89"/>
        <v>28</v>
      </c>
      <c r="AJ91" s="182">
        <f t="shared" ref="AJ91:AT91" si="99">AI91*(1+AJ$85)</f>
        <v>30.939999999999998</v>
      </c>
      <c r="AK91" s="182">
        <f t="shared" si="99"/>
        <v>34.033999999999999</v>
      </c>
      <c r="AL91" s="182">
        <f t="shared" si="99"/>
        <v>37.267229999999998</v>
      </c>
      <c r="AM91" s="182">
        <f t="shared" si="99"/>
        <v>40.6212807</v>
      </c>
      <c r="AN91" s="182">
        <f t="shared" si="99"/>
        <v>44.074089559499996</v>
      </c>
      <c r="AO91" s="182">
        <f t="shared" si="99"/>
        <v>47.600016724260001</v>
      </c>
      <c r="AP91" s="182">
        <f t="shared" si="99"/>
        <v>50.932017894958207</v>
      </c>
      <c r="AQ91" s="182">
        <f t="shared" si="99"/>
        <v>54.242599058130487</v>
      </c>
      <c r="AR91" s="182">
        <f t="shared" si="99"/>
        <v>57.497155001618317</v>
      </c>
      <c r="AS91" s="182">
        <f t="shared" si="99"/>
        <v>60.372012751699238</v>
      </c>
      <c r="AT91" s="182">
        <f t="shared" si="99"/>
        <v>63.390613389284205</v>
      </c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</row>
    <row r="92" spans="1:69" ht="13.5" customHeight="1" x14ac:dyDescent="0.3">
      <c r="A92" s="7" t="s">
        <v>393</v>
      </c>
      <c r="B92" s="7"/>
      <c r="C92" s="7" t="s">
        <v>390</v>
      </c>
      <c r="D92" s="7" t="s">
        <v>394</v>
      </c>
      <c r="E92" s="7"/>
      <c r="F92" s="7"/>
      <c r="G92" s="7"/>
      <c r="H92" s="7"/>
      <c r="I92" s="7"/>
      <c r="J92" s="128">
        <v>15</v>
      </c>
      <c r="K92" s="128">
        <v>15</v>
      </c>
      <c r="L92" s="128">
        <v>15</v>
      </c>
      <c r="M92" s="128">
        <v>15</v>
      </c>
      <c r="N92" s="128">
        <v>15</v>
      </c>
      <c r="O92" s="182">
        <f>J92*(1+$O$85)</f>
        <v>16.574999999999999</v>
      </c>
      <c r="P92" s="182">
        <f t="shared" ref="P92:Z92" si="100">O92</f>
        <v>16.574999999999999</v>
      </c>
      <c r="Q92" s="182">
        <f t="shared" si="100"/>
        <v>16.574999999999999</v>
      </c>
      <c r="R92" s="182">
        <f t="shared" si="100"/>
        <v>16.574999999999999</v>
      </c>
      <c r="S92" s="182">
        <f t="shared" si="100"/>
        <v>16.574999999999999</v>
      </c>
      <c r="T92" s="182">
        <f t="shared" si="100"/>
        <v>16.574999999999999</v>
      </c>
      <c r="U92" s="182">
        <f t="shared" si="100"/>
        <v>16.574999999999999</v>
      </c>
      <c r="V92" s="182">
        <f t="shared" si="100"/>
        <v>16.574999999999999</v>
      </c>
      <c r="W92" s="182">
        <f t="shared" si="100"/>
        <v>16.574999999999999</v>
      </c>
      <c r="X92" s="182">
        <f t="shared" si="100"/>
        <v>16.574999999999999</v>
      </c>
      <c r="Y92" s="182">
        <f t="shared" si="100"/>
        <v>16.574999999999999</v>
      </c>
      <c r="Z92" s="182">
        <f t="shared" si="100"/>
        <v>16.574999999999999</v>
      </c>
      <c r="AA92" s="182">
        <f t="shared" si="87"/>
        <v>18.232500000000002</v>
      </c>
      <c r="AB92" s="182">
        <f t="shared" ref="AB92:AG92" si="101">AA92</f>
        <v>18.232500000000002</v>
      </c>
      <c r="AC92" s="182">
        <f t="shared" si="101"/>
        <v>18.232500000000002</v>
      </c>
      <c r="AD92" s="182">
        <f t="shared" si="101"/>
        <v>18.232500000000002</v>
      </c>
      <c r="AE92" s="182">
        <f t="shared" si="101"/>
        <v>18.232500000000002</v>
      </c>
      <c r="AF92" s="182">
        <f t="shared" si="101"/>
        <v>18.232500000000002</v>
      </c>
      <c r="AG92" s="182">
        <f t="shared" si="101"/>
        <v>18.232500000000002</v>
      </c>
      <c r="AH92" s="7"/>
      <c r="AI92" s="128">
        <f t="shared" si="89"/>
        <v>15</v>
      </c>
      <c r="AJ92" s="182">
        <f t="shared" ref="AJ92:AT92" si="102">AI92*(1+AJ$85)</f>
        <v>16.574999999999999</v>
      </c>
      <c r="AK92" s="182">
        <f t="shared" si="102"/>
        <v>18.232500000000002</v>
      </c>
      <c r="AL92" s="182">
        <f t="shared" si="102"/>
        <v>19.9645875</v>
      </c>
      <c r="AM92" s="182">
        <f t="shared" si="102"/>
        <v>21.761400375000001</v>
      </c>
      <c r="AN92" s="182">
        <f t="shared" si="102"/>
        <v>23.611119406875002</v>
      </c>
      <c r="AO92" s="182">
        <f t="shared" si="102"/>
        <v>25.500008959425003</v>
      </c>
      <c r="AP92" s="182">
        <f t="shared" si="102"/>
        <v>27.285009586584753</v>
      </c>
      <c r="AQ92" s="182">
        <f t="shared" si="102"/>
        <v>29.058535209712762</v>
      </c>
      <c r="AR92" s="182">
        <f t="shared" si="102"/>
        <v>30.802047322295529</v>
      </c>
      <c r="AS92" s="182">
        <f t="shared" si="102"/>
        <v>32.342149688410309</v>
      </c>
      <c r="AT92" s="182">
        <f t="shared" si="102"/>
        <v>33.959257172830824</v>
      </c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</row>
    <row r="93" spans="1:69" ht="13.5" customHeight="1" x14ac:dyDescent="0.3">
      <c r="A93" s="7" t="s">
        <v>397</v>
      </c>
      <c r="B93" s="7"/>
      <c r="C93" s="7" t="s">
        <v>752</v>
      </c>
      <c r="D93" s="7" t="s">
        <v>394</v>
      </c>
      <c r="E93" s="7"/>
      <c r="F93" s="7"/>
      <c r="G93" s="7"/>
      <c r="H93" s="7"/>
      <c r="I93" s="7"/>
      <c r="J93" s="128">
        <v>120</v>
      </c>
      <c r="K93" s="128">
        <v>120</v>
      </c>
      <c r="L93" s="128">
        <v>120</v>
      </c>
      <c r="M93" s="128">
        <v>120</v>
      </c>
      <c r="N93" s="128">
        <v>120</v>
      </c>
      <c r="O93" s="182">
        <f t="shared" si="85"/>
        <v>132.6</v>
      </c>
      <c r="P93" s="182">
        <f t="shared" ref="P93:Z93" si="103">O93</f>
        <v>132.6</v>
      </c>
      <c r="Q93" s="182">
        <f t="shared" si="103"/>
        <v>132.6</v>
      </c>
      <c r="R93" s="182">
        <f t="shared" si="103"/>
        <v>132.6</v>
      </c>
      <c r="S93" s="182">
        <f t="shared" si="103"/>
        <v>132.6</v>
      </c>
      <c r="T93" s="182">
        <f t="shared" si="103"/>
        <v>132.6</v>
      </c>
      <c r="U93" s="182">
        <f t="shared" si="103"/>
        <v>132.6</v>
      </c>
      <c r="V93" s="182">
        <f t="shared" si="103"/>
        <v>132.6</v>
      </c>
      <c r="W93" s="182">
        <f t="shared" si="103"/>
        <v>132.6</v>
      </c>
      <c r="X93" s="182">
        <f t="shared" si="103"/>
        <v>132.6</v>
      </c>
      <c r="Y93" s="182">
        <f t="shared" si="103"/>
        <v>132.6</v>
      </c>
      <c r="Z93" s="182">
        <f t="shared" si="103"/>
        <v>132.6</v>
      </c>
      <c r="AA93" s="182">
        <f t="shared" si="87"/>
        <v>145.86000000000001</v>
      </c>
      <c r="AB93" s="182">
        <f t="shared" ref="AB93:AG93" si="104">AA93</f>
        <v>145.86000000000001</v>
      </c>
      <c r="AC93" s="182">
        <f t="shared" si="104"/>
        <v>145.86000000000001</v>
      </c>
      <c r="AD93" s="182">
        <f t="shared" si="104"/>
        <v>145.86000000000001</v>
      </c>
      <c r="AE93" s="182">
        <f t="shared" si="104"/>
        <v>145.86000000000001</v>
      </c>
      <c r="AF93" s="182">
        <f t="shared" si="104"/>
        <v>145.86000000000001</v>
      </c>
      <c r="AG93" s="182">
        <f t="shared" si="104"/>
        <v>145.86000000000001</v>
      </c>
      <c r="AH93" s="7"/>
      <c r="AI93" s="128">
        <f t="shared" si="89"/>
        <v>120</v>
      </c>
      <c r="AJ93" s="182">
        <f t="shared" ref="AJ93:AT93" si="105">AI93*(1+AJ$85)</f>
        <v>132.6</v>
      </c>
      <c r="AK93" s="182">
        <f t="shared" si="105"/>
        <v>145.86000000000001</v>
      </c>
      <c r="AL93" s="182">
        <f t="shared" si="105"/>
        <v>159.7167</v>
      </c>
      <c r="AM93" s="182">
        <f t="shared" si="105"/>
        <v>174.09120300000001</v>
      </c>
      <c r="AN93" s="182">
        <f t="shared" si="105"/>
        <v>188.88895525500001</v>
      </c>
      <c r="AO93" s="182">
        <f t="shared" si="105"/>
        <v>204.00007167540002</v>
      </c>
      <c r="AP93" s="182">
        <f t="shared" si="105"/>
        <v>218.28007669267802</v>
      </c>
      <c r="AQ93" s="182">
        <f t="shared" si="105"/>
        <v>232.46828167770209</v>
      </c>
      <c r="AR93" s="182">
        <f t="shared" si="105"/>
        <v>246.41637857836423</v>
      </c>
      <c r="AS93" s="182">
        <f t="shared" si="105"/>
        <v>258.73719750728247</v>
      </c>
      <c r="AT93" s="182">
        <f t="shared" si="105"/>
        <v>271.67405738264659</v>
      </c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</row>
    <row r="94" spans="1:69" ht="13.5" customHeight="1" x14ac:dyDescent="0.3">
      <c r="A94" s="7" t="s">
        <v>396</v>
      </c>
      <c r="B94" s="7"/>
      <c r="C94" s="7" t="s">
        <v>385</v>
      </c>
      <c r="D94" s="7" t="s">
        <v>394</v>
      </c>
      <c r="E94" s="7"/>
      <c r="F94" s="7"/>
      <c r="G94" s="7"/>
      <c r="H94" s="7"/>
      <c r="I94" s="7"/>
      <c r="J94" s="182">
        <v>145</v>
      </c>
      <c r="K94" s="182">
        <v>145</v>
      </c>
      <c r="L94" s="182">
        <v>145</v>
      </c>
      <c r="M94" s="182">
        <v>145</v>
      </c>
      <c r="N94" s="182">
        <v>145</v>
      </c>
      <c r="O94" s="182">
        <f t="shared" si="85"/>
        <v>160.22499999999999</v>
      </c>
      <c r="P94" s="182">
        <f t="shared" ref="P94:Z94" si="106">O94</f>
        <v>160.22499999999999</v>
      </c>
      <c r="Q94" s="182">
        <f t="shared" si="106"/>
        <v>160.22499999999999</v>
      </c>
      <c r="R94" s="182">
        <f t="shared" si="106"/>
        <v>160.22499999999999</v>
      </c>
      <c r="S94" s="182">
        <f t="shared" si="106"/>
        <v>160.22499999999999</v>
      </c>
      <c r="T94" s="182">
        <f t="shared" si="106"/>
        <v>160.22499999999999</v>
      </c>
      <c r="U94" s="182">
        <f t="shared" si="106"/>
        <v>160.22499999999999</v>
      </c>
      <c r="V94" s="182">
        <f t="shared" si="106"/>
        <v>160.22499999999999</v>
      </c>
      <c r="W94" s="182">
        <f t="shared" si="106"/>
        <v>160.22499999999999</v>
      </c>
      <c r="X94" s="182">
        <f t="shared" si="106"/>
        <v>160.22499999999999</v>
      </c>
      <c r="Y94" s="182">
        <f t="shared" si="106"/>
        <v>160.22499999999999</v>
      </c>
      <c r="Z94" s="182">
        <f t="shared" si="106"/>
        <v>160.22499999999999</v>
      </c>
      <c r="AA94" s="182">
        <f t="shared" si="87"/>
        <v>176.2475</v>
      </c>
      <c r="AB94" s="182">
        <f t="shared" ref="AB94:AG94" si="107">AA94</f>
        <v>176.2475</v>
      </c>
      <c r="AC94" s="182">
        <f t="shared" si="107"/>
        <v>176.2475</v>
      </c>
      <c r="AD94" s="182">
        <f t="shared" si="107"/>
        <v>176.2475</v>
      </c>
      <c r="AE94" s="182">
        <f t="shared" si="107"/>
        <v>176.2475</v>
      </c>
      <c r="AF94" s="182">
        <f t="shared" si="107"/>
        <v>176.2475</v>
      </c>
      <c r="AG94" s="182">
        <f t="shared" si="107"/>
        <v>176.2475</v>
      </c>
      <c r="AH94" s="7"/>
      <c r="AI94" s="128">
        <f t="shared" si="89"/>
        <v>145</v>
      </c>
      <c r="AJ94" s="182">
        <f t="shared" ref="AJ94:AT94" si="108">AI94*(1+AJ$85)</f>
        <v>160.22499999999999</v>
      </c>
      <c r="AK94" s="182">
        <f t="shared" si="108"/>
        <v>176.2475</v>
      </c>
      <c r="AL94" s="182">
        <f t="shared" si="108"/>
        <v>192.99101250000001</v>
      </c>
      <c r="AM94" s="182">
        <f t="shared" si="108"/>
        <v>210.36020362500003</v>
      </c>
      <c r="AN94" s="182">
        <f t="shared" si="108"/>
        <v>228.24082093312501</v>
      </c>
      <c r="AO94" s="182">
        <f t="shared" si="108"/>
        <v>246.50008660777502</v>
      </c>
      <c r="AP94" s="182">
        <f t="shared" si="108"/>
        <v>263.7550926703193</v>
      </c>
      <c r="AQ94" s="182">
        <f t="shared" si="108"/>
        <v>280.89917369389002</v>
      </c>
      <c r="AR94" s="182">
        <f t="shared" si="108"/>
        <v>297.75312411552346</v>
      </c>
      <c r="AS94" s="182">
        <f t="shared" si="108"/>
        <v>312.64078032129964</v>
      </c>
      <c r="AT94" s="182">
        <f t="shared" si="108"/>
        <v>328.27281933736464</v>
      </c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</row>
    <row r="95" spans="1:69" ht="13.5" customHeight="1" x14ac:dyDescent="0.3">
      <c r="A95" s="7" t="s">
        <v>396</v>
      </c>
      <c r="B95" s="7"/>
      <c r="C95" s="7" t="s">
        <v>379</v>
      </c>
      <c r="D95" s="7" t="s">
        <v>394</v>
      </c>
      <c r="E95" s="7"/>
      <c r="F95" s="7"/>
      <c r="G95" s="7"/>
      <c r="H95" s="7"/>
      <c r="I95" s="7"/>
      <c r="J95" s="182">
        <v>145</v>
      </c>
      <c r="K95" s="182">
        <v>145</v>
      </c>
      <c r="L95" s="182">
        <v>145</v>
      </c>
      <c r="M95" s="182">
        <v>145</v>
      </c>
      <c r="N95" s="182">
        <v>145</v>
      </c>
      <c r="O95" s="182">
        <f t="shared" si="85"/>
        <v>160.22499999999999</v>
      </c>
      <c r="P95" s="182">
        <f t="shared" ref="P95:Z95" si="109">O95</f>
        <v>160.22499999999999</v>
      </c>
      <c r="Q95" s="182">
        <f t="shared" si="109"/>
        <v>160.22499999999999</v>
      </c>
      <c r="R95" s="182">
        <f t="shared" si="109"/>
        <v>160.22499999999999</v>
      </c>
      <c r="S95" s="182">
        <f t="shared" si="109"/>
        <v>160.22499999999999</v>
      </c>
      <c r="T95" s="182">
        <f t="shared" si="109"/>
        <v>160.22499999999999</v>
      </c>
      <c r="U95" s="182">
        <f t="shared" si="109"/>
        <v>160.22499999999999</v>
      </c>
      <c r="V95" s="182">
        <f t="shared" si="109"/>
        <v>160.22499999999999</v>
      </c>
      <c r="W95" s="182">
        <f t="shared" si="109"/>
        <v>160.22499999999999</v>
      </c>
      <c r="X95" s="182">
        <f t="shared" si="109"/>
        <v>160.22499999999999</v>
      </c>
      <c r="Y95" s="182">
        <f t="shared" si="109"/>
        <v>160.22499999999999</v>
      </c>
      <c r="Z95" s="182">
        <f t="shared" si="109"/>
        <v>160.22499999999999</v>
      </c>
      <c r="AA95" s="182">
        <f t="shared" si="87"/>
        <v>176.2475</v>
      </c>
      <c r="AB95" s="182">
        <f t="shared" ref="AB95:AG95" si="110">AA95</f>
        <v>176.2475</v>
      </c>
      <c r="AC95" s="182">
        <f t="shared" si="110"/>
        <v>176.2475</v>
      </c>
      <c r="AD95" s="182">
        <f t="shared" si="110"/>
        <v>176.2475</v>
      </c>
      <c r="AE95" s="182">
        <f t="shared" si="110"/>
        <v>176.2475</v>
      </c>
      <c r="AF95" s="182">
        <f t="shared" si="110"/>
        <v>176.2475</v>
      </c>
      <c r="AG95" s="182">
        <f t="shared" si="110"/>
        <v>176.2475</v>
      </c>
      <c r="AH95" s="7"/>
      <c r="AI95" s="128">
        <f t="shared" si="89"/>
        <v>145</v>
      </c>
      <c r="AJ95" s="182">
        <f t="shared" ref="AJ95:AT95" si="111">AI95*(1+AJ$85)</f>
        <v>160.22499999999999</v>
      </c>
      <c r="AK95" s="182">
        <f t="shared" si="111"/>
        <v>176.2475</v>
      </c>
      <c r="AL95" s="182">
        <f t="shared" si="111"/>
        <v>192.99101250000001</v>
      </c>
      <c r="AM95" s="182">
        <f t="shared" si="111"/>
        <v>210.36020362500003</v>
      </c>
      <c r="AN95" s="182">
        <f t="shared" si="111"/>
        <v>228.24082093312501</v>
      </c>
      <c r="AO95" s="182">
        <f t="shared" si="111"/>
        <v>246.50008660777502</v>
      </c>
      <c r="AP95" s="182">
        <f t="shared" si="111"/>
        <v>263.7550926703193</v>
      </c>
      <c r="AQ95" s="182">
        <f t="shared" si="111"/>
        <v>280.89917369389002</v>
      </c>
      <c r="AR95" s="182">
        <f t="shared" si="111"/>
        <v>297.75312411552346</v>
      </c>
      <c r="AS95" s="182">
        <f t="shared" si="111"/>
        <v>312.64078032129964</v>
      </c>
      <c r="AT95" s="182">
        <f t="shared" si="111"/>
        <v>328.27281933736464</v>
      </c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</row>
    <row r="96" spans="1:69" ht="13.5" customHeight="1" x14ac:dyDescent="0.3">
      <c r="A96" s="7" t="s">
        <v>396</v>
      </c>
      <c r="B96" s="7"/>
      <c r="C96" s="7" t="s">
        <v>380</v>
      </c>
      <c r="D96" s="7" t="s">
        <v>394</v>
      </c>
      <c r="E96" s="7"/>
      <c r="F96" s="7"/>
      <c r="G96" s="7"/>
      <c r="H96" s="7"/>
      <c r="I96" s="7"/>
      <c r="J96" s="182">
        <v>145</v>
      </c>
      <c r="K96" s="182">
        <v>145</v>
      </c>
      <c r="L96" s="182">
        <v>145</v>
      </c>
      <c r="M96" s="182">
        <v>145</v>
      </c>
      <c r="N96" s="182">
        <v>145</v>
      </c>
      <c r="O96" s="182">
        <f t="shared" si="85"/>
        <v>160.22499999999999</v>
      </c>
      <c r="P96" s="182">
        <f t="shared" ref="P96:Z96" si="112">O96</f>
        <v>160.22499999999999</v>
      </c>
      <c r="Q96" s="182">
        <f t="shared" si="112"/>
        <v>160.22499999999999</v>
      </c>
      <c r="R96" s="182">
        <f t="shared" si="112"/>
        <v>160.22499999999999</v>
      </c>
      <c r="S96" s="182">
        <f t="shared" si="112"/>
        <v>160.22499999999999</v>
      </c>
      <c r="T96" s="182">
        <f t="shared" si="112"/>
        <v>160.22499999999999</v>
      </c>
      <c r="U96" s="182">
        <f t="shared" si="112"/>
        <v>160.22499999999999</v>
      </c>
      <c r="V96" s="182">
        <f t="shared" si="112"/>
        <v>160.22499999999999</v>
      </c>
      <c r="W96" s="182">
        <f t="shared" si="112"/>
        <v>160.22499999999999</v>
      </c>
      <c r="X96" s="182">
        <f t="shared" si="112"/>
        <v>160.22499999999999</v>
      </c>
      <c r="Y96" s="182">
        <f t="shared" si="112"/>
        <v>160.22499999999999</v>
      </c>
      <c r="Z96" s="182">
        <f t="shared" si="112"/>
        <v>160.22499999999999</v>
      </c>
      <c r="AA96" s="182">
        <f t="shared" si="87"/>
        <v>176.2475</v>
      </c>
      <c r="AB96" s="182">
        <f t="shared" ref="AB96:AG96" si="113">AA96</f>
        <v>176.2475</v>
      </c>
      <c r="AC96" s="182">
        <f t="shared" si="113"/>
        <v>176.2475</v>
      </c>
      <c r="AD96" s="182">
        <f t="shared" si="113"/>
        <v>176.2475</v>
      </c>
      <c r="AE96" s="182">
        <f t="shared" si="113"/>
        <v>176.2475</v>
      </c>
      <c r="AF96" s="182">
        <f t="shared" si="113"/>
        <v>176.2475</v>
      </c>
      <c r="AG96" s="182">
        <f t="shared" si="113"/>
        <v>176.2475</v>
      </c>
      <c r="AH96" s="7"/>
      <c r="AI96" s="128">
        <f t="shared" si="89"/>
        <v>145</v>
      </c>
      <c r="AJ96" s="182">
        <f t="shared" ref="AJ96:AT96" si="114">AI96*(1+AJ$85)</f>
        <v>160.22499999999999</v>
      </c>
      <c r="AK96" s="182">
        <f t="shared" si="114"/>
        <v>176.2475</v>
      </c>
      <c r="AL96" s="182">
        <f t="shared" si="114"/>
        <v>192.99101250000001</v>
      </c>
      <c r="AM96" s="182">
        <f t="shared" si="114"/>
        <v>210.36020362500003</v>
      </c>
      <c r="AN96" s="182">
        <f t="shared" si="114"/>
        <v>228.24082093312501</v>
      </c>
      <c r="AO96" s="182">
        <f t="shared" si="114"/>
        <v>246.50008660777502</v>
      </c>
      <c r="AP96" s="182">
        <f t="shared" si="114"/>
        <v>263.7550926703193</v>
      </c>
      <c r="AQ96" s="182">
        <f t="shared" si="114"/>
        <v>280.89917369389002</v>
      </c>
      <c r="AR96" s="182">
        <f t="shared" si="114"/>
        <v>297.75312411552346</v>
      </c>
      <c r="AS96" s="182">
        <f t="shared" si="114"/>
        <v>312.64078032129964</v>
      </c>
      <c r="AT96" s="182">
        <f t="shared" si="114"/>
        <v>328.27281933736464</v>
      </c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</row>
    <row r="97" spans="1:69" ht="13.5" customHeight="1" x14ac:dyDescent="0.3">
      <c r="A97" s="7" t="s">
        <v>396</v>
      </c>
      <c r="B97" s="7"/>
      <c r="C97" s="7" t="s">
        <v>382</v>
      </c>
      <c r="D97" s="7" t="s">
        <v>394</v>
      </c>
      <c r="E97" s="7"/>
      <c r="F97" s="7"/>
      <c r="G97" s="7"/>
      <c r="H97" s="7"/>
      <c r="I97" s="7"/>
      <c r="J97" s="182">
        <v>145</v>
      </c>
      <c r="K97" s="182">
        <v>145</v>
      </c>
      <c r="L97" s="182">
        <v>145</v>
      </c>
      <c r="M97" s="182">
        <v>145</v>
      </c>
      <c r="N97" s="182">
        <v>145</v>
      </c>
      <c r="O97" s="182">
        <f t="shared" si="85"/>
        <v>160.22499999999999</v>
      </c>
      <c r="P97" s="182">
        <f t="shared" ref="P97:Z97" si="115">O97</f>
        <v>160.22499999999999</v>
      </c>
      <c r="Q97" s="182">
        <f t="shared" si="115"/>
        <v>160.22499999999999</v>
      </c>
      <c r="R97" s="182">
        <f t="shared" si="115"/>
        <v>160.22499999999999</v>
      </c>
      <c r="S97" s="182">
        <f t="shared" si="115"/>
        <v>160.22499999999999</v>
      </c>
      <c r="T97" s="182">
        <f t="shared" si="115"/>
        <v>160.22499999999999</v>
      </c>
      <c r="U97" s="182">
        <f t="shared" si="115"/>
        <v>160.22499999999999</v>
      </c>
      <c r="V97" s="182">
        <f t="shared" si="115"/>
        <v>160.22499999999999</v>
      </c>
      <c r="W97" s="182">
        <f t="shared" si="115"/>
        <v>160.22499999999999</v>
      </c>
      <c r="X97" s="182">
        <f t="shared" si="115"/>
        <v>160.22499999999999</v>
      </c>
      <c r="Y97" s="182">
        <f t="shared" si="115"/>
        <v>160.22499999999999</v>
      </c>
      <c r="Z97" s="182">
        <f t="shared" si="115"/>
        <v>160.22499999999999</v>
      </c>
      <c r="AA97" s="182">
        <f t="shared" si="87"/>
        <v>176.2475</v>
      </c>
      <c r="AB97" s="182">
        <f t="shared" ref="AB97:AG97" si="116">AA97</f>
        <v>176.2475</v>
      </c>
      <c r="AC97" s="182">
        <f t="shared" si="116"/>
        <v>176.2475</v>
      </c>
      <c r="AD97" s="182">
        <f t="shared" si="116"/>
        <v>176.2475</v>
      </c>
      <c r="AE97" s="182">
        <f t="shared" si="116"/>
        <v>176.2475</v>
      </c>
      <c r="AF97" s="182">
        <f t="shared" si="116"/>
        <v>176.2475</v>
      </c>
      <c r="AG97" s="182">
        <f t="shared" si="116"/>
        <v>176.2475</v>
      </c>
      <c r="AH97" s="7"/>
      <c r="AI97" s="128">
        <f t="shared" si="89"/>
        <v>145</v>
      </c>
      <c r="AJ97" s="182">
        <f t="shared" ref="AJ97:AT97" si="117">AI97*(1+AJ$85)</f>
        <v>160.22499999999999</v>
      </c>
      <c r="AK97" s="182">
        <f t="shared" si="117"/>
        <v>176.2475</v>
      </c>
      <c r="AL97" s="182">
        <f t="shared" si="117"/>
        <v>192.99101250000001</v>
      </c>
      <c r="AM97" s="182">
        <f t="shared" si="117"/>
        <v>210.36020362500003</v>
      </c>
      <c r="AN97" s="182">
        <f t="shared" si="117"/>
        <v>228.24082093312501</v>
      </c>
      <c r="AO97" s="182">
        <f t="shared" si="117"/>
        <v>246.50008660777502</v>
      </c>
      <c r="AP97" s="182">
        <f t="shared" si="117"/>
        <v>263.7550926703193</v>
      </c>
      <c r="AQ97" s="182">
        <f t="shared" si="117"/>
        <v>280.89917369389002</v>
      </c>
      <c r="AR97" s="182">
        <f t="shared" si="117"/>
        <v>297.75312411552346</v>
      </c>
      <c r="AS97" s="182">
        <f t="shared" si="117"/>
        <v>312.64078032129964</v>
      </c>
      <c r="AT97" s="182">
        <f t="shared" si="117"/>
        <v>328.27281933736464</v>
      </c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</row>
    <row r="98" spans="1:69" ht="13.5" customHeight="1" x14ac:dyDescent="0.3">
      <c r="A98" s="7" t="s">
        <v>397</v>
      </c>
      <c r="B98" s="7"/>
      <c r="C98" s="7" t="s">
        <v>387</v>
      </c>
      <c r="D98" s="7" t="s">
        <v>394</v>
      </c>
      <c r="E98" s="7"/>
      <c r="F98" s="7"/>
      <c r="G98" s="7"/>
      <c r="H98" s="7"/>
      <c r="I98" s="7"/>
      <c r="J98" s="128">
        <v>36</v>
      </c>
      <c r="K98" s="128">
        <v>36</v>
      </c>
      <c r="L98" s="128">
        <v>36</v>
      </c>
      <c r="M98" s="128">
        <v>36</v>
      </c>
      <c r="N98" s="128">
        <v>36</v>
      </c>
      <c r="O98" s="182">
        <f t="shared" si="85"/>
        <v>39.78</v>
      </c>
      <c r="P98" s="182">
        <f t="shared" ref="P98:Z98" si="118">O98</f>
        <v>39.78</v>
      </c>
      <c r="Q98" s="182">
        <f t="shared" si="118"/>
        <v>39.78</v>
      </c>
      <c r="R98" s="182">
        <f t="shared" si="118"/>
        <v>39.78</v>
      </c>
      <c r="S98" s="182">
        <f t="shared" si="118"/>
        <v>39.78</v>
      </c>
      <c r="T98" s="182">
        <f t="shared" si="118"/>
        <v>39.78</v>
      </c>
      <c r="U98" s="182">
        <f t="shared" si="118"/>
        <v>39.78</v>
      </c>
      <c r="V98" s="182">
        <f t="shared" si="118"/>
        <v>39.78</v>
      </c>
      <c r="W98" s="182">
        <f t="shared" si="118"/>
        <v>39.78</v>
      </c>
      <c r="X98" s="182">
        <f t="shared" si="118"/>
        <v>39.78</v>
      </c>
      <c r="Y98" s="182">
        <f t="shared" si="118"/>
        <v>39.78</v>
      </c>
      <c r="Z98" s="182">
        <f t="shared" si="118"/>
        <v>39.78</v>
      </c>
      <c r="AA98" s="182">
        <f t="shared" si="87"/>
        <v>43.758000000000003</v>
      </c>
      <c r="AB98" s="182">
        <f t="shared" ref="AB98:AG98" si="119">AA98</f>
        <v>43.758000000000003</v>
      </c>
      <c r="AC98" s="182">
        <f t="shared" si="119"/>
        <v>43.758000000000003</v>
      </c>
      <c r="AD98" s="182">
        <f t="shared" si="119"/>
        <v>43.758000000000003</v>
      </c>
      <c r="AE98" s="182">
        <f t="shared" si="119"/>
        <v>43.758000000000003</v>
      </c>
      <c r="AF98" s="182">
        <f t="shared" si="119"/>
        <v>43.758000000000003</v>
      </c>
      <c r="AG98" s="182">
        <f t="shared" si="119"/>
        <v>43.758000000000003</v>
      </c>
      <c r="AH98" s="7"/>
      <c r="AI98" s="128">
        <f t="shared" si="89"/>
        <v>36</v>
      </c>
      <c r="AJ98" s="182">
        <f t="shared" ref="AJ98:AT98" si="120">AI98*(1+AJ$85)</f>
        <v>39.78</v>
      </c>
      <c r="AK98" s="182">
        <f t="shared" si="120"/>
        <v>43.758000000000003</v>
      </c>
      <c r="AL98" s="182">
        <f t="shared" si="120"/>
        <v>47.915010000000002</v>
      </c>
      <c r="AM98" s="182">
        <f t="shared" si="120"/>
        <v>52.227360900000008</v>
      </c>
      <c r="AN98" s="182">
        <f t="shared" si="120"/>
        <v>56.666686576500005</v>
      </c>
      <c r="AO98" s="182">
        <f t="shared" si="120"/>
        <v>61.200021502620011</v>
      </c>
      <c r="AP98" s="182">
        <f t="shared" si="120"/>
        <v>65.484023007803415</v>
      </c>
      <c r="AQ98" s="182">
        <f t="shared" si="120"/>
        <v>69.74048450331064</v>
      </c>
      <c r="AR98" s="182">
        <f t="shared" si="120"/>
        <v>73.924913573509286</v>
      </c>
      <c r="AS98" s="182">
        <f t="shared" si="120"/>
        <v>77.621159252184754</v>
      </c>
      <c r="AT98" s="182">
        <f t="shared" si="120"/>
        <v>81.502217214794001</v>
      </c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</row>
    <row r="99" spans="1:69" ht="13.5" customHeight="1" x14ac:dyDescent="0.3">
      <c r="A99" s="7" t="s">
        <v>395</v>
      </c>
      <c r="B99" s="7"/>
      <c r="C99" s="7" t="s">
        <v>388</v>
      </c>
      <c r="D99" s="7" t="s">
        <v>394</v>
      </c>
      <c r="E99" s="7"/>
      <c r="F99" s="7"/>
      <c r="G99" s="7"/>
      <c r="H99" s="7"/>
      <c r="I99" s="7"/>
      <c r="J99" s="182">
        <v>63</v>
      </c>
      <c r="K99" s="182">
        <v>63</v>
      </c>
      <c r="L99" s="182">
        <v>63</v>
      </c>
      <c r="M99" s="182">
        <v>63</v>
      </c>
      <c r="N99" s="182">
        <v>63</v>
      </c>
      <c r="O99" s="182">
        <f t="shared" si="85"/>
        <v>69.614999999999995</v>
      </c>
      <c r="P99" s="182">
        <f t="shared" ref="P99:Z99" si="121">O99</f>
        <v>69.614999999999995</v>
      </c>
      <c r="Q99" s="182">
        <f t="shared" si="121"/>
        <v>69.614999999999995</v>
      </c>
      <c r="R99" s="182">
        <f t="shared" si="121"/>
        <v>69.614999999999995</v>
      </c>
      <c r="S99" s="182">
        <f t="shared" si="121"/>
        <v>69.614999999999995</v>
      </c>
      <c r="T99" s="182">
        <f t="shared" si="121"/>
        <v>69.614999999999995</v>
      </c>
      <c r="U99" s="182">
        <f t="shared" si="121"/>
        <v>69.614999999999995</v>
      </c>
      <c r="V99" s="182">
        <f t="shared" si="121"/>
        <v>69.614999999999995</v>
      </c>
      <c r="W99" s="182">
        <f t="shared" si="121"/>
        <v>69.614999999999995</v>
      </c>
      <c r="X99" s="182">
        <f t="shared" si="121"/>
        <v>69.614999999999995</v>
      </c>
      <c r="Y99" s="182">
        <f t="shared" si="121"/>
        <v>69.614999999999995</v>
      </c>
      <c r="Z99" s="182">
        <f t="shared" si="121"/>
        <v>69.614999999999995</v>
      </c>
      <c r="AA99" s="182">
        <f t="shared" si="87"/>
        <v>76.576499999999996</v>
      </c>
      <c r="AB99" s="182">
        <f t="shared" ref="AB99:AG99" si="122">AA99</f>
        <v>76.576499999999996</v>
      </c>
      <c r="AC99" s="182">
        <f t="shared" si="122"/>
        <v>76.576499999999996</v>
      </c>
      <c r="AD99" s="182">
        <f t="shared" si="122"/>
        <v>76.576499999999996</v>
      </c>
      <c r="AE99" s="182">
        <f t="shared" si="122"/>
        <v>76.576499999999996</v>
      </c>
      <c r="AF99" s="182">
        <f t="shared" si="122"/>
        <v>76.576499999999996</v>
      </c>
      <c r="AG99" s="182">
        <f t="shared" si="122"/>
        <v>76.576499999999996</v>
      </c>
      <c r="AH99" s="7"/>
      <c r="AI99" s="128">
        <f t="shared" si="89"/>
        <v>63</v>
      </c>
      <c r="AJ99" s="182">
        <f t="shared" ref="AJ99:AT99" si="123">AI99*(1+AJ$85)</f>
        <v>69.614999999999995</v>
      </c>
      <c r="AK99" s="182">
        <f t="shared" si="123"/>
        <v>76.576499999999996</v>
      </c>
      <c r="AL99" s="182">
        <f t="shared" si="123"/>
        <v>83.851267499999992</v>
      </c>
      <c r="AM99" s="182">
        <f t="shared" si="123"/>
        <v>91.397881575</v>
      </c>
      <c r="AN99" s="182">
        <f t="shared" si="123"/>
        <v>99.166701508874993</v>
      </c>
      <c r="AO99" s="182">
        <f t="shared" si="123"/>
        <v>107.100037629585</v>
      </c>
      <c r="AP99" s="182">
        <f t="shared" si="123"/>
        <v>114.59704026365596</v>
      </c>
      <c r="AQ99" s="182">
        <f t="shared" si="123"/>
        <v>122.04584788079359</v>
      </c>
      <c r="AR99" s="182">
        <f t="shared" si="123"/>
        <v>129.36859875364121</v>
      </c>
      <c r="AS99" s="182">
        <f t="shared" si="123"/>
        <v>135.83702869132327</v>
      </c>
      <c r="AT99" s="182">
        <f t="shared" si="123"/>
        <v>142.62888012588945</v>
      </c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</row>
    <row r="100" spans="1:69" ht="13.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</row>
    <row r="101" spans="1:69" ht="13.5" customHeight="1" x14ac:dyDescent="0.3">
      <c r="A101" s="2" t="s">
        <v>0</v>
      </c>
      <c r="B101" s="3" t="s">
        <v>398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</row>
    <row r="102" spans="1:69" ht="13.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</row>
    <row r="103" spans="1:69" ht="13.5" customHeight="1" x14ac:dyDescent="0.3">
      <c r="A103" s="7"/>
      <c r="B103" s="7"/>
      <c r="C103" s="7" t="s">
        <v>56</v>
      </c>
      <c r="D103" s="7" t="s">
        <v>399</v>
      </c>
      <c r="E103" s="7"/>
      <c r="F103" s="128">
        <v>0</v>
      </c>
      <c r="G103" s="7"/>
      <c r="H103" s="7"/>
      <c r="I103" s="7"/>
      <c r="J103" s="185">
        <v>0</v>
      </c>
      <c r="K103" s="185">
        <v>0</v>
      </c>
      <c r="L103" s="185">
        <v>0</v>
      </c>
      <c r="M103" s="185">
        <v>0</v>
      </c>
      <c r="N103" s="185">
        <v>0</v>
      </c>
      <c r="O103" s="185">
        <v>0</v>
      </c>
      <c r="P103" s="185">
        <v>0</v>
      </c>
      <c r="Q103" s="185">
        <v>0</v>
      </c>
      <c r="R103" s="185">
        <v>0</v>
      </c>
      <c r="S103" s="185">
        <v>0</v>
      </c>
      <c r="T103" s="185">
        <v>0</v>
      </c>
      <c r="U103" s="185">
        <v>0</v>
      </c>
      <c r="V103" s="185">
        <v>0</v>
      </c>
      <c r="W103" s="185">
        <v>0</v>
      </c>
      <c r="X103" s="185">
        <v>0</v>
      </c>
      <c r="Y103" s="185">
        <v>0</v>
      </c>
      <c r="Z103" s="185">
        <v>0</v>
      </c>
      <c r="AA103" s="185">
        <v>0</v>
      </c>
      <c r="AB103" s="185">
        <v>0</v>
      </c>
      <c r="AC103" s="185">
        <v>0</v>
      </c>
      <c r="AD103" s="185">
        <v>0</v>
      </c>
      <c r="AE103" s="185">
        <v>0</v>
      </c>
      <c r="AF103" s="185">
        <v>0</v>
      </c>
      <c r="AG103" s="185">
        <v>0</v>
      </c>
      <c r="AH103" s="7"/>
      <c r="AI103" s="8">
        <v>600</v>
      </c>
      <c r="AJ103" s="8">
        <f t="shared" ref="AJ103:AT103" si="124">AI103</f>
        <v>600</v>
      </c>
      <c r="AK103" s="8">
        <f t="shared" si="124"/>
        <v>600</v>
      </c>
      <c r="AL103" s="8">
        <f t="shared" si="124"/>
        <v>600</v>
      </c>
      <c r="AM103" s="8">
        <f t="shared" si="124"/>
        <v>600</v>
      </c>
      <c r="AN103" s="8">
        <f t="shared" si="124"/>
        <v>600</v>
      </c>
      <c r="AO103" s="8">
        <f t="shared" si="124"/>
        <v>600</v>
      </c>
      <c r="AP103" s="8">
        <f t="shared" si="124"/>
        <v>600</v>
      </c>
      <c r="AQ103" s="8">
        <f t="shared" si="124"/>
        <v>600</v>
      </c>
      <c r="AR103" s="8">
        <f t="shared" si="124"/>
        <v>600</v>
      </c>
      <c r="AS103" s="8">
        <f t="shared" si="124"/>
        <v>600</v>
      </c>
      <c r="AT103" s="8">
        <f t="shared" si="124"/>
        <v>600</v>
      </c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</row>
    <row r="104" spans="1:69" ht="13.5" customHeight="1" x14ac:dyDescent="0.3">
      <c r="A104" s="7"/>
      <c r="B104" s="7"/>
      <c r="C104" s="7" t="s">
        <v>88</v>
      </c>
      <c r="D104" s="7" t="s">
        <v>399</v>
      </c>
      <c r="E104" s="7"/>
      <c r="F104" s="128">
        <v>0</v>
      </c>
      <c r="G104" s="7"/>
      <c r="H104" s="7"/>
      <c r="I104" s="7"/>
      <c r="J104" s="185">
        <v>0</v>
      </c>
      <c r="K104" s="185">
        <v>0</v>
      </c>
      <c r="L104" s="185">
        <v>0</v>
      </c>
      <c r="M104" s="185">
        <v>0</v>
      </c>
      <c r="N104" s="185">
        <v>0</v>
      </c>
      <c r="O104" s="185">
        <v>0</v>
      </c>
      <c r="P104" s="185">
        <v>0</v>
      </c>
      <c r="Q104" s="185">
        <v>0</v>
      </c>
      <c r="R104" s="185">
        <v>0</v>
      </c>
      <c r="S104" s="185">
        <v>0</v>
      </c>
      <c r="T104" s="185">
        <v>0</v>
      </c>
      <c r="U104" s="185">
        <v>0</v>
      </c>
      <c r="V104" s="185">
        <v>0</v>
      </c>
      <c r="W104" s="185">
        <v>0</v>
      </c>
      <c r="X104" s="185">
        <v>0</v>
      </c>
      <c r="Y104" s="185">
        <v>0</v>
      </c>
      <c r="Z104" s="185">
        <v>0</v>
      </c>
      <c r="AA104" s="185">
        <v>0</v>
      </c>
      <c r="AB104" s="185">
        <v>0</v>
      </c>
      <c r="AC104" s="185">
        <v>0</v>
      </c>
      <c r="AD104" s="185">
        <v>0</v>
      </c>
      <c r="AE104" s="185">
        <v>0</v>
      </c>
      <c r="AF104" s="185">
        <v>0</v>
      </c>
      <c r="AG104" s="185">
        <v>0</v>
      </c>
      <c r="AH104" s="7"/>
      <c r="AI104" s="8">
        <v>750</v>
      </c>
      <c r="AJ104" s="8">
        <f t="shared" ref="AJ104:AT104" si="125">AI104</f>
        <v>750</v>
      </c>
      <c r="AK104" s="8">
        <f t="shared" si="125"/>
        <v>750</v>
      </c>
      <c r="AL104" s="8">
        <f t="shared" si="125"/>
        <v>750</v>
      </c>
      <c r="AM104" s="8">
        <f t="shared" si="125"/>
        <v>750</v>
      </c>
      <c r="AN104" s="8">
        <f t="shared" si="125"/>
        <v>750</v>
      </c>
      <c r="AO104" s="8">
        <f t="shared" si="125"/>
        <v>750</v>
      </c>
      <c r="AP104" s="8">
        <f t="shared" si="125"/>
        <v>750</v>
      </c>
      <c r="AQ104" s="8">
        <f t="shared" si="125"/>
        <v>750</v>
      </c>
      <c r="AR104" s="8">
        <f t="shared" si="125"/>
        <v>750</v>
      </c>
      <c r="AS104" s="8">
        <f t="shared" si="125"/>
        <v>750</v>
      </c>
      <c r="AT104" s="8">
        <f t="shared" si="125"/>
        <v>750</v>
      </c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</row>
    <row r="105" spans="1:69" ht="13.5" customHeight="1" x14ac:dyDescent="0.3">
      <c r="A105" s="7"/>
      <c r="B105" s="7"/>
      <c r="C105" s="7" t="s">
        <v>89</v>
      </c>
      <c r="D105" s="7" t="s">
        <v>399</v>
      </c>
      <c r="E105" s="7"/>
      <c r="F105" s="8">
        <v>850</v>
      </c>
      <c r="G105" s="7"/>
      <c r="H105" s="7"/>
      <c r="I105" s="7"/>
      <c r="J105" s="185">
        <v>0</v>
      </c>
      <c r="K105" s="185">
        <v>0</v>
      </c>
      <c r="L105" s="185">
        <v>0</v>
      </c>
      <c r="M105" s="185">
        <v>0</v>
      </c>
      <c r="N105" s="185">
        <v>0</v>
      </c>
      <c r="O105" s="185">
        <v>0</v>
      </c>
      <c r="P105" s="185">
        <v>0</v>
      </c>
      <c r="Q105" s="185">
        <v>0</v>
      </c>
      <c r="R105" s="185">
        <v>0</v>
      </c>
      <c r="S105" s="185">
        <v>0</v>
      </c>
      <c r="T105" s="185">
        <v>0</v>
      </c>
      <c r="U105" s="185">
        <v>0</v>
      </c>
      <c r="V105" s="185">
        <v>0</v>
      </c>
      <c r="W105" s="185">
        <v>0</v>
      </c>
      <c r="X105" s="185">
        <v>0</v>
      </c>
      <c r="Y105" s="185">
        <v>0</v>
      </c>
      <c r="Z105" s="185">
        <v>0</v>
      </c>
      <c r="AA105" s="185">
        <v>0</v>
      </c>
      <c r="AB105" s="185">
        <v>0</v>
      </c>
      <c r="AC105" s="185">
        <v>0</v>
      </c>
      <c r="AD105" s="185">
        <v>0</v>
      </c>
      <c r="AE105" s="185">
        <v>0</v>
      </c>
      <c r="AF105" s="185">
        <v>0</v>
      </c>
      <c r="AG105" s="185">
        <v>0</v>
      </c>
      <c r="AH105" s="7"/>
      <c r="AI105" s="8">
        <f>25+F105/1000*30*AK115</f>
        <v>203.5</v>
      </c>
      <c r="AJ105" s="8">
        <f t="shared" ref="AJ105:AT105" si="126">AI105</f>
        <v>203.5</v>
      </c>
      <c r="AK105" s="8">
        <f t="shared" si="126"/>
        <v>203.5</v>
      </c>
      <c r="AL105" s="8">
        <f t="shared" si="126"/>
        <v>203.5</v>
      </c>
      <c r="AM105" s="8">
        <f t="shared" si="126"/>
        <v>203.5</v>
      </c>
      <c r="AN105" s="8">
        <f t="shared" si="126"/>
        <v>203.5</v>
      </c>
      <c r="AO105" s="8">
        <f t="shared" si="126"/>
        <v>203.5</v>
      </c>
      <c r="AP105" s="8">
        <f t="shared" si="126"/>
        <v>203.5</v>
      </c>
      <c r="AQ105" s="8">
        <f t="shared" si="126"/>
        <v>203.5</v>
      </c>
      <c r="AR105" s="8">
        <f t="shared" si="126"/>
        <v>203.5</v>
      </c>
      <c r="AS105" s="8">
        <f t="shared" si="126"/>
        <v>203.5</v>
      </c>
      <c r="AT105" s="8">
        <f t="shared" si="126"/>
        <v>203.5</v>
      </c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</row>
    <row r="106" spans="1:69" ht="13.5" customHeight="1" x14ac:dyDescent="0.3">
      <c r="A106" s="7"/>
      <c r="B106" s="7"/>
      <c r="C106" s="7" t="s">
        <v>90</v>
      </c>
      <c r="D106" s="7" t="s">
        <v>399</v>
      </c>
      <c r="E106" s="7"/>
      <c r="F106" s="8">
        <v>810</v>
      </c>
      <c r="G106" s="7"/>
      <c r="H106" s="7"/>
      <c r="I106" s="7"/>
      <c r="J106" s="185">
        <v>0</v>
      </c>
      <c r="K106" s="185">
        <v>0</v>
      </c>
      <c r="L106" s="185">
        <v>0</v>
      </c>
      <c r="M106" s="185">
        <v>0</v>
      </c>
      <c r="N106" s="185">
        <v>0</v>
      </c>
      <c r="O106" s="185">
        <v>0</v>
      </c>
      <c r="P106" s="185">
        <v>0</v>
      </c>
      <c r="Q106" s="185">
        <v>0</v>
      </c>
      <c r="R106" s="185">
        <v>0</v>
      </c>
      <c r="S106" s="185">
        <v>0</v>
      </c>
      <c r="T106" s="185">
        <v>0</v>
      </c>
      <c r="U106" s="185">
        <v>0</v>
      </c>
      <c r="V106" s="185">
        <v>0</v>
      </c>
      <c r="W106" s="185">
        <v>0</v>
      </c>
      <c r="X106" s="185">
        <v>0</v>
      </c>
      <c r="Y106" s="185">
        <v>0</v>
      </c>
      <c r="Z106" s="185">
        <v>0</v>
      </c>
      <c r="AA106" s="185">
        <v>0</v>
      </c>
      <c r="AB106" s="185">
        <v>0</v>
      </c>
      <c r="AC106" s="185">
        <v>0</v>
      </c>
      <c r="AD106" s="185">
        <v>0</v>
      </c>
      <c r="AE106" s="185">
        <v>0</v>
      </c>
      <c r="AF106" s="185">
        <v>0</v>
      </c>
      <c r="AG106" s="185">
        <v>0</v>
      </c>
      <c r="AH106" s="7"/>
      <c r="AI106" s="8">
        <f>F106/1000*30*AL116+AI105</f>
        <v>276.39999999999998</v>
      </c>
      <c r="AJ106" s="8">
        <f t="shared" ref="AJ106:AT106" si="127">AI106</f>
        <v>276.39999999999998</v>
      </c>
      <c r="AK106" s="8">
        <f t="shared" si="127"/>
        <v>276.39999999999998</v>
      </c>
      <c r="AL106" s="8">
        <f t="shared" si="127"/>
        <v>276.39999999999998</v>
      </c>
      <c r="AM106" s="8">
        <f t="shared" si="127"/>
        <v>276.39999999999998</v>
      </c>
      <c r="AN106" s="8">
        <f t="shared" si="127"/>
        <v>276.39999999999998</v>
      </c>
      <c r="AO106" s="8">
        <f t="shared" si="127"/>
        <v>276.39999999999998</v>
      </c>
      <c r="AP106" s="8">
        <f t="shared" si="127"/>
        <v>276.39999999999998</v>
      </c>
      <c r="AQ106" s="8">
        <f t="shared" si="127"/>
        <v>276.39999999999998</v>
      </c>
      <c r="AR106" s="8">
        <f t="shared" si="127"/>
        <v>276.39999999999998</v>
      </c>
      <c r="AS106" s="8">
        <f t="shared" si="127"/>
        <v>276.39999999999998</v>
      </c>
      <c r="AT106" s="8">
        <f t="shared" si="127"/>
        <v>276.39999999999998</v>
      </c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</row>
    <row r="107" spans="1:69" ht="13.5" customHeight="1" x14ac:dyDescent="0.3">
      <c r="A107" s="7"/>
      <c r="B107" s="7"/>
      <c r="C107" s="7" t="s">
        <v>59</v>
      </c>
      <c r="D107" s="7" t="s">
        <v>399</v>
      </c>
      <c r="E107" s="7"/>
      <c r="F107" s="8">
        <v>850</v>
      </c>
      <c r="G107" s="7"/>
      <c r="H107" s="7"/>
      <c r="I107" s="7"/>
      <c r="J107" s="185">
        <v>0</v>
      </c>
      <c r="K107" s="185">
        <v>0</v>
      </c>
      <c r="L107" s="185">
        <v>0</v>
      </c>
      <c r="M107" s="185">
        <v>0</v>
      </c>
      <c r="N107" s="185">
        <v>0</v>
      </c>
      <c r="O107" s="185">
        <v>0</v>
      </c>
      <c r="P107" s="185">
        <v>0</v>
      </c>
      <c r="Q107" s="185">
        <v>0</v>
      </c>
      <c r="R107" s="185">
        <v>0</v>
      </c>
      <c r="S107" s="185">
        <v>0</v>
      </c>
      <c r="T107" s="185">
        <v>0</v>
      </c>
      <c r="U107" s="185">
        <v>0</v>
      </c>
      <c r="V107" s="185">
        <v>0</v>
      </c>
      <c r="W107" s="185">
        <v>0</v>
      </c>
      <c r="X107" s="185">
        <v>0</v>
      </c>
      <c r="Y107" s="185">
        <v>0</v>
      </c>
      <c r="Z107" s="185">
        <v>0</v>
      </c>
      <c r="AA107" s="185">
        <v>0</v>
      </c>
      <c r="AB107" s="185">
        <v>0</v>
      </c>
      <c r="AC107" s="185">
        <v>0</v>
      </c>
      <c r="AD107" s="185">
        <v>0</v>
      </c>
      <c r="AE107" s="185">
        <v>0</v>
      </c>
      <c r="AF107" s="185">
        <v>0</v>
      </c>
      <c r="AG107" s="185">
        <v>0</v>
      </c>
      <c r="AH107" s="7"/>
      <c r="AI107" s="8">
        <f>F107/1000*30*AK118+AI105</f>
        <v>331</v>
      </c>
      <c r="AJ107" s="8">
        <f t="shared" ref="AJ107:AT108" si="128">AI107</f>
        <v>331</v>
      </c>
      <c r="AK107" s="8">
        <f t="shared" si="128"/>
        <v>331</v>
      </c>
      <c r="AL107" s="8">
        <f t="shared" si="128"/>
        <v>331</v>
      </c>
      <c r="AM107" s="8">
        <f t="shared" si="128"/>
        <v>331</v>
      </c>
      <c r="AN107" s="8">
        <f t="shared" si="128"/>
        <v>331</v>
      </c>
      <c r="AO107" s="8">
        <f t="shared" si="128"/>
        <v>331</v>
      </c>
      <c r="AP107" s="8">
        <f t="shared" si="128"/>
        <v>331</v>
      </c>
      <c r="AQ107" s="8">
        <f t="shared" si="128"/>
        <v>331</v>
      </c>
      <c r="AR107" s="8">
        <f t="shared" si="128"/>
        <v>331</v>
      </c>
      <c r="AS107" s="8">
        <f t="shared" si="128"/>
        <v>331</v>
      </c>
      <c r="AT107" s="8">
        <f t="shared" si="128"/>
        <v>331</v>
      </c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</row>
    <row r="108" spans="1:69" ht="13.5" customHeight="1" x14ac:dyDescent="0.3">
      <c r="A108" s="7"/>
      <c r="B108" s="7"/>
      <c r="C108" s="7" t="s">
        <v>670</v>
      </c>
      <c r="D108" s="7" t="s">
        <v>399</v>
      </c>
      <c r="E108" s="7"/>
      <c r="F108" s="8">
        <v>800</v>
      </c>
      <c r="G108" s="7"/>
      <c r="H108" s="7"/>
      <c r="I108" s="7"/>
      <c r="J108" s="185">
        <v>0</v>
      </c>
      <c r="K108" s="185">
        <v>0</v>
      </c>
      <c r="L108" s="185">
        <v>0</v>
      </c>
      <c r="M108" s="185">
        <v>0</v>
      </c>
      <c r="N108" s="185">
        <v>0</v>
      </c>
      <c r="O108" s="185">
        <v>0</v>
      </c>
      <c r="P108" s="185">
        <v>0</v>
      </c>
      <c r="Q108" s="185">
        <v>0</v>
      </c>
      <c r="R108" s="185">
        <v>0</v>
      </c>
      <c r="S108" s="185">
        <v>0</v>
      </c>
      <c r="T108" s="185">
        <v>0</v>
      </c>
      <c r="U108" s="185">
        <v>0</v>
      </c>
      <c r="V108" s="185">
        <v>0</v>
      </c>
      <c r="W108" s="185">
        <v>0</v>
      </c>
      <c r="X108" s="185">
        <v>0</v>
      </c>
      <c r="Y108" s="185">
        <v>0</v>
      </c>
      <c r="Z108" s="185">
        <v>0</v>
      </c>
      <c r="AA108" s="185">
        <v>0</v>
      </c>
      <c r="AB108" s="185">
        <v>0</v>
      </c>
      <c r="AC108" s="185">
        <v>0</v>
      </c>
      <c r="AD108" s="185">
        <v>0</v>
      </c>
      <c r="AE108" s="185">
        <v>0</v>
      </c>
      <c r="AF108" s="185">
        <v>0</v>
      </c>
      <c r="AG108" s="185">
        <v>0</v>
      </c>
      <c r="AH108" s="7"/>
      <c r="AI108" s="8">
        <f>F108/1000*30*AK119+AI105</f>
        <v>347.5</v>
      </c>
      <c r="AJ108" s="8">
        <f t="shared" si="128"/>
        <v>347.5</v>
      </c>
      <c r="AK108" s="8">
        <f t="shared" ref="AK108" si="129">AJ108</f>
        <v>347.5</v>
      </c>
      <c r="AL108" s="8">
        <f t="shared" ref="AL108" si="130">AK108</f>
        <v>347.5</v>
      </c>
      <c r="AM108" s="8">
        <f t="shared" ref="AM108" si="131">AL108</f>
        <v>347.5</v>
      </c>
      <c r="AN108" s="8">
        <f t="shared" ref="AN108" si="132">AM108</f>
        <v>347.5</v>
      </c>
      <c r="AO108" s="8">
        <f t="shared" ref="AO108" si="133">AN108</f>
        <v>347.5</v>
      </c>
      <c r="AP108" s="8">
        <f t="shared" ref="AP108" si="134">AO108</f>
        <v>347.5</v>
      </c>
      <c r="AQ108" s="8">
        <f t="shared" ref="AQ108" si="135">AP108</f>
        <v>347.5</v>
      </c>
      <c r="AR108" s="8">
        <f t="shared" ref="AR108" si="136">AQ108</f>
        <v>347.5</v>
      </c>
      <c r="AS108" s="8">
        <f t="shared" ref="AS108:AT108" si="137">AR108</f>
        <v>347.5</v>
      </c>
      <c r="AT108" s="8">
        <f t="shared" si="137"/>
        <v>347.5</v>
      </c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</row>
    <row r="109" spans="1:69" ht="13.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</row>
    <row r="110" spans="1:69" ht="13.5" customHeight="1" x14ac:dyDescent="0.3">
      <c r="A110" s="3" t="s">
        <v>0</v>
      </c>
      <c r="B110" s="3" t="s">
        <v>400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</row>
    <row r="111" spans="1:69" ht="13.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</row>
    <row r="112" spans="1:69" ht="13.5" customHeight="1" x14ac:dyDescent="0.3">
      <c r="A112" s="7"/>
      <c r="B112" s="7"/>
      <c r="C112" s="7" t="s">
        <v>372</v>
      </c>
      <c r="D112" s="7" t="s">
        <v>401</v>
      </c>
      <c r="E112" s="7"/>
      <c r="F112" s="7"/>
      <c r="G112" s="7"/>
      <c r="H112" s="7"/>
      <c r="I112" s="7"/>
      <c r="J112" s="185">
        <f>IF('Cattle Feeding Cycle'!J225&lt;0,1,0)</f>
        <v>0</v>
      </c>
      <c r="K112" s="185">
        <f>IF('Cattle Feeding Cycle'!K225&lt;0,1,0)</f>
        <v>0</v>
      </c>
      <c r="L112" s="185">
        <f>IF('Cattle Feeding Cycle'!L225&lt;0,1,0)</f>
        <v>0</v>
      </c>
      <c r="M112" s="185">
        <f>IF('Cattle Feeding Cycle'!M225&lt;0,1,0)</f>
        <v>0</v>
      </c>
      <c r="N112" s="185">
        <f>IF('Cattle Feeding Cycle'!N225&lt;0,1,0)</f>
        <v>0</v>
      </c>
      <c r="O112" s="185">
        <f>IF('Cattle Feeding Cycle'!O225&lt;0,1,0)</f>
        <v>0</v>
      </c>
      <c r="P112" s="185">
        <f>IF('Cattle Feeding Cycle'!P225&lt;0,1,0)</f>
        <v>0</v>
      </c>
      <c r="Q112" s="185">
        <f>IF('Cattle Feeding Cycle'!Q225&lt;0,1,0)</f>
        <v>0</v>
      </c>
      <c r="R112" s="185">
        <f>IF('Cattle Feeding Cycle'!R225&lt;0,1,0)</f>
        <v>1</v>
      </c>
      <c r="S112" s="185">
        <f>IF('Cattle Feeding Cycle'!S225&lt;0,1,0)</f>
        <v>1</v>
      </c>
      <c r="T112" s="185">
        <f>IF('Cattle Feeding Cycle'!T225&lt;0,1,0)</f>
        <v>1</v>
      </c>
      <c r="U112" s="185">
        <f>IF('Cattle Feeding Cycle'!U225&lt;0,1,0)</f>
        <v>1</v>
      </c>
      <c r="V112" s="185">
        <f>IF('Cattle Feeding Cycle'!V225&lt;0,1,0)</f>
        <v>1</v>
      </c>
      <c r="W112" s="185">
        <f>IF('Cattle Feeding Cycle'!W225&lt;0,1,0)</f>
        <v>1</v>
      </c>
      <c r="X112" s="185">
        <f>IF('Cattle Feeding Cycle'!X225&lt;0,1,0)</f>
        <v>1</v>
      </c>
      <c r="Y112" s="185">
        <f>IF('Cattle Feeding Cycle'!Y225&lt;0,1,0)</f>
        <v>1</v>
      </c>
      <c r="Z112" s="185">
        <f>IF('Cattle Feeding Cycle'!Z225&lt;0,1,0)</f>
        <v>1</v>
      </c>
      <c r="AA112" s="185">
        <f>IF('Cattle Feeding Cycle'!AA225&lt;0,1,0)</f>
        <v>1</v>
      </c>
      <c r="AB112" s="185">
        <f>IF('Cattle Feeding Cycle'!AB225&lt;0,1,0)</f>
        <v>1</v>
      </c>
      <c r="AC112" s="185">
        <f>IF('Cattle Feeding Cycle'!AC225&lt;0,1,0)</f>
        <v>1</v>
      </c>
      <c r="AD112" s="185">
        <f>IF('Cattle Feeding Cycle'!AD225&lt;0,1,0)</f>
        <v>1</v>
      </c>
      <c r="AE112" s="185">
        <f>IF('Cattle Feeding Cycle'!AE225&lt;0,1,0)</f>
        <v>1</v>
      </c>
      <c r="AF112" s="185">
        <f>IF('Cattle Feeding Cycle'!AF225&lt;0,1,0)</f>
        <v>1</v>
      </c>
      <c r="AG112" s="185">
        <f>IF('Cattle Feeding Cycle'!AG225&lt;0,1,0)</f>
        <v>1</v>
      </c>
      <c r="AH112" s="7"/>
      <c r="AI112" s="8">
        <f t="shared" ref="AI112:AJ112" si="138">SUMIF($J$145:$AF$145,AI$145,$J112:$AF112)</f>
        <v>0</v>
      </c>
      <c r="AJ112" s="8">
        <f t="shared" si="138"/>
        <v>9</v>
      </c>
      <c r="AK112" s="8">
        <v>9</v>
      </c>
      <c r="AL112" s="8">
        <v>9</v>
      </c>
      <c r="AM112" s="8">
        <v>9</v>
      </c>
      <c r="AN112" s="8">
        <v>9</v>
      </c>
      <c r="AO112" s="8">
        <v>9</v>
      </c>
      <c r="AP112" s="8">
        <v>9</v>
      </c>
      <c r="AQ112" s="8">
        <v>9</v>
      </c>
      <c r="AR112" s="8">
        <v>9</v>
      </c>
      <c r="AS112" s="8">
        <v>9</v>
      </c>
      <c r="AT112" s="8">
        <v>9</v>
      </c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</row>
    <row r="113" spans="1:69" ht="13.5" customHeight="1" x14ac:dyDescent="0.3">
      <c r="A113" s="7"/>
      <c r="B113" s="7"/>
      <c r="C113" s="7" t="s">
        <v>381</v>
      </c>
      <c r="D113" s="7" t="s">
        <v>401</v>
      </c>
      <c r="E113" s="7"/>
      <c r="F113" s="7"/>
      <c r="G113" s="7"/>
      <c r="H113" s="7"/>
      <c r="I113" s="7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  <c r="AA113" s="185"/>
      <c r="AB113" s="185"/>
      <c r="AC113" s="185"/>
      <c r="AD113" s="185"/>
      <c r="AE113" s="185"/>
      <c r="AF113" s="185"/>
      <c r="AG113" s="185"/>
      <c r="AH113" s="7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</row>
    <row r="114" spans="1:69" ht="13.5" customHeight="1" x14ac:dyDescent="0.3">
      <c r="A114" s="7"/>
      <c r="B114" s="7"/>
      <c r="C114" s="7" t="s">
        <v>88</v>
      </c>
      <c r="D114" s="7" t="s">
        <v>401</v>
      </c>
      <c r="E114" s="7"/>
      <c r="F114" s="7"/>
      <c r="G114" s="7"/>
      <c r="H114" s="7"/>
      <c r="I114" s="7"/>
      <c r="J114" s="185">
        <f>IF('Cattle Feeding Cycle'!J245&lt;0,1,0)</f>
        <v>1</v>
      </c>
      <c r="K114" s="185">
        <f>IF('Cattle Feeding Cycle'!K245&lt;0,1,0)</f>
        <v>1</v>
      </c>
      <c r="L114" s="185">
        <f>IF('Cattle Feeding Cycle'!L245&lt;0,1,0)</f>
        <v>1</v>
      </c>
      <c r="M114" s="185">
        <f>IF('Cattle Feeding Cycle'!M245&lt;0,1,0)</f>
        <v>1</v>
      </c>
      <c r="N114" s="185">
        <f>IF('Cattle Feeding Cycle'!N245&lt;0,1,0)</f>
        <v>1</v>
      </c>
      <c r="O114" s="185">
        <f>IF('Cattle Feeding Cycle'!O245&lt;0,1,0)</f>
        <v>1</v>
      </c>
      <c r="P114" s="185">
        <f>IF('Cattle Feeding Cycle'!P245&lt;0,1,0)</f>
        <v>1</v>
      </c>
      <c r="Q114" s="185">
        <f>IF('Cattle Feeding Cycle'!Q245&lt;0,1,0)</f>
        <v>1</v>
      </c>
      <c r="R114" s="185">
        <f>IF('Cattle Feeding Cycle'!R245&lt;0,1,0)</f>
        <v>1</v>
      </c>
      <c r="S114" s="185">
        <f>IF('Cattle Feeding Cycle'!S245&lt;0,1,0)</f>
        <v>1</v>
      </c>
      <c r="T114" s="185">
        <f>IF('Cattle Feeding Cycle'!T245&lt;0,1,0)</f>
        <v>1</v>
      </c>
      <c r="U114" s="185">
        <f>IF('Cattle Feeding Cycle'!U245&lt;0,1,0)</f>
        <v>1</v>
      </c>
      <c r="V114" s="185">
        <f>IF('Cattle Feeding Cycle'!V245&lt;0,1,0)</f>
        <v>1</v>
      </c>
      <c r="W114" s="185">
        <f>IF('Cattle Feeding Cycle'!W245&lt;0,1,0)</f>
        <v>1</v>
      </c>
      <c r="X114" s="185">
        <f>IF('Cattle Feeding Cycle'!X245&lt;0,1,0)</f>
        <v>1</v>
      </c>
      <c r="Y114" s="185">
        <f>IF('Cattle Feeding Cycle'!Y245&lt;0,1,0)</f>
        <v>1</v>
      </c>
      <c r="Z114" s="185">
        <f>IF('Cattle Feeding Cycle'!Z245&lt;0,1,0)</f>
        <v>1</v>
      </c>
      <c r="AA114" s="185">
        <f>IF('Cattle Feeding Cycle'!AA245&lt;0,1,0)</f>
        <v>1</v>
      </c>
      <c r="AB114" s="185">
        <f>IF('Cattle Feeding Cycle'!AB245&lt;0,1,0)</f>
        <v>1</v>
      </c>
      <c r="AC114" s="185">
        <f>IF('Cattle Feeding Cycle'!AC245&lt;0,1,0)</f>
        <v>1</v>
      </c>
      <c r="AD114" s="185">
        <f>IF('Cattle Feeding Cycle'!AD245&lt;0,1,0)</f>
        <v>1</v>
      </c>
      <c r="AE114" s="185">
        <f>IF('Cattle Feeding Cycle'!AE245&lt;0,1,0)</f>
        <v>1</v>
      </c>
      <c r="AF114" s="185">
        <f>IF('Cattle Feeding Cycle'!AF245&lt;0,1,0)</f>
        <v>1</v>
      </c>
      <c r="AG114" s="185">
        <f>IF('Cattle Feeding Cycle'!AG245&lt;0,1,0)</f>
        <v>1</v>
      </c>
      <c r="AH114" s="7"/>
      <c r="AI114" s="8">
        <f t="shared" ref="AI114:AJ114" si="139">SUMIF($J$145:$AF$145,AI$145,$J114:$AF114)</f>
        <v>5</v>
      </c>
      <c r="AJ114" s="8">
        <f t="shared" si="139"/>
        <v>12</v>
      </c>
      <c r="AK114" s="8">
        <v>12</v>
      </c>
      <c r="AL114" s="8">
        <v>12</v>
      </c>
      <c r="AM114" s="8">
        <v>12</v>
      </c>
      <c r="AN114" s="8">
        <v>12</v>
      </c>
      <c r="AO114" s="8">
        <v>12</v>
      </c>
      <c r="AP114" s="8">
        <v>12</v>
      </c>
      <c r="AQ114" s="8">
        <v>12</v>
      </c>
      <c r="AR114" s="8">
        <v>12</v>
      </c>
      <c r="AS114" s="8">
        <v>12</v>
      </c>
      <c r="AT114" s="8">
        <v>12</v>
      </c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</row>
    <row r="115" spans="1:69" ht="13.5" customHeight="1" x14ac:dyDescent="0.3">
      <c r="A115" s="7"/>
      <c r="B115" s="7"/>
      <c r="C115" s="7" t="s">
        <v>89</v>
      </c>
      <c r="D115" s="7" t="s">
        <v>401</v>
      </c>
      <c r="E115" s="7"/>
      <c r="F115" s="7"/>
      <c r="G115" s="7"/>
      <c r="H115" s="7"/>
      <c r="I115" s="7"/>
      <c r="J115" s="185">
        <f>IF('Cattle Feeding Cycle'!J192&lt;0,1,0)</f>
        <v>0</v>
      </c>
      <c r="K115" s="185">
        <f ca="1">IF('Cattle Feeding Cycle'!K192&lt;0,1,0)</f>
        <v>0</v>
      </c>
      <c r="L115" s="185">
        <f ca="1">IF('Cattle Feeding Cycle'!L192&lt;0,1,0)</f>
        <v>0</v>
      </c>
      <c r="M115" s="185">
        <f ca="1">IF('Cattle Feeding Cycle'!M192&lt;0,1,0)</f>
        <v>0</v>
      </c>
      <c r="N115" s="185">
        <f ca="1">IF('Cattle Feeding Cycle'!N192&lt;0,1,0)</f>
        <v>0</v>
      </c>
      <c r="O115" s="185">
        <f ca="1">IF('Cattle Feeding Cycle'!O192&lt;0,1,0)</f>
        <v>0</v>
      </c>
      <c r="P115" s="185">
        <f ca="1">IF('Cattle Feeding Cycle'!P192&lt;0,1,0)</f>
        <v>0</v>
      </c>
      <c r="Q115" s="185">
        <f ca="1">IF('Cattle Feeding Cycle'!Q192&lt;0,1,0)</f>
        <v>0</v>
      </c>
      <c r="R115" s="185">
        <f ca="1">IF('Cattle Feeding Cycle'!R192&lt;0,1,0)</f>
        <v>0</v>
      </c>
      <c r="S115" s="185">
        <f ca="1">IF('Cattle Feeding Cycle'!S192&lt;0,1,0)</f>
        <v>0</v>
      </c>
      <c r="T115" s="185">
        <f ca="1">IF('Cattle Feeding Cycle'!T192&lt;0,1,0)</f>
        <v>0</v>
      </c>
      <c r="U115" s="185">
        <f ca="1">IF('Cattle Feeding Cycle'!U192&lt;0,1,0)</f>
        <v>0</v>
      </c>
      <c r="V115" s="185">
        <f ca="1">IF('Cattle Feeding Cycle'!V192&lt;0,1,0)</f>
        <v>0</v>
      </c>
      <c r="W115" s="185">
        <f ca="1">IF('Cattle Feeding Cycle'!W192&lt;0,1,0)</f>
        <v>0</v>
      </c>
      <c r="X115" s="185">
        <f ca="1">IF('Cattle Feeding Cycle'!X192&lt;0,1,0)</f>
        <v>0</v>
      </c>
      <c r="Y115" s="185">
        <f ca="1">IF('Cattle Feeding Cycle'!Y192&lt;0,1,0)</f>
        <v>0</v>
      </c>
      <c r="Z115" s="185">
        <f ca="1">IF('Cattle Feeding Cycle'!Z192&lt;0,1,0)</f>
        <v>0</v>
      </c>
      <c r="AA115" s="185">
        <f ca="1">IF('Cattle Feeding Cycle'!AA192&lt;0,1,0)</f>
        <v>1</v>
      </c>
      <c r="AB115" s="185">
        <f ca="1">IF('Cattle Feeding Cycle'!AB192&lt;0,1,0)</f>
        <v>1</v>
      </c>
      <c r="AC115" s="185">
        <f ca="1">IF('Cattle Feeding Cycle'!AC192&lt;0,1,0)</f>
        <v>1</v>
      </c>
      <c r="AD115" s="185">
        <f ca="1">IF('Cattle Feeding Cycle'!AD192&lt;0,1,0)</f>
        <v>1</v>
      </c>
      <c r="AE115" s="185">
        <f ca="1">IF('Cattle Feeding Cycle'!AE192&lt;0,1,0)</f>
        <v>1</v>
      </c>
      <c r="AF115" s="185">
        <f ca="1">IF('Cattle Feeding Cycle'!AF192&lt;0,1,0)</f>
        <v>1</v>
      </c>
      <c r="AG115" s="185">
        <f ca="1">IF('Cattle Feeding Cycle'!AG192&lt;0,1,0)</f>
        <v>1</v>
      </c>
      <c r="AH115" s="7"/>
      <c r="AI115" s="8">
        <f t="shared" ref="AI115:AJ115" ca="1" si="140">SUMIF($J$145:$AF$145,AI$145,$J115:$AF115)</f>
        <v>0</v>
      </c>
      <c r="AJ115" s="8">
        <f t="shared" ca="1" si="140"/>
        <v>0</v>
      </c>
      <c r="AK115" s="8">
        <v>7</v>
      </c>
      <c r="AL115" s="8">
        <v>7</v>
      </c>
      <c r="AM115" s="8">
        <v>7</v>
      </c>
      <c r="AN115" s="8">
        <v>7</v>
      </c>
      <c r="AO115" s="8">
        <v>7</v>
      </c>
      <c r="AP115" s="8">
        <v>7</v>
      </c>
      <c r="AQ115" s="8">
        <v>7</v>
      </c>
      <c r="AR115" s="8">
        <v>7</v>
      </c>
      <c r="AS115" s="8">
        <v>7</v>
      </c>
      <c r="AT115" s="8">
        <v>7</v>
      </c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</row>
    <row r="116" spans="1:69" ht="13.5" customHeight="1" x14ac:dyDescent="0.3">
      <c r="A116" s="7"/>
      <c r="B116" s="7"/>
      <c r="C116" s="7" t="s">
        <v>402</v>
      </c>
      <c r="D116" s="7" t="s">
        <v>401</v>
      </c>
      <c r="E116" s="7"/>
      <c r="F116" s="7"/>
      <c r="G116" s="7"/>
      <c r="H116" s="7"/>
      <c r="I116" s="7"/>
      <c r="J116" s="185">
        <f>IF('Cattle Feeding Cycle'!J203&lt;0,1,0)</f>
        <v>1</v>
      </c>
      <c r="K116" s="185">
        <f>IF('Cattle Feeding Cycle'!K203&lt;0,1,0)</f>
        <v>1</v>
      </c>
      <c r="L116" s="185">
        <f>IF('Cattle Feeding Cycle'!L203&lt;0,1,0)</f>
        <v>1</v>
      </c>
      <c r="M116" s="185">
        <f>IF('Cattle Feeding Cycle'!M203&lt;0,1,0)</f>
        <v>1</v>
      </c>
      <c r="N116" s="185">
        <f>IF('Cattle Feeding Cycle'!N203&lt;0,1,0)</f>
        <v>1</v>
      </c>
      <c r="O116" s="185">
        <f>IF('Cattle Feeding Cycle'!O203&lt;0,1,0)</f>
        <v>1</v>
      </c>
      <c r="P116" s="185">
        <f>IF('Cattle Feeding Cycle'!P203&lt;0,1,0)</f>
        <v>1</v>
      </c>
      <c r="Q116" s="185">
        <f>IF('Cattle Feeding Cycle'!Q203&lt;0,1,0)</f>
        <v>1</v>
      </c>
      <c r="R116" s="185">
        <f>IF('Cattle Feeding Cycle'!R203&lt;0,1,0)</f>
        <v>0</v>
      </c>
      <c r="S116" s="185">
        <f>IF('Cattle Feeding Cycle'!S203&lt;0,1,0)</f>
        <v>0</v>
      </c>
      <c r="T116" s="185">
        <f>IF('Cattle Feeding Cycle'!T203&lt;0,1,0)</f>
        <v>0</v>
      </c>
      <c r="U116" s="185">
        <f>IF('Cattle Feeding Cycle'!U203&lt;0,1,0)</f>
        <v>0</v>
      </c>
      <c r="V116" s="185">
        <f>IF('Cattle Feeding Cycle'!V203&lt;0,1,0)</f>
        <v>0</v>
      </c>
      <c r="W116" s="185">
        <f>IF('Cattle Feeding Cycle'!W203&lt;0,1,0)</f>
        <v>0</v>
      </c>
      <c r="X116" s="185">
        <f>IF('Cattle Feeding Cycle'!X203&lt;0,1,0)</f>
        <v>0</v>
      </c>
      <c r="Y116" s="185">
        <f>IF('Cattle Feeding Cycle'!Y203&lt;0,1,0)</f>
        <v>0</v>
      </c>
      <c r="Z116" s="185">
        <f>IF('Cattle Feeding Cycle'!Z203&lt;0,1,0)</f>
        <v>0</v>
      </c>
      <c r="AA116" s="185">
        <f>IF('Cattle Feeding Cycle'!AA203&lt;0,1,0)</f>
        <v>0</v>
      </c>
      <c r="AB116" s="185">
        <f>IF('Cattle Feeding Cycle'!AB203&lt;0,1,0)</f>
        <v>0</v>
      </c>
      <c r="AC116" s="185">
        <f>IF('Cattle Feeding Cycle'!AC203&lt;0,1,0)</f>
        <v>0</v>
      </c>
      <c r="AD116" s="185">
        <f>IF('Cattle Feeding Cycle'!AD203&lt;0,1,0)</f>
        <v>0</v>
      </c>
      <c r="AE116" s="185">
        <f>IF('Cattle Feeding Cycle'!AE203&lt;0,1,0)</f>
        <v>0</v>
      </c>
      <c r="AF116" s="185">
        <f>IF('Cattle Feeding Cycle'!AF203&lt;0,1,0)</f>
        <v>0</v>
      </c>
      <c r="AG116" s="185">
        <f>IF('Cattle Feeding Cycle'!AG203&lt;0,1,0)</f>
        <v>0</v>
      </c>
      <c r="AH116" s="7"/>
      <c r="AI116" s="8">
        <f>SUMIF($J$145:$AF$145,AI$145,$J116:$AF116)</f>
        <v>5</v>
      </c>
      <c r="AJ116" s="8">
        <f>SUMIF($J$145:$AG$145,AJ$145,$J116:$AG116)</f>
        <v>3</v>
      </c>
      <c r="AK116" s="8">
        <v>3</v>
      </c>
      <c r="AL116" s="8">
        <v>3</v>
      </c>
      <c r="AM116" s="8">
        <v>3</v>
      </c>
      <c r="AN116" s="8">
        <v>3</v>
      </c>
      <c r="AO116" s="8">
        <v>3</v>
      </c>
      <c r="AP116" s="8">
        <v>3</v>
      </c>
      <c r="AQ116" s="8">
        <v>3</v>
      </c>
      <c r="AR116" s="8">
        <v>3</v>
      </c>
      <c r="AS116" s="8">
        <v>3</v>
      </c>
      <c r="AT116" s="8">
        <v>3</v>
      </c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</row>
    <row r="117" spans="1:69" ht="13.5" customHeight="1" x14ac:dyDescent="0.3">
      <c r="A117" s="7"/>
      <c r="B117" s="7"/>
      <c r="C117" s="7" t="s">
        <v>403</v>
      </c>
      <c r="D117" s="7" t="s">
        <v>401</v>
      </c>
      <c r="E117" s="7"/>
      <c r="F117" s="7"/>
      <c r="G117" s="7"/>
      <c r="H117" s="7"/>
      <c r="I117" s="7"/>
      <c r="J117" s="185">
        <v>0</v>
      </c>
      <c r="K117" s="185">
        <v>0</v>
      </c>
      <c r="L117" s="185">
        <v>0</v>
      </c>
      <c r="M117" s="185">
        <v>0</v>
      </c>
      <c r="N117" s="185">
        <v>0</v>
      </c>
      <c r="O117" s="185">
        <v>0</v>
      </c>
      <c r="P117" s="185">
        <v>0</v>
      </c>
      <c r="Q117" s="185">
        <v>0</v>
      </c>
      <c r="R117" s="185">
        <v>0</v>
      </c>
      <c r="S117" s="185">
        <v>0</v>
      </c>
      <c r="T117" s="185">
        <v>0</v>
      </c>
      <c r="U117" s="185">
        <v>0</v>
      </c>
      <c r="V117" s="185">
        <v>0</v>
      </c>
      <c r="W117" s="185">
        <v>0</v>
      </c>
      <c r="X117" s="185">
        <v>0</v>
      </c>
      <c r="Y117" s="185">
        <v>0</v>
      </c>
      <c r="Z117" s="185">
        <v>0</v>
      </c>
      <c r="AA117" s="185">
        <v>0</v>
      </c>
      <c r="AB117" s="185">
        <v>0</v>
      </c>
      <c r="AC117" s="185">
        <v>0</v>
      </c>
      <c r="AD117" s="185">
        <v>0</v>
      </c>
      <c r="AE117" s="185">
        <v>0</v>
      </c>
      <c r="AF117" s="185">
        <v>0</v>
      </c>
      <c r="AG117" s="185">
        <v>0</v>
      </c>
      <c r="AH117" s="7"/>
      <c r="AI117" s="8">
        <f>SUMIF($J$145:$AF$145,AI$145,$J117:$AF117)</f>
        <v>0</v>
      </c>
      <c r="AJ117" s="8">
        <f>SUMIF($J$145:$AG$145,AJ$145,$J117:$AG117)</f>
        <v>0</v>
      </c>
      <c r="AK117" s="8">
        <v>5</v>
      </c>
      <c r="AL117" s="8"/>
      <c r="AM117" s="8"/>
      <c r="AN117" s="8"/>
      <c r="AO117" s="8"/>
      <c r="AP117" s="8"/>
      <c r="AQ117" s="8"/>
      <c r="AR117" s="8"/>
      <c r="AS117" s="8"/>
      <c r="AT117" s="8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</row>
    <row r="118" spans="1:69" ht="13.5" customHeight="1" x14ac:dyDescent="0.3">
      <c r="A118" s="7"/>
      <c r="B118" s="7"/>
      <c r="C118" s="7" t="s">
        <v>59</v>
      </c>
      <c r="D118" s="7" t="s">
        <v>401</v>
      </c>
      <c r="E118" s="7"/>
      <c r="F118" s="7"/>
      <c r="G118" s="7"/>
      <c r="H118" s="7"/>
      <c r="I118" s="7"/>
      <c r="J118" s="185">
        <f>IF('Cattle Feeding Cycle'!J257&lt;0,1,0)</f>
        <v>0</v>
      </c>
      <c r="K118" s="185">
        <f>IF('Cattle Feeding Cycle'!K257&lt;0,1,0)</f>
        <v>0</v>
      </c>
      <c r="L118" s="185">
        <f>IF('Cattle Feeding Cycle'!L257&lt;0,1,0)</f>
        <v>0</v>
      </c>
      <c r="M118" s="185">
        <f>IF('Cattle Feeding Cycle'!M257&lt;0,1,0)</f>
        <v>0</v>
      </c>
      <c r="N118" s="185">
        <f>IF('Cattle Feeding Cycle'!N257&lt;0,1,0)</f>
        <v>0</v>
      </c>
      <c r="O118" s="185">
        <f>IF('Cattle Feeding Cycle'!O257&lt;0,1,0)</f>
        <v>0</v>
      </c>
      <c r="P118" s="185">
        <f>IF('Cattle Feeding Cycle'!P257&lt;0,1,0)</f>
        <v>0</v>
      </c>
      <c r="Q118" s="185">
        <f>IF('Cattle Feeding Cycle'!Q257&lt;0,1,0)</f>
        <v>0</v>
      </c>
      <c r="R118" s="185">
        <f>IF('Cattle Feeding Cycle'!R257&lt;0,1,0)</f>
        <v>0</v>
      </c>
      <c r="S118" s="185">
        <f>IF('Cattle Feeding Cycle'!S257&lt;0,1,0)</f>
        <v>0</v>
      </c>
      <c r="T118" s="185">
        <f>IF('Cattle Feeding Cycle'!T257&lt;0,1,0)</f>
        <v>0</v>
      </c>
      <c r="U118" s="185">
        <f>IF('Cattle Feeding Cycle'!U257&lt;0,1,0)</f>
        <v>0</v>
      </c>
      <c r="V118" s="185">
        <f>IF('Cattle Feeding Cycle'!V257&lt;0,1,0)</f>
        <v>0</v>
      </c>
      <c r="W118" s="185">
        <f>IF('Cattle Feeding Cycle'!W257&lt;0,1,0)</f>
        <v>0</v>
      </c>
      <c r="X118" s="185">
        <f>IF('Cattle Feeding Cycle'!X257&lt;0,1,0)</f>
        <v>0</v>
      </c>
      <c r="Y118" s="185">
        <f>IF('Cattle Feeding Cycle'!Y257&lt;0,1,0)</f>
        <v>0</v>
      </c>
      <c r="Z118" s="185">
        <f>IF('Cattle Feeding Cycle'!Z257&lt;0,1,0)</f>
        <v>0</v>
      </c>
      <c r="AA118" s="185">
        <f>IF('Cattle Feeding Cycle'!AA257&lt;0,1,0)</f>
        <v>0</v>
      </c>
      <c r="AB118" s="185">
        <f>IF('Cattle Feeding Cycle'!AB257&lt;0,1,0)</f>
        <v>0</v>
      </c>
      <c r="AC118" s="185">
        <f>IF('Cattle Feeding Cycle'!AC257&lt;0,1,0)</f>
        <v>0</v>
      </c>
      <c r="AD118" s="185">
        <f>IF('Cattle Feeding Cycle'!AD257&lt;0,1,0)</f>
        <v>0</v>
      </c>
      <c r="AE118" s="185">
        <f>IF('Cattle Feeding Cycle'!AE257&lt;0,1,0)</f>
        <v>0</v>
      </c>
      <c r="AF118" s="185">
        <f>IF('Cattle Feeding Cycle'!AF257&lt;0,1,0)</f>
        <v>0</v>
      </c>
      <c r="AG118" s="185">
        <f>IF('Cattle Feeding Cycle'!AG257&lt;0,1,0)</f>
        <v>0</v>
      </c>
      <c r="AH118" s="7"/>
      <c r="AI118" s="8">
        <f>SUMIF($J$145:$AF$145,AI$145,$J118:$AF118)</f>
        <v>0</v>
      </c>
      <c r="AJ118" s="8">
        <f>SUMIF($J$145:$AF$145,AJ$145,$J118:$AF118)</f>
        <v>0</v>
      </c>
      <c r="AK118" s="8">
        <v>5</v>
      </c>
      <c r="AL118" s="8">
        <v>5</v>
      </c>
      <c r="AM118" s="8">
        <v>5</v>
      </c>
      <c r="AN118" s="8">
        <v>5</v>
      </c>
      <c r="AO118" s="8">
        <v>5</v>
      </c>
      <c r="AP118" s="8">
        <v>5</v>
      </c>
      <c r="AQ118" s="8">
        <v>5</v>
      </c>
      <c r="AR118" s="8">
        <v>5</v>
      </c>
      <c r="AS118" s="8">
        <v>5</v>
      </c>
      <c r="AT118" s="8">
        <v>5</v>
      </c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</row>
    <row r="119" spans="1:69" ht="13.5" customHeight="1" x14ac:dyDescent="0.3">
      <c r="A119" s="7"/>
      <c r="B119" s="7"/>
      <c r="C119" s="7" t="s">
        <v>670</v>
      </c>
      <c r="D119" s="7" t="s">
        <v>401</v>
      </c>
      <c r="E119" s="7"/>
      <c r="F119" s="7"/>
      <c r="G119" s="7"/>
      <c r="H119" s="7"/>
      <c r="I119" s="7"/>
      <c r="J119" s="350"/>
      <c r="K119" s="350"/>
      <c r="L119" s="350"/>
      <c r="M119" s="350"/>
      <c r="N119" s="350"/>
      <c r="O119" s="350"/>
      <c r="P119" s="350"/>
      <c r="Q119" s="350"/>
      <c r="R119" s="350"/>
      <c r="S119" s="350"/>
      <c r="T119" s="350"/>
      <c r="U119" s="350"/>
      <c r="V119" s="350"/>
      <c r="W119" s="350"/>
      <c r="X119" s="350"/>
      <c r="Y119" s="350"/>
      <c r="Z119" s="350"/>
      <c r="AA119" s="350"/>
      <c r="AB119" s="350"/>
      <c r="AC119" s="350"/>
      <c r="AD119" s="350"/>
      <c r="AE119" s="350"/>
      <c r="AF119" s="350"/>
      <c r="AG119" s="350"/>
      <c r="AH119" s="7"/>
      <c r="AI119" s="8">
        <f>SUMIF($J$145:$AF$145,AI$145,$J119:$AF119)</f>
        <v>0</v>
      </c>
      <c r="AJ119" s="8">
        <f>SUMIF($J$145:$AF$145,AJ$145,$J119:$AF119)</f>
        <v>0</v>
      </c>
      <c r="AK119" s="8">
        <v>6</v>
      </c>
      <c r="AL119" s="8">
        <v>6</v>
      </c>
      <c r="AM119" s="8">
        <v>6</v>
      </c>
      <c r="AN119" s="8">
        <v>6</v>
      </c>
      <c r="AO119" s="8">
        <v>6</v>
      </c>
      <c r="AP119" s="8">
        <v>6</v>
      </c>
      <c r="AQ119" s="8">
        <v>6</v>
      </c>
      <c r="AR119" s="8">
        <v>6</v>
      </c>
      <c r="AS119" s="8">
        <v>6</v>
      </c>
      <c r="AT119" s="8">
        <v>6</v>
      </c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</row>
    <row r="120" spans="1:69" ht="13.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</row>
    <row r="121" spans="1:69" ht="13.5" hidden="1" customHeight="1" x14ac:dyDescent="0.3">
      <c r="A121" s="2" t="s">
        <v>0</v>
      </c>
      <c r="B121" s="3" t="s">
        <v>404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</row>
    <row r="122" spans="1:69" ht="13.5" hidden="1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 t="s">
        <v>405</v>
      </c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5" t="s">
        <v>406</v>
      </c>
      <c r="BE122" s="7"/>
      <c r="BF122" s="7"/>
      <c r="BG122" s="7"/>
      <c r="BH122" s="7"/>
      <c r="BI122" s="7"/>
      <c r="BJ122" s="7"/>
      <c r="BK122" s="5" t="s">
        <v>407</v>
      </c>
      <c r="BL122" s="7"/>
      <c r="BM122" s="7"/>
      <c r="BN122" s="7"/>
      <c r="BO122" s="7"/>
      <c r="BP122" s="7"/>
      <c r="BQ122" s="7"/>
    </row>
    <row r="123" spans="1:69" ht="13.5" hidden="1" customHeight="1" x14ac:dyDescent="0.3">
      <c r="A123" s="186"/>
      <c r="B123" s="186" t="s">
        <v>408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187" t="s">
        <v>409</v>
      </c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188">
        <f>'Operating Model'!AI31</f>
        <v>0.11</v>
      </c>
      <c r="AJ123" s="188">
        <f>'Operating Model'!AJ31</f>
        <v>0.105</v>
      </c>
      <c r="AK123" s="188">
        <f>'Operating Model'!AK31</f>
        <v>0.1</v>
      </c>
      <c r="AL123" s="188">
        <f>'Operating Model'!AL31</f>
        <v>9.5000000000000001E-2</v>
      </c>
      <c r="AM123" s="188">
        <f>'Operating Model'!AM31</f>
        <v>0.09</v>
      </c>
      <c r="AN123" s="188">
        <f>'Operating Model'!AN31</f>
        <v>8.5000000000000006E-2</v>
      </c>
      <c r="AO123" s="188">
        <f>'Operating Model'!AO31</f>
        <v>0.08</v>
      </c>
      <c r="AP123" s="188">
        <f>'Operating Model'!AP31</f>
        <v>7.0000000000000007E-2</v>
      </c>
      <c r="AQ123" s="188">
        <f>'Operating Model'!AQ31</f>
        <v>6.5000000000000002E-2</v>
      </c>
      <c r="AR123" s="188">
        <f>'Operating Model'!AR31</f>
        <v>0.06</v>
      </c>
      <c r="AS123" s="188">
        <f>'Operating Model'!AS31</f>
        <v>0.05</v>
      </c>
      <c r="AT123" s="188">
        <f>'Operating Model'!AT31</f>
        <v>0.05</v>
      </c>
      <c r="AU123" s="5" t="s">
        <v>410</v>
      </c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</row>
    <row r="124" spans="1:69" ht="13.5" hidden="1" customHeight="1" x14ac:dyDescent="0.3">
      <c r="A124" s="189"/>
      <c r="B124" s="189"/>
      <c r="C124" s="190" t="s">
        <v>411</v>
      </c>
      <c r="D124" s="190">
        <v>25</v>
      </c>
      <c r="E124" s="191">
        <v>170</v>
      </c>
      <c r="F124" s="191">
        <v>190</v>
      </c>
      <c r="G124" s="190"/>
      <c r="H124" s="192"/>
      <c r="I124" s="191"/>
      <c r="J124" s="10"/>
      <c r="K124" s="10"/>
      <c r="L124" s="10"/>
      <c r="M124" s="10" t="s">
        <v>412</v>
      </c>
      <c r="N124" s="10"/>
      <c r="O124" s="193"/>
      <c r="P124" s="10"/>
      <c r="Q124" s="10"/>
      <c r="R124" s="10"/>
      <c r="S124" s="10" t="s">
        <v>413</v>
      </c>
      <c r="T124" s="10" t="s">
        <v>414</v>
      </c>
      <c r="U124" s="10" t="s">
        <v>415</v>
      </c>
      <c r="V124" s="10" t="s">
        <v>416</v>
      </c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7"/>
      <c r="AJ124" s="10"/>
      <c r="AK124" s="188">
        <f>AJ123+AK123</f>
        <v>0.20500000000000002</v>
      </c>
      <c r="AL124" s="188">
        <f t="shared" ref="AL124:AT124" si="141">AK124+AL123</f>
        <v>0.30000000000000004</v>
      </c>
      <c r="AM124" s="188">
        <f t="shared" si="141"/>
        <v>0.39</v>
      </c>
      <c r="AN124" s="188">
        <f t="shared" si="141"/>
        <v>0.47500000000000003</v>
      </c>
      <c r="AO124" s="188">
        <f t="shared" si="141"/>
        <v>0.55500000000000005</v>
      </c>
      <c r="AP124" s="188">
        <f t="shared" si="141"/>
        <v>0.625</v>
      </c>
      <c r="AQ124" s="188">
        <f t="shared" si="141"/>
        <v>0.69</v>
      </c>
      <c r="AR124" s="188">
        <f t="shared" si="141"/>
        <v>0.75</v>
      </c>
      <c r="AS124" s="188">
        <f t="shared" si="141"/>
        <v>0.8</v>
      </c>
      <c r="AT124" s="188">
        <f t="shared" si="141"/>
        <v>0.85000000000000009</v>
      </c>
      <c r="AU124" s="190"/>
      <c r="AV124" s="190"/>
      <c r="AW124" s="191"/>
      <c r="AX124" s="191"/>
      <c r="AY124" s="190"/>
      <c r="AZ124" s="190"/>
      <c r="BA124" s="190"/>
      <c r="BB124" s="7"/>
      <c r="BC124" s="7"/>
      <c r="BD124" s="190" t="s">
        <v>411</v>
      </c>
      <c r="BE124" s="190">
        <v>25</v>
      </c>
      <c r="BF124" s="191">
        <f>BE140</f>
        <v>187</v>
      </c>
      <c r="BG124" s="191">
        <f>BE140</f>
        <v>187</v>
      </c>
      <c r="BH124" s="190"/>
      <c r="BI124" s="190"/>
      <c r="BJ124" s="7"/>
      <c r="BK124" s="190"/>
      <c r="BL124" s="190"/>
      <c r="BM124" s="191"/>
      <c r="BN124" s="191"/>
      <c r="BO124" s="190"/>
      <c r="BP124" s="190"/>
      <c r="BQ124" s="190"/>
    </row>
    <row r="125" spans="1:69" ht="13.5" hidden="1" customHeight="1" x14ac:dyDescent="0.3">
      <c r="A125" s="7"/>
      <c r="B125" s="7"/>
      <c r="C125" s="194" t="s">
        <v>417</v>
      </c>
      <c r="D125" s="195">
        <v>6</v>
      </c>
      <c r="E125" s="196">
        <v>4</v>
      </c>
      <c r="F125" s="196">
        <v>4</v>
      </c>
      <c r="G125" s="196">
        <v>12</v>
      </c>
      <c r="H125" s="197">
        <v>12</v>
      </c>
      <c r="I125" s="196"/>
      <c r="J125" s="7"/>
      <c r="K125" s="7"/>
      <c r="L125" s="7"/>
      <c r="M125" s="198" t="s">
        <v>418</v>
      </c>
      <c r="N125" s="198" t="s">
        <v>419</v>
      </c>
      <c r="O125" s="7"/>
      <c r="P125" s="7" t="s">
        <v>420</v>
      </c>
      <c r="Q125" s="7"/>
      <c r="R125" s="7"/>
      <c r="S125" s="5" t="s">
        <v>421</v>
      </c>
      <c r="T125" s="187" t="s">
        <v>409</v>
      </c>
      <c r="U125" s="187" t="s">
        <v>409</v>
      </c>
      <c r="V125" s="187" t="s">
        <v>409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194" t="s">
        <v>417</v>
      </c>
      <c r="AV125" s="195">
        <v>6</v>
      </c>
      <c r="AW125" s="196">
        <v>12</v>
      </c>
      <c r="AX125" s="196">
        <v>9</v>
      </c>
      <c r="AY125" s="196">
        <v>12</v>
      </c>
      <c r="AZ125" s="196">
        <v>12</v>
      </c>
      <c r="BA125" s="196">
        <v>12</v>
      </c>
      <c r="BB125" s="7"/>
      <c r="BC125" s="7"/>
      <c r="BD125" s="194" t="s">
        <v>417</v>
      </c>
      <c r="BE125" s="195">
        <v>6</v>
      </c>
      <c r="BF125" s="196">
        <v>3</v>
      </c>
      <c r="BG125" s="196">
        <v>3</v>
      </c>
      <c r="BH125" s="196">
        <v>19</v>
      </c>
      <c r="BI125" s="196">
        <v>15</v>
      </c>
      <c r="BJ125" s="7"/>
      <c r="BK125" s="194" t="s">
        <v>417</v>
      </c>
      <c r="BL125" s="196">
        <f t="shared" ref="BL125:BN125" si="142">D125</f>
        <v>6</v>
      </c>
      <c r="BM125" s="196">
        <f t="shared" si="142"/>
        <v>4</v>
      </c>
      <c r="BN125" s="196">
        <f t="shared" si="142"/>
        <v>4</v>
      </c>
      <c r="BO125" s="196">
        <v>12</v>
      </c>
      <c r="BP125" s="196">
        <v>12</v>
      </c>
      <c r="BQ125" s="196">
        <v>12</v>
      </c>
    </row>
    <row r="126" spans="1:69" ht="13.5" hidden="1" customHeight="1" x14ac:dyDescent="0.3">
      <c r="A126" s="7"/>
      <c r="B126" s="7"/>
      <c r="C126" s="194" t="s">
        <v>422</v>
      </c>
      <c r="D126" s="199" t="s">
        <v>423</v>
      </c>
      <c r="E126" s="199" t="s">
        <v>424</v>
      </c>
      <c r="F126" s="199" t="s">
        <v>425</v>
      </c>
      <c r="G126" s="199" t="s">
        <v>56</v>
      </c>
      <c r="H126" s="200" t="s">
        <v>426</v>
      </c>
      <c r="I126" s="199"/>
      <c r="J126" s="7"/>
      <c r="K126" s="7"/>
      <c r="L126" s="7"/>
      <c r="M126" s="7"/>
      <c r="N126" s="7"/>
      <c r="O126" s="7"/>
      <c r="P126" s="7"/>
      <c r="Q126" s="7"/>
      <c r="R126" s="7"/>
      <c r="S126" s="199" t="s">
        <v>423</v>
      </c>
      <c r="T126" s="199" t="s">
        <v>424</v>
      </c>
      <c r="U126" s="199" t="s">
        <v>425</v>
      </c>
      <c r="V126" s="199" t="s">
        <v>56</v>
      </c>
      <c r="W126" s="200" t="s">
        <v>426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194" t="s">
        <v>422</v>
      </c>
      <c r="AV126" s="199" t="s">
        <v>427</v>
      </c>
      <c r="AW126" s="199" t="s">
        <v>428</v>
      </c>
      <c r="AX126" s="199" t="s">
        <v>425</v>
      </c>
      <c r="AY126" s="199" t="s">
        <v>56</v>
      </c>
      <c r="AZ126" s="199" t="s">
        <v>426</v>
      </c>
      <c r="BA126" s="199">
        <f>I126</f>
        <v>0</v>
      </c>
      <c r="BB126" s="7"/>
      <c r="BC126" s="7"/>
      <c r="BD126" s="194" t="s">
        <v>422</v>
      </c>
      <c r="BE126" s="199" t="s">
        <v>423</v>
      </c>
      <c r="BF126" s="199" t="s">
        <v>428</v>
      </c>
      <c r="BG126" s="199" t="s">
        <v>425</v>
      </c>
      <c r="BH126" s="199" t="s">
        <v>56</v>
      </c>
      <c r="BI126" s="199" t="s">
        <v>426</v>
      </c>
      <c r="BJ126" s="7"/>
      <c r="BK126" s="194" t="s">
        <v>422</v>
      </c>
      <c r="BL126" s="199" t="s">
        <v>423</v>
      </c>
      <c r="BM126" s="199" t="s">
        <v>428</v>
      </c>
      <c r="BN126" s="199" t="s">
        <v>425</v>
      </c>
      <c r="BO126" s="199" t="s">
        <v>56</v>
      </c>
      <c r="BP126" s="199" t="s">
        <v>426</v>
      </c>
      <c r="BQ126" s="199">
        <f>Y126</f>
        <v>0</v>
      </c>
    </row>
    <row r="127" spans="1:69" ht="13.5" hidden="1" customHeight="1" x14ac:dyDescent="0.3">
      <c r="A127" s="7"/>
      <c r="B127" s="7"/>
      <c r="C127" s="44" t="s">
        <v>429</v>
      </c>
      <c r="D127" s="8">
        <v>165</v>
      </c>
      <c r="E127" s="8">
        <v>480</v>
      </c>
      <c r="F127" s="8">
        <v>200</v>
      </c>
      <c r="G127" s="8">
        <v>900</v>
      </c>
      <c r="H127" s="142">
        <v>1460</v>
      </c>
      <c r="I127" s="8"/>
      <c r="J127" s="7"/>
      <c r="K127" s="7"/>
      <c r="L127" s="7"/>
      <c r="M127" s="7"/>
      <c r="N127" s="7"/>
      <c r="O127" s="7"/>
      <c r="P127" s="7"/>
      <c r="Q127" s="7"/>
      <c r="R127" s="7"/>
      <c r="S127" s="140">
        <f t="shared" ref="S127:W127" si="143">D127*$AI127/D$125/30</f>
        <v>22.916666666666668</v>
      </c>
      <c r="T127" s="140">
        <f t="shared" si="143"/>
        <v>100</v>
      </c>
      <c r="U127" s="140">
        <f t="shared" si="143"/>
        <v>41.666666666666664</v>
      </c>
      <c r="V127" s="140">
        <f t="shared" si="143"/>
        <v>62.5</v>
      </c>
      <c r="W127" s="140">
        <f t="shared" si="143"/>
        <v>101.38888888888889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128">
        <v>25</v>
      </c>
      <c r="AJ127" s="128">
        <f t="shared" ref="AJ127:AT127" si="144">AI127*(1+AJ$123)</f>
        <v>27.625</v>
      </c>
      <c r="AK127" s="128">
        <f t="shared" si="144"/>
        <v>30.387500000000003</v>
      </c>
      <c r="AL127" s="128">
        <f t="shared" si="144"/>
        <v>33.274312500000001</v>
      </c>
      <c r="AM127" s="128">
        <f t="shared" si="144"/>
        <v>36.269000625000004</v>
      </c>
      <c r="AN127" s="128">
        <f t="shared" si="144"/>
        <v>39.351865678125002</v>
      </c>
      <c r="AO127" s="128">
        <f t="shared" si="144"/>
        <v>42.500014932375002</v>
      </c>
      <c r="AP127" s="128">
        <f t="shared" si="144"/>
        <v>45.475015977641256</v>
      </c>
      <c r="AQ127" s="128">
        <f t="shared" si="144"/>
        <v>48.430892016187933</v>
      </c>
      <c r="AR127" s="128">
        <f t="shared" si="144"/>
        <v>51.33674553715921</v>
      </c>
      <c r="AS127" s="128">
        <f t="shared" si="144"/>
        <v>53.90358281401717</v>
      </c>
      <c r="AT127" s="128">
        <f t="shared" si="144"/>
        <v>56.598761954718029</v>
      </c>
      <c r="AU127" s="44" t="s">
        <v>429</v>
      </c>
      <c r="AV127" s="8">
        <f t="shared" ref="AV127:BA127" si="145">D127*$AI127</f>
        <v>4125</v>
      </c>
      <c r="AW127" s="8">
        <f t="shared" si="145"/>
        <v>12000</v>
      </c>
      <c r="AX127" s="8">
        <f t="shared" si="145"/>
        <v>5000</v>
      </c>
      <c r="AY127" s="8">
        <f t="shared" si="145"/>
        <v>22500</v>
      </c>
      <c r="AZ127" s="8">
        <f t="shared" si="145"/>
        <v>36500</v>
      </c>
      <c r="BA127" s="8">
        <f t="shared" si="145"/>
        <v>0</v>
      </c>
      <c r="BB127" s="7"/>
      <c r="BC127" s="7"/>
      <c r="BD127" s="44" t="s">
        <v>429</v>
      </c>
      <c r="BE127" s="8">
        <f t="shared" ref="BE127:BI127" si="146">D127/D$125</f>
        <v>27.5</v>
      </c>
      <c r="BF127" s="8">
        <f t="shared" si="146"/>
        <v>120</v>
      </c>
      <c r="BG127" s="8">
        <f t="shared" si="146"/>
        <v>50</v>
      </c>
      <c r="BH127" s="8">
        <f t="shared" si="146"/>
        <v>75</v>
      </c>
      <c r="BI127" s="8">
        <f t="shared" si="146"/>
        <v>121.66666666666667</v>
      </c>
      <c r="BJ127" s="7"/>
      <c r="BK127" s="44" t="s">
        <v>429</v>
      </c>
      <c r="BL127" s="8">
        <f t="shared" ref="BL127:BP127" si="147">BE127*BL$125</f>
        <v>165</v>
      </c>
      <c r="BM127" s="8">
        <f t="shared" si="147"/>
        <v>480</v>
      </c>
      <c r="BN127" s="8">
        <f t="shared" si="147"/>
        <v>200</v>
      </c>
      <c r="BO127" s="8">
        <f t="shared" si="147"/>
        <v>900</v>
      </c>
      <c r="BP127" s="8">
        <f t="shared" si="147"/>
        <v>1460</v>
      </c>
      <c r="BQ127" s="8">
        <f t="shared" ref="BQ127:BQ137" si="148">BJ127*$AI127</f>
        <v>0</v>
      </c>
    </row>
    <row r="128" spans="1:69" ht="13.5" hidden="1" customHeight="1" x14ac:dyDescent="0.3">
      <c r="A128" s="7"/>
      <c r="B128" s="7"/>
      <c r="C128" s="44" t="s">
        <v>430</v>
      </c>
      <c r="D128" s="8"/>
      <c r="E128" s="8"/>
      <c r="F128" s="8">
        <v>250</v>
      </c>
      <c r="G128" s="8">
        <v>700</v>
      </c>
      <c r="H128" s="142"/>
      <c r="I128" s="8"/>
      <c r="J128" s="7"/>
      <c r="K128" s="7"/>
      <c r="L128" s="181">
        <f t="shared" ref="L128:P128" si="149">L146</f>
        <v>46326</v>
      </c>
      <c r="M128" s="181">
        <f t="shared" si="149"/>
        <v>46356</v>
      </c>
      <c r="N128" s="181">
        <f t="shared" si="149"/>
        <v>46387</v>
      </c>
      <c r="O128" s="181">
        <f t="shared" si="149"/>
        <v>46418</v>
      </c>
      <c r="P128" s="181">
        <f t="shared" si="149"/>
        <v>46446</v>
      </c>
      <c r="Q128" s="7"/>
      <c r="R128" s="7"/>
      <c r="S128" s="140">
        <f t="shared" ref="S128:W128" si="150">D128*$AI128/D$125/30</f>
        <v>0</v>
      </c>
      <c r="T128" s="140">
        <f t="shared" si="150"/>
        <v>0</v>
      </c>
      <c r="U128" s="140">
        <f t="shared" si="150"/>
        <v>52.083333333333336</v>
      </c>
      <c r="V128" s="140">
        <f t="shared" si="150"/>
        <v>48.611111111111107</v>
      </c>
      <c r="W128" s="140">
        <f t="shared" si="150"/>
        <v>0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128">
        <v>25</v>
      </c>
      <c r="AJ128" s="128">
        <f t="shared" ref="AJ128:AT128" si="151">AI128*(1+AJ$123)</f>
        <v>27.625</v>
      </c>
      <c r="AK128" s="128">
        <f t="shared" si="151"/>
        <v>30.387500000000003</v>
      </c>
      <c r="AL128" s="128">
        <f t="shared" si="151"/>
        <v>33.274312500000001</v>
      </c>
      <c r="AM128" s="128">
        <f t="shared" si="151"/>
        <v>36.269000625000004</v>
      </c>
      <c r="AN128" s="128">
        <f t="shared" si="151"/>
        <v>39.351865678125002</v>
      </c>
      <c r="AO128" s="128">
        <f t="shared" si="151"/>
        <v>42.500014932375002</v>
      </c>
      <c r="AP128" s="128">
        <f t="shared" si="151"/>
        <v>45.475015977641256</v>
      </c>
      <c r="AQ128" s="128">
        <f t="shared" si="151"/>
        <v>48.430892016187933</v>
      </c>
      <c r="AR128" s="128">
        <f t="shared" si="151"/>
        <v>51.33674553715921</v>
      </c>
      <c r="AS128" s="128">
        <f t="shared" si="151"/>
        <v>53.90358281401717</v>
      </c>
      <c r="AT128" s="128">
        <f t="shared" si="151"/>
        <v>56.598761954718029</v>
      </c>
      <c r="AU128" s="44" t="s">
        <v>430</v>
      </c>
      <c r="AV128" s="8">
        <f t="shared" ref="AV128:BA128" si="152">D128*$AI128</f>
        <v>0</v>
      </c>
      <c r="AW128" s="8">
        <f t="shared" si="152"/>
        <v>0</v>
      </c>
      <c r="AX128" s="8">
        <f t="shared" si="152"/>
        <v>6250</v>
      </c>
      <c r="AY128" s="8">
        <f t="shared" si="152"/>
        <v>17500</v>
      </c>
      <c r="AZ128" s="8">
        <f t="shared" si="152"/>
        <v>0</v>
      </c>
      <c r="BA128" s="8">
        <f t="shared" si="152"/>
        <v>0</v>
      </c>
      <c r="BB128" s="7"/>
      <c r="BC128" s="7"/>
      <c r="BD128" s="44" t="s">
        <v>430</v>
      </c>
      <c r="BE128" s="8">
        <f t="shared" ref="BE128:BI128" si="153">D128/D$125</f>
        <v>0</v>
      </c>
      <c r="BF128" s="8">
        <f t="shared" si="153"/>
        <v>0</v>
      </c>
      <c r="BG128" s="8">
        <f t="shared" si="153"/>
        <v>62.5</v>
      </c>
      <c r="BH128" s="8">
        <f t="shared" si="153"/>
        <v>58.333333333333336</v>
      </c>
      <c r="BI128" s="8">
        <f t="shared" si="153"/>
        <v>0</v>
      </c>
      <c r="BJ128" s="7"/>
      <c r="BK128" s="44" t="s">
        <v>430</v>
      </c>
      <c r="BL128" s="8">
        <f t="shared" ref="BL128:BP128" si="154">BE128*BL$125</f>
        <v>0</v>
      </c>
      <c r="BM128" s="8">
        <f t="shared" si="154"/>
        <v>0</v>
      </c>
      <c r="BN128" s="8">
        <f t="shared" si="154"/>
        <v>250</v>
      </c>
      <c r="BO128" s="8">
        <f t="shared" si="154"/>
        <v>700</v>
      </c>
      <c r="BP128" s="8">
        <f t="shared" si="154"/>
        <v>0</v>
      </c>
      <c r="BQ128" s="8">
        <f t="shared" si="148"/>
        <v>0</v>
      </c>
    </row>
    <row r="129" spans="1:69" ht="13.5" hidden="1" customHeight="1" x14ac:dyDescent="0.3">
      <c r="A129" s="7"/>
      <c r="B129" s="7"/>
      <c r="C129" s="44" t="s">
        <v>431</v>
      </c>
      <c r="D129" s="185">
        <v>450</v>
      </c>
      <c r="E129" s="185">
        <v>1080</v>
      </c>
      <c r="F129" s="185">
        <v>2300</v>
      </c>
      <c r="G129" s="185">
        <v>1400</v>
      </c>
      <c r="H129" s="201">
        <v>1480</v>
      </c>
      <c r="I129" s="8"/>
      <c r="J129" s="7"/>
      <c r="K129" s="7"/>
      <c r="L129" s="7"/>
      <c r="M129" s="7"/>
      <c r="N129" s="7"/>
      <c r="O129" s="7"/>
      <c r="P129" s="7"/>
      <c r="Q129" s="7"/>
      <c r="R129" s="7"/>
      <c r="S129" s="140">
        <f t="shared" ref="S129:W129" si="155">D129*$AI129/D$125/30</f>
        <v>77.5</v>
      </c>
      <c r="T129" s="140">
        <f t="shared" si="155"/>
        <v>279</v>
      </c>
      <c r="U129" s="140">
        <f t="shared" si="155"/>
        <v>594.16666666666663</v>
      </c>
      <c r="V129" s="140">
        <f t="shared" si="155"/>
        <v>120.55555555555556</v>
      </c>
      <c r="W129" s="140">
        <f t="shared" si="155"/>
        <v>127.44444444444444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128">
        <v>31</v>
      </c>
      <c r="AJ129" s="128">
        <f t="shared" ref="AJ129:AT129" si="156">AI129*(1+AJ$123)</f>
        <v>34.255000000000003</v>
      </c>
      <c r="AK129" s="128">
        <f t="shared" si="156"/>
        <v>37.680500000000009</v>
      </c>
      <c r="AL129" s="128">
        <f t="shared" si="156"/>
        <v>41.260147500000009</v>
      </c>
      <c r="AM129" s="128">
        <f t="shared" si="156"/>
        <v>44.97356077500001</v>
      </c>
      <c r="AN129" s="128">
        <f t="shared" si="156"/>
        <v>48.796313440875011</v>
      </c>
      <c r="AO129" s="128">
        <f t="shared" si="156"/>
        <v>52.700018516145015</v>
      </c>
      <c r="AP129" s="128">
        <f t="shared" si="156"/>
        <v>56.389019812275166</v>
      </c>
      <c r="AQ129" s="128">
        <f t="shared" si="156"/>
        <v>60.054306100073049</v>
      </c>
      <c r="AR129" s="128">
        <f t="shared" si="156"/>
        <v>63.657564466077432</v>
      </c>
      <c r="AS129" s="128">
        <f t="shared" si="156"/>
        <v>66.840442689381305</v>
      </c>
      <c r="AT129" s="128">
        <f t="shared" si="156"/>
        <v>70.182464823850367</v>
      </c>
      <c r="AU129" s="44" t="s">
        <v>431</v>
      </c>
      <c r="AV129" s="8">
        <f t="shared" ref="AV129:BA129" si="157">D129*$AI129</f>
        <v>13950</v>
      </c>
      <c r="AW129" s="8">
        <f t="shared" si="157"/>
        <v>33480</v>
      </c>
      <c r="AX129" s="8">
        <f t="shared" si="157"/>
        <v>71300</v>
      </c>
      <c r="AY129" s="8">
        <f t="shared" si="157"/>
        <v>43400</v>
      </c>
      <c r="AZ129" s="8">
        <f t="shared" si="157"/>
        <v>45880</v>
      </c>
      <c r="BA129" s="8">
        <f t="shared" si="157"/>
        <v>0</v>
      </c>
      <c r="BB129" s="7"/>
      <c r="BC129" s="7"/>
      <c r="BD129" s="44" t="s">
        <v>431</v>
      </c>
      <c r="BE129" s="8">
        <f t="shared" ref="BE129:BI129" si="158">D129/D$125</f>
        <v>75</v>
      </c>
      <c r="BF129" s="8">
        <f t="shared" si="158"/>
        <v>270</v>
      </c>
      <c r="BG129" s="8">
        <f t="shared" si="158"/>
        <v>575</v>
      </c>
      <c r="BH129" s="8">
        <f t="shared" si="158"/>
        <v>116.66666666666667</v>
      </c>
      <c r="BI129" s="8">
        <f t="shared" si="158"/>
        <v>123.33333333333333</v>
      </c>
      <c r="BJ129" s="7"/>
      <c r="BK129" s="44" t="s">
        <v>431</v>
      </c>
      <c r="BL129" s="8">
        <f t="shared" ref="BL129:BP129" si="159">BE129*BL$125</f>
        <v>450</v>
      </c>
      <c r="BM129" s="8">
        <f t="shared" si="159"/>
        <v>1080</v>
      </c>
      <c r="BN129" s="8">
        <f t="shared" si="159"/>
        <v>2300</v>
      </c>
      <c r="BO129" s="8">
        <f t="shared" si="159"/>
        <v>1400</v>
      </c>
      <c r="BP129" s="8">
        <f t="shared" si="159"/>
        <v>1480</v>
      </c>
      <c r="BQ129" s="8">
        <f t="shared" si="148"/>
        <v>0</v>
      </c>
    </row>
    <row r="130" spans="1:69" ht="13.5" hidden="1" customHeight="1" x14ac:dyDescent="0.3">
      <c r="A130" s="7"/>
      <c r="B130" s="7"/>
      <c r="C130" s="44" t="s">
        <v>432</v>
      </c>
      <c r="D130" s="94">
        <v>0</v>
      </c>
      <c r="E130" s="94">
        <v>0</v>
      </c>
      <c r="F130" s="185">
        <v>0</v>
      </c>
      <c r="G130" s="202"/>
      <c r="H130" s="94">
        <v>0</v>
      </c>
      <c r="I130" s="8"/>
      <c r="J130" s="7"/>
      <c r="K130" s="7"/>
      <c r="L130" s="7"/>
      <c r="M130" s="7"/>
      <c r="N130" s="7"/>
      <c r="O130" s="7"/>
      <c r="P130" s="7"/>
      <c r="Q130" s="7"/>
      <c r="R130" s="7"/>
      <c r="S130" s="140">
        <f t="shared" ref="S130:W130" si="160">D130*$AI130/D$125/30</f>
        <v>0</v>
      </c>
      <c r="T130" s="140">
        <f t="shared" si="160"/>
        <v>0</v>
      </c>
      <c r="U130" s="140">
        <f t="shared" si="160"/>
        <v>0</v>
      </c>
      <c r="V130" s="140">
        <f t="shared" si="160"/>
        <v>0</v>
      </c>
      <c r="W130" s="140">
        <f t="shared" si="160"/>
        <v>0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128">
        <v>31</v>
      </c>
      <c r="AJ130" s="128">
        <f t="shared" ref="AJ130:AT130" si="161">AI130*(1+AJ$123)</f>
        <v>34.255000000000003</v>
      </c>
      <c r="AK130" s="128">
        <f t="shared" si="161"/>
        <v>37.680500000000009</v>
      </c>
      <c r="AL130" s="128">
        <f t="shared" si="161"/>
        <v>41.260147500000009</v>
      </c>
      <c r="AM130" s="128">
        <f t="shared" si="161"/>
        <v>44.97356077500001</v>
      </c>
      <c r="AN130" s="128">
        <f t="shared" si="161"/>
        <v>48.796313440875011</v>
      </c>
      <c r="AO130" s="128">
        <f t="shared" si="161"/>
        <v>52.700018516145015</v>
      </c>
      <c r="AP130" s="128">
        <f t="shared" si="161"/>
        <v>56.389019812275166</v>
      </c>
      <c r="AQ130" s="128">
        <f t="shared" si="161"/>
        <v>60.054306100073049</v>
      </c>
      <c r="AR130" s="128">
        <f t="shared" si="161"/>
        <v>63.657564466077432</v>
      </c>
      <c r="AS130" s="128">
        <f t="shared" si="161"/>
        <v>66.840442689381305</v>
      </c>
      <c r="AT130" s="128">
        <f t="shared" si="161"/>
        <v>70.182464823850367</v>
      </c>
      <c r="AU130" s="44" t="s">
        <v>432</v>
      </c>
      <c r="AV130" s="8">
        <f t="shared" ref="AV130:BA130" si="162">D130*$AI130</f>
        <v>0</v>
      </c>
      <c r="AW130" s="8">
        <f t="shared" si="162"/>
        <v>0</v>
      </c>
      <c r="AX130" s="8">
        <f t="shared" si="162"/>
        <v>0</v>
      </c>
      <c r="AY130" s="8">
        <f t="shared" si="162"/>
        <v>0</v>
      </c>
      <c r="AZ130" s="8">
        <f t="shared" si="162"/>
        <v>0</v>
      </c>
      <c r="BA130" s="8">
        <f t="shared" si="162"/>
        <v>0</v>
      </c>
      <c r="BB130" s="7"/>
      <c r="BC130" s="7"/>
      <c r="BD130" s="44" t="s">
        <v>432</v>
      </c>
      <c r="BE130" s="8">
        <f t="shared" ref="BE130:BI130" si="163">D130/D$125</f>
        <v>0</v>
      </c>
      <c r="BF130" s="8">
        <f t="shared" si="163"/>
        <v>0</v>
      </c>
      <c r="BG130" s="8">
        <f t="shared" si="163"/>
        <v>0</v>
      </c>
      <c r="BH130" s="8">
        <f t="shared" si="163"/>
        <v>0</v>
      </c>
      <c r="BI130" s="8">
        <f t="shared" si="163"/>
        <v>0</v>
      </c>
      <c r="BJ130" s="7"/>
      <c r="BK130" s="44" t="s">
        <v>432</v>
      </c>
      <c r="BL130" s="8">
        <f t="shared" ref="BL130:BP130" si="164">BE130*BL$125</f>
        <v>0</v>
      </c>
      <c r="BM130" s="8">
        <f t="shared" si="164"/>
        <v>0</v>
      </c>
      <c r="BN130" s="8">
        <f t="shared" si="164"/>
        <v>0</v>
      </c>
      <c r="BO130" s="8">
        <f t="shared" si="164"/>
        <v>0</v>
      </c>
      <c r="BP130" s="8">
        <f t="shared" si="164"/>
        <v>0</v>
      </c>
      <c r="BQ130" s="8">
        <f t="shared" si="148"/>
        <v>0</v>
      </c>
    </row>
    <row r="131" spans="1:69" ht="13.5" hidden="1" customHeight="1" x14ac:dyDescent="0.3">
      <c r="A131" s="7"/>
      <c r="B131" s="7"/>
      <c r="C131" s="44" t="s">
        <v>433</v>
      </c>
      <c r="D131" s="8">
        <v>0</v>
      </c>
      <c r="E131" s="8">
        <v>0</v>
      </c>
      <c r="F131" s="8">
        <v>0</v>
      </c>
      <c r="G131" s="142"/>
      <c r="H131" s="8">
        <v>0</v>
      </c>
      <c r="I131" s="8"/>
      <c r="J131" s="7"/>
      <c r="K131" s="7"/>
      <c r="L131" s="7"/>
      <c r="M131" s="7"/>
      <c r="N131" s="7"/>
      <c r="O131" s="7"/>
      <c r="P131" s="7"/>
      <c r="Q131" s="7"/>
      <c r="R131" s="7"/>
      <c r="S131" s="140">
        <f t="shared" ref="S131:W131" si="165">D131*$AI131/D$125/30</f>
        <v>0</v>
      </c>
      <c r="T131" s="140">
        <f t="shared" si="165"/>
        <v>0</v>
      </c>
      <c r="U131" s="140">
        <f t="shared" si="165"/>
        <v>0</v>
      </c>
      <c r="V131" s="140">
        <f t="shared" si="165"/>
        <v>0</v>
      </c>
      <c r="W131" s="140">
        <f t="shared" si="165"/>
        <v>0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128">
        <v>95</v>
      </c>
      <c r="AJ131" s="128">
        <f t="shared" ref="AJ131:AT131" si="166">AI131*(1+AJ$123)</f>
        <v>104.97499999999999</v>
      </c>
      <c r="AK131" s="128">
        <f t="shared" si="166"/>
        <v>115.4725</v>
      </c>
      <c r="AL131" s="128">
        <f t="shared" si="166"/>
        <v>126.4423875</v>
      </c>
      <c r="AM131" s="128">
        <f t="shared" si="166"/>
        <v>137.82220237500002</v>
      </c>
      <c r="AN131" s="128">
        <f t="shared" si="166"/>
        <v>149.53708957687502</v>
      </c>
      <c r="AO131" s="128">
        <f t="shared" si="166"/>
        <v>161.50005674302503</v>
      </c>
      <c r="AP131" s="128">
        <f t="shared" si="166"/>
        <v>172.8050607150368</v>
      </c>
      <c r="AQ131" s="128">
        <f t="shared" si="166"/>
        <v>184.0373896615142</v>
      </c>
      <c r="AR131" s="128">
        <f t="shared" si="166"/>
        <v>195.07963304120506</v>
      </c>
      <c r="AS131" s="128">
        <f t="shared" si="166"/>
        <v>204.83361469326533</v>
      </c>
      <c r="AT131" s="128">
        <f t="shared" si="166"/>
        <v>215.07529542792861</v>
      </c>
      <c r="AU131" s="44" t="s">
        <v>433</v>
      </c>
      <c r="AV131" s="8">
        <f t="shared" ref="AV131:BA131" si="167">D131*$AI131</f>
        <v>0</v>
      </c>
      <c r="AW131" s="8">
        <f t="shared" si="167"/>
        <v>0</v>
      </c>
      <c r="AX131" s="8">
        <f t="shared" si="167"/>
        <v>0</v>
      </c>
      <c r="AY131" s="8">
        <f t="shared" si="167"/>
        <v>0</v>
      </c>
      <c r="AZ131" s="8">
        <f t="shared" si="167"/>
        <v>0</v>
      </c>
      <c r="BA131" s="8">
        <f t="shared" si="167"/>
        <v>0</v>
      </c>
      <c r="BB131" s="7"/>
      <c r="BC131" s="7"/>
      <c r="BD131" s="44" t="s">
        <v>433</v>
      </c>
      <c r="BE131" s="8">
        <f t="shared" ref="BE131:BI131" si="168">D131/D$125</f>
        <v>0</v>
      </c>
      <c r="BF131" s="8">
        <f t="shared" si="168"/>
        <v>0</v>
      </c>
      <c r="BG131" s="8">
        <f t="shared" si="168"/>
        <v>0</v>
      </c>
      <c r="BH131" s="8">
        <f t="shared" si="168"/>
        <v>0</v>
      </c>
      <c r="BI131" s="8">
        <f t="shared" si="168"/>
        <v>0</v>
      </c>
      <c r="BJ131" s="7"/>
      <c r="BK131" s="44" t="s">
        <v>433</v>
      </c>
      <c r="BL131" s="8">
        <f t="shared" ref="BL131:BP131" si="169">BE131*BL$125</f>
        <v>0</v>
      </c>
      <c r="BM131" s="8">
        <f t="shared" si="169"/>
        <v>0</v>
      </c>
      <c r="BN131" s="8">
        <f t="shared" si="169"/>
        <v>0</v>
      </c>
      <c r="BO131" s="8">
        <f t="shared" si="169"/>
        <v>0</v>
      </c>
      <c r="BP131" s="8">
        <f t="shared" si="169"/>
        <v>0</v>
      </c>
      <c r="BQ131" s="8">
        <f t="shared" si="148"/>
        <v>0</v>
      </c>
    </row>
    <row r="132" spans="1:69" ht="13.5" hidden="1" customHeight="1" x14ac:dyDescent="0.3">
      <c r="A132" s="7"/>
      <c r="B132" s="7"/>
      <c r="C132" s="44" t="s">
        <v>434</v>
      </c>
      <c r="D132" s="8">
        <v>870</v>
      </c>
      <c r="E132" s="8">
        <v>1680</v>
      </c>
      <c r="F132" s="8">
        <v>2400</v>
      </c>
      <c r="G132" s="8">
        <v>4600</v>
      </c>
      <c r="H132" s="142">
        <f>20.2*100</f>
        <v>2020</v>
      </c>
      <c r="I132" s="8"/>
      <c r="J132" s="7"/>
      <c r="K132" s="7"/>
      <c r="L132" s="7"/>
      <c r="M132" s="7"/>
      <c r="N132" s="7"/>
      <c r="O132" s="7"/>
      <c r="P132" s="7"/>
      <c r="Q132" s="7"/>
      <c r="R132" s="7"/>
      <c r="S132" s="140">
        <f t="shared" ref="S132:W132" si="170">D132*$AI132/D$125/30</f>
        <v>0</v>
      </c>
      <c r="T132" s="140">
        <f t="shared" si="170"/>
        <v>0</v>
      </c>
      <c r="U132" s="140">
        <f t="shared" si="170"/>
        <v>0</v>
      </c>
      <c r="V132" s="140">
        <f t="shared" si="170"/>
        <v>0</v>
      </c>
      <c r="W132" s="140">
        <f t="shared" si="170"/>
        <v>0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128">
        <v>0</v>
      </c>
      <c r="AJ132" s="128">
        <f t="shared" ref="AJ132:AT132" si="171">AI132*(1+AJ$123)</f>
        <v>0</v>
      </c>
      <c r="AK132" s="128">
        <f t="shared" si="171"/>
        <v>0</v>
      </c>
      <c r="AL132" s="128">
        <f t="shared" si="171"/>
        <v>0</v>
      </c>
      <c r="AM132" s="128">
        <f t="shared" si="171"/>
        <v>0</v>
      </c>
      <c r="AN132" s="128">
        <f t="shared" si="171"/>
        <v>0</v>
      </c>
      <c r="AO132" s="128">
        <f t="shared" si="171"/>
        <v>0</v>
      </c>
      <c r="AP132" s="128">
        <f t="shared" si="171"/>
        <v>0</v>
      </c>
      <c r="AQ132" s="128">
        <f t="shared" si="171"/>
        <v>0</v>
      </c>
      <c r="AR132" s="128">
        <f t="shared" si="171"/>
        <v>0</v>
      </c>
      <c r="AS132" s="128">
        <f t="shared" si="171"/>
        <v>0</v>
      </c>
      <c r="AT132" s="128">
        <f t="shared" si="171"/>
        <v>0</v>
      </c>
      <c r="AU132" s="44" t="s">
        <v>434</v>
      </c>
      <c r="AV132" s="8">
        <f t="shared" ref="AV132:BA132" si="172">D132*$AI132</f>
        <v>0</v>
      </c>
      <c r="AW132" s="8">
        <f t="shared" si="172"/>
        <v>0</v>
      </c>
      <c r="AX132" s="8">
        <f t="shared" si="172"/>
        <v>0</v>
      </c>
      <c r="AY132" s="8">
        <f t="shared" si="172"/>
        <v>0</v>
      </c>
      <c r="AZ132" s="8">
        <f t="shared" si="172"/>
        <v>0</v>
      </c>
      <c r="BA132" s="8">
        <f t="shared" si="172"/>
        <v>0</v>
      </c>
      <c r="BB132" s="7"/>
      <c r="BC132" s="7"/>
      <c r="BD132" s="44" t="s">
        <v>434</v>
      </c>
      <c r="BE132" s="8">
        <f t="shared" ref="BE132:BI132" si="173">D132/D$125</f>
        <v>145</v>
      </c>
      <c r="BF132" s="8">
        <f t="shared" si="173"/>
        <v>420</v>
      </c>
      <c r="BG132" s="8">
        <f t="shared" si="173"/>
        <v>600</v>
      </c>
      <c r="BH132" s="8">
        <f t="shared" si="173"/>
        <v>383.33333333333331</v>
      </c>
      <c r="BI132" s="8">
        <f t="shared" si="173"/>
        <v>168.33333333333334</v>
      </c>
      <c r="BJ132" s="7"/>
      <c r="BK132" s="44" t="s">
        <v>434</v>
      </c>
      <c r="BL132" s="8">
        <f t="shared" ref="BL132:BP132" si="174">BE132*BL$125</f>
        <v>870</v>
      </c>
      <c r="BM132" s="8">
        <f t="shared" si="174"/>
        <v>1680</v>
      </c>
      <c r="BN132" s="8">
        <f t="shared" si="174"/>
        <v>2400</v>
      </c>
      <c r="BO132" s="8">
        <f t="shared" si="174"/>
        <v>4600</v>
      </c>
      <c r="BP132" s="8">
        <f t="shared" si="174"/>
        <v>2020</v>
      </c>
      <c r="BQ132" s="8">
        <f t="shared" si="148"/>
        <v>0</v>
      </c>
    </row>
    <row r="133" spans="1:69" ht="13.5" hidden="1" customHeight="1" x14ac:dyDescent="0.3">
      <c r="A133" s="7"/>
      <c r="B133" s="7"/>
      <c r="C133" s="44" t="s">
        <v>435</v>
      </c>
      <c r="D133" s="8">
        <v>60</v>
      </c>
      <c r="E133" s="8"/>
      <c r="F133" s="8">
        <v>2480</v>
      </c>
      <c r="G133" s="8">
        <v>700</v>
      </c>
      <c r="H133" s="142">
        <v>0</v>
      </c>
      <c r="I133" s="8"/>
      <c r="J133" s="7"/>
      <c r="K133" s="7"/>
      <c r="L133" s="7"/>
      <c r="M133" s="7"/>
      <c r="N133" s="7"/>
      <c r="O133" s="7"/>
      <c r="P133" s="7"/>
      <c r="Q133" s="7"/>
      <c r="R133" s="7"/>
      <c r="S133" s="140">
        <f t="shared" ref="S133:W133" si="175">D133*$AI133/D$125/30</f>
        <v>0</v>
      </c>
      <c r="T133" s="140">
        <f t="shared" si="175"/>
        <v>0</v>
      </c>
      <c r="U133" s="140">
        <f t="shared" si="175"/>
        <v>0</v>
      </c>
      <c r="V133" s="140">
        <f t="shared" si="175"/>
        <v>0</v>
      </c>
      <c r="W133" s="140">
        <f t="shared" si="175"/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128">
        <v>0</v>
      </c>
      <c r="AJ133" s="128">
        <f t="shared" ref="AJ133:AT133" si="176">AI133*(1+AJ$123)</f>
        <v>0</v>
      </c>
      <c r="AK133" s="128">
        <f t="shared" si="176"/>
        <v>0</v>
      </c>
      <c r="AL133" s="128">
        <f t="shared" si="176"/>
        <v>0</v>
      </c>
      <c r="AM133" s="128">
        <f t="shared" si="176"/>
        <v>0</v>
      </c>
      <c r="AN133" s="128">
        <f t="shared" si="176"/>
        <v>0</v>
      </c>
      <c r="AO133" s="128">
        <f t="shared" si="176"/>
        <v>0</v>
      </c>
      <c r="AP133" s="128">
        <f t="shared" si="176"/>
        <v>0</v>
      </c>
      <c r="AQ133" s="128">
        <f t="shared" si="176"/>
        <v>0</v>
      </c>
      <c r="AR133" s="128">
        <f t="shared" si="176"/>
        <v>0</v>
      </c>
      <c r="AS133" s="128">
        <f t="shared" si="176"/>
        <v>0</v>
      </c>
      <c r="AT133" s="128">
        <f t="shared" si="176"/>
        <v>0</v>
      </c>
      <c r="AU133" s="44" t="s">
        <v>435</v>
      </c>
      <c r="AV133" s="8">
        <f t="shared" ref="AV133:BA133" si="177">D133*$AI133</f>
        <v>0</v>
      </c>
      <c r="AW133" s="8">
        <f t="shared" si="177"/>
        <v>0</v>
      </c>
      <c r="AX133" s="8">
        <f t="shared" si="177"/>
        <v>0</v>
      </c>
      <c r="AY133" s="8">
        <f t="shared" si="177"/>
        <v>0</v>
      </c>
      <c r="AZ133" s="8">
        <f t="shared" si="177"/>
        <v>0</v>
      </c>
      <c r="BA133" s="8">
        <f t="shared" si="177"/>
        <v>0</v>
      </c>
      <c r="BB133" s="7"/>
      <c r="BC133" s="7"/>
      <c r="BD133" s="44" t="s">
        <v>435</v>
      </c>
      <c r="BE133" s="8">
        <f t="shared" ref="BE133:BI133" si="178">D133/D$125</f>
        <v>10</v>
      </c>
      <c r="BF133" s="8">
        <f t="shared" si="178"/>
        <v>0</v>
      </c>
      <c r="BG133" s="8">
        <f t="shared" si="178"/>
        <v>620</v>
      </c>
      <c r="BH133" s="8">
        <f t="shared" si="178"/>
        <v>58.333333333333336</v>
      </c>
      <c r="BI133" s="8">
        <f t="shared" si="178"/>
        <v>0</v>
      </c>
      <c r="BJ133" s="7"/>
      <c r="BK133" s="44" t="s">
        <v>435</v>
      </c>
      <c r="BL133" s="8">
        <f t="shared" ref="BL133:BP133" si="179">BE133*BL$125</f>
        <v>60</v>
      </c>
      <c r="BM133" s="8">
        <f t="shared" si="179"/>
        <v>0</v>
      </c>
      <c r="BN133" s="8">
        <f t="shared" si="179"/>
        <v>2480</v>
      </c>
      <c r="BO133" s="8">
        <f t="shared" si="179"/>
        <v>700</v>
      </c>
      <c r="BP133" s="8">
        <f t="shared" si="179"/>
        <v>0</v>
      </c>
      <c r="BQ133" s="8">
        <f t="shared" si="148"/>
        <v>0</v>
      </c>
    </row>
    <row r="134" spans="1:69" ht="13.5" hidden="1" customHeight="1" x14ac:dyDescent="0.3">
      <c r="A134" s="7"/>
      <c r="B134" s="7"/>
      <c r="C134" s="44" t="s">
        <v>436</v>
      </c>
      <c r="D134" s="203">
        <v>4</v>
      </c>
      <c r="E134" s="203">
        <v>3.6</v>
      </c>
      <c r="F134" s="203">
        <v>4.2</v>
      </c>
      <c r="G134" s="203">
        <v>4</v>
      </c>
      <c r="H134" s="203">
        <v>4</v>
      </c>
      <c r="I134" s="8"/>
      <c r="J134" s="7"/>
      <c r="K134" s="7"/>
      <c r="L134" s="7"/>
      <c r="M134" s="7"/>
      <c r="N134" s="7"/>
      <c r="O134" s="7"/>
      <c r="P134" s="7"/>
      <c r="Q134" s="7"/>
      <c r="R134" s="7"/>
      <c r="S134" s="140">
        <f t="shared" ref="S134:W134" si="180">D134*$AI134/D$125/30</f>
        <v>3.2222222222222223</v>
      </c>
      <c r="T134" s="140">
        <f t="shared" si="180"/>
        <v>4.3499999999999996</v>
      </c>
      <c r="U134" s="140">
        <f t="shared" si="180"/>
        <v>5.0750000000000002</v>
      </c>
      <c r="V134" s="140">
        <f t="shared" si="180"/>
        <v>1.6111111111111112</v>
      </c>
      <c r="W134" s="140">
        <f t="shared" si="180"/>
        <v>1.6111111111111112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128">
        <v>145</v>
      </c>
      <c r="AJ134" s="128">
        <f t="shared" ref="AJ134:AT134" si="181">AI134*(1+AJ$123)</f>
        <v>160.22499999999999</v>
      </c>
      <c r="AK134" s="128">
        <f t="shared" si="181"/>
        <v>176.2475</v>
      </c>
      <c r="AL134" s="128">
        <f t="shared" si="181"/>
        <v>192.99101250000001</v>
      </c>
      <c r="AM134" s="128">
        <f t="shared" si="181"/>
        <v>210.36020362500003</v>
      </c>
      <c r="AN134" s="128">
        <f t="shared" si="181"/>
        <v>228.24082093312501</v>
      </c>
      <c r="AO134" s="128">
        <f t="shared" si="181"/>
        <v>246.50008660777502</v>
      </c>
      <c r="AP134" s="128">
        <f t="shared" si="181"/>
        <v>263.7550926703193</v>
      </c>
      <c r="AQ134" s="128">
        <f t="shared" si="181"/>
        <v>280.89917369389002</v>
      </c>
      <c r="AR134" s="128">
        <f t="shared" si="181"/>
        <v>297.75312411552346</v>
      </c>
      <c r="AS134" s="128">
        <f t="shared" si="181"/>
        <v>312.64078032129964</v>
      </c>
      <c r="AT134" s="128">
        <f t="shared" si="181"/>
        <v>328.27281933736464</v>
      </c>
      <c r="AU134" s="44" t="s">
        <v>436</v>
      </c>
      <c r="AV134" s="8">
        <f t="shared" ref="AV134:BA134" si="182">D134*$AI134</f>
        <v>580</v>
      </c>
      <c r="AW134" s="8">
        <f t="shared" si="182"/>
        <v>522</v>
      </c>
      <c r="AX134" s="8">
        <f t="shared" si="182"/>
        <v>609</v>
      </c>
      <c r="AY134" s="8">
        <f t="shared" si="182"/>
        <v>580</v>
      </c>
      <c r="AZ134" s="8">
        <f t="shared" si="182"/>
        <v>580</v>
      </c>
      <c r="BA134" s="8">
        <f t="shared" si="182"/>
        <v>0</v>
      </c>
      <c r="BB134" s="7"/>
      <c r="BC134" s="7"/>
      <c r="BD134" s="44" t="s">
        <v>436</v>
      </c>
      <c r="BE134" s="8">
        <f t="shared" ref="BE134:BI134" si="183">D134/D$125</f>
        <v>0.66666666666666663</v>
      </c>
      <c r="BF134" s="8">
        <f t="shared" si="183"/>
        <v>0.9</v>
      </c>
      <c r="BG134" s="8">
        <f t="shared" si="183"/>
        <v>1.05</v>
      </c>
      <c r="BH134" s="8">
        <f t="shared" si="183"/>
        <v>0.33333333333333331</v>
      </c>
      <c r="BI134" s="8">
        <f t="shared" si="183"/>
        <v>0.33333333333333331</v>
      </c>
      <c r="BJ134" s="7"/>
      <c r="BK134" s="44" t="s">
        <v>436</v>
      </c>
      <c r="BL134" s="8">
        <f t="shared" ref="BL134:BP134" si="184">BE134*BL$125</f>
        <v>4</v>
      </c>
      <c r="BM134" s="8">
        <f t="shared" si="184"/>
        <v>3.6</v>
      </c>
      <c r="BN134" s="8">
        <f t="shared" si="184"/>
        <v>4.2</v>
      </c>
      <c r="BO134" s="8">
        <f t="shared" si="184"/>
        <v>4</v>
      </c>
      <c r="BP134" s="8">
        <f t="shared" si="184"/>
        <v>4</v>
      </c>
      <c r="BQ134" s="8">
        <f t="shared" si="148"/>
        <v>0</v>
      </c>
    </row>
    <row r="135" spans="1:69" ht="13.5" hidden="1" customHeight="1" x14ac:dyDescent="0.3">
      <c r="A135" s="7"/>
      <c r="B135" s="7"/>
      <c r="C135" s="44" t="s">
        <v>437</v>
      </c>
      <c r="D135" s="203">
        <v>4.0999999999999996</v>
      </c>
      <c r="E135" s="203">
        <v>3.6</v>
      </c>
      <c r="F135" s="203">
        <v>4.2</v>
      </c>
      <c r="G135" s="8"/>
      <c r="H135" s="142">
        <v>0</v>
      </c>
      <c r="I135" s="8"/>
      <c r="J135" s="7"/>
      <c r="K135" s="7"/>
      <c r="L135" s="7"/>
      <c r="M135" s="7"/>
      <c r="N135" s="7"/>
      <c r="O135" s="7"/>
      <c r="P135" s="7"/>
      <c r="Q135" s="7"/>
      <c r="R135" s="7"/>
      <c r="S135" s="140">
        <f t="shared" ref="S135:W135" si="185">D135*$AI135/D$125/30</f>
        <v>3.3027777777777776</v>
      </c>
      <c r="T135" s="140">
        <f t="shared" si="185"/>
        <v>4.3499999999999996</v>
      </c>
      <c r="U135" s="140">
        <f t="shared" si="185"/>
        <v>5.0750000000000002</v>
      </c>
      <c r="V135" s="140">
        <f t="shared" si="185"/>
        <v>0</v>
      </c>
      <c r="W135" s="140">
        <f t="shared" si="185"/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128">
        <v>145</v>
      </c>
      <c r="AJ135" s="128">
        <f t="shared" ref="AJ135:AT135" si="186">AI135*(1+AJ$123)</f>
        <v>160.22499999999999</v>
      </c>
      <c r="AK135" s="128">
        <f t="shared" si="186"/>
        <v>176.2475</v>
      </c>
      <c r="AL135" s="128">
        <f t="shared" si="186"/>
        <v>192.99101250000001</v>
      </c>
      <c r="AM135" s="128">
        <f t="shared" si="186"/>
        <v>210.36020362500003</v>
      </c>
      <c r="AN135" s="128">
        <f t="shared" si="186"/>
        <v>228.24082093312501</v>
      </c>
      <c r="AO135" s="128">
        <f t="shared" si="186"/>
        <v>246.50008660777502</v>
      </c>
      <c r="AP135" s="128">
        <f t="shared" si="186"/>
        <v>263.7550926703193</v>
      </c>
      <c r="AQ135" s="128">
        <f t="shared" si="186"/>
        <v>280.89917369389002</v>
      </c>
      <c r="AR135" s="128">
        <f t="shared" si="186"/>
        <v>297.75312411552346</v>
      </c>
      <c r="AS135" s="128">
        <f t="shared" si="186"/>
        <v>312.64078032129964</v>
      </c>
      <c r="AT135" s="128">
        <f t="shared" si="186"/>
        <v>328.27281933736464</v>
      </c>
      <c r="AU135" s="44" t="s">
        <v>437</v>
      </c>
      <c r="AV135" s="8">
        <f t="shared" ref="AV135:BA135" si="187">D135*$AI135</f>
        <v>594.5</v>
      </c>
      <c r="AW135" s="8">
        <f t="shared" si="187"/>
        <v>522</v>
      </c>
      <c r="AX135" s="8">
        <f t="shared" si="187"/>
        <v>609</v>
      </c>
      <c r="AY135" s="8">
        <f t="shared" si="187"/>
        <v>0</v>
      </c>
      <c r="AZ135" s="8">
        <f t="shared" si="187"/>
        <v>0</v>
      </c>
      <c r="BA135" s="8">
        <f t="shared" si="187"/>
        <v>0</v>
      </c>
      <c r="BB135" s="7"/>
      <c r="BC135" s="7"/>
      <c r="BD135" s="44" t="s">
        <v>437</v>
      </c>
      <c r="BE135" s="8">
        <f t="shared" ref="BE135:BI135" si="188">D135/D$125</f>
        <v>0.68333333333333324</v>
      </c>
      <c r="BF135" s="8">
        <f t="shared" si="188"/>
        <v>0.9</v>
      </c>
      <c r="BG135" s="8">
        <f t="shared" si="188"/>
        <v>1.05</v>
      </c>
      <c r="BH135" s="8">
        <f t="shared" si="188"/>
        <v>0</v>
      </c>
      <c r="BI135" s="8">
        <f t="shared" si="188"/>
        <v>0</v>
      </c>
      <c r="BJ135" s="7"/>
      <c r="BK135" s="44" t="s">
        <v>437</v>
      </c>
      <c r="BL135" s="8">
        <f t="shared" ref="BL135:BP135" si="189">BE135*BL$125</f>
        <v>4.0999999999999996</v>
      </c>
      <c r="BM135" s="8">
        <f t="shared" si="189"/>
        <v>3.6</v>
      </c>
      <c r="BN135" s="8">
        <f t="shared" si="189"/>
        <v>4.2</v>
      </c>
      <c r="BO135" s="8">
        <f t="shared" si="189"/>
        <v>0</v>
      </c>
      <c r="BP135" s="8">
        <f t="shared" si="189"/>
        <v>0</v>
      </c>
      <c r="BQ135" s="8">
        <f t="shared" si="148"/>
        <v>0</v>
      </c>
    </row>
    <row r="136" spans="1:69" ht="13.5" hidden="1" customHeight="1" x14ac:dyDescent="0.3">
      <c r="A136" s="7"/>
      <c r="B136" s="7"/>
      <c r="C136" s="44" t="s">
        <v>438</v>
      </c>
      <c r="D136" s="8">
        <v>109</v>
      </c>
      <c r="E136" s="8">
        <v>192</v>
      </c>
      <c r="F136" s="8">
        <v>324</v>
      </c>
      <c r="G136" s="8">
        <v>600</v>
      </c>
      <c r="H136" s="142">
        <v>1120</v>
      </c>
      <c r="I136" s="8"/>
      <c r="J136" s="7"/>
      <c r="K136" s="7"/>
      <c r="L136" s="7"/>
      <c r="M136" s="7"/>
      <c r="N136" s="7"/>
      <c r="O136" s="7"/>
      <c r="P136" s="7"/>
      <c r="Q136" s="7"/>
      <c r="R136" s="7"/>
      <c r="S136" s="140">
        <f t="shared" ref="S136:W136" si="190">D136*$AI136/D$125/30</f>
        <v>36.333333333333336</v>
      </c>
      <c r="T136" s="140">
        <f t="shared" si="190"/>
        <v>96</v>
      </c>
      <c r="U136" s="140">
        <f t="shared" si="190"/>
        <v>162</v>
      </c>
      <c r="V136" s="140">
        <f t="shared" si="190"/>
        <v>100</v>
      </c>
      <c r="W136" s="140">
        <f t="shared" si="190"/>
        <v>186.66666666666666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128">
        <v>60</v>
      </c>
      <c r="AJ136" s="128">
        <f t="shared" ref="AJ136:AT136" si="191">AI136*(1+AJ$123)</f>
        <v>66.3</v>
      </c>
      <c r="AK136" s="128">
        <f t="shared" si="191"/>
        <v>72.930000000000007</v>
      </c>
      <c r="AL136" s="128">
        <f t="shared" si="191"/>
        <v>79.858350000000002</v>
      </c>
      <c r="AM136" s="128">
        <f t="shared" si="191"/>
        <v>87.045601500000004</v>
      </c>
      <c r="AN136" s="128">
        <f t="shared" si="191"/>
        <v>94.444477627500007</v>
      </c>
      <c r="AO136" s="128">
        <f t="shared" si="191"/>
        <v>102.00003583770001</v>
      </c>
      <c r="AP136" s="128">
        <f t="shared" si="191"/>
        <v>109.14003834633901</v>
      </c>
      <c r="AQ136" s="128">
        <f t="shared" si="191"/>
        <v>116.23414083885105</v>
      </c>
      <c r="AR136" s="128">
        <f t="shared" si="191"/>
        <v>123.20818928918212</v>
      </c>
      <c r="AS136" s="128">
        <f t="shared" si="191"/>
        <v>129.36859875364124</v>
      </c>
      <c r="AT136" s="128">
        <f t="shared" si="191"/>
        <v>135.8370286913233</v>
      </c>
      <c r="AU136" s="44" t="s">
        <v>438</v>
      </c>
      <c r="AV136" s="8">
        <f t="shared" ref="AV136:BA136" si="192">D136*$AI136</f>
        <v>6540</v>
      </c>
      <c r="AW136" s="8">
        <f t="shared" si="192"/>
        <v>11520</v>
      </c>
      <c r="AX136" s="8">
        <f t="shared" si="192"/>
        <v>19440</v>
      </c>
      <c r="AY136" s="8">
        <f t="shared" si="192"/>
        <v>36000</v>
      </c>
      <c r="AZ136" s="8">
        <f t="shared" si="192"/>
        <v>67200</v>
      </c>
      <c r="BA136" s="8">
        <f t="shared" si="192"/>
        <v>0</v>
      </c>
      <c r="BB136" s="7"/>
      <c r="BC136" s="7"/>
      <c r="BD136" s="44" t="s">
        <v>438</v>
      </c>
      <c r="BE136" s="8">
        <f t="shared" ref="BE136:BI136" si="193">D136/D$125</f>
        <v>18.166666666666668</v>
      </c>
      <c r="BF136" s="8">
        <f t="shared" si="193"/>
        <v>48</v>
      </c>
      <c r="BG136" s="8">
        <f t="shared" si="193"/>
        <v>81</v>
      </c>
      <c r="BH136" s="8">
        <f t="shared" si="193"/>
        <v>50</v>
      </c>
      <c r="BI136" s="8">
        <f t="shared" si="193"/>
        <v>93.333333333333329</v>
      </c>
      <c r="BJ136" s="7"/>
      <c r="BK136" s="44" t="s">
        <v>438</v>
      </c>
      <c r="BL136" s="8">
        <f t="shared" ref="BL136:BP136" si="194">BE136*BL$125</f>
        <v>109</v>
      </c>
      <c r="BM136" s="8">
        <f t="shared" si="194"/>
        <v>192</v>
      </c>
      <c r="BN136" s="8">
        <f t="shared" si="194"/>
        <v>324</v>
      </c>
      <c r="BO136" s="8">
        <f t="shared" si="194"/>
        <v>600</v>
      </c>
      <c r="BP136" s="8">
        <f t="shared" si="194"/>
        <v>1120</v>
      </c>
      <c r="BQ136" s="8">
        <f t="shared" si="148"/>
        <v>0</v>
      </c>
    </row>
    <row r="137" spans="1:69" ht="13.5" hidden="1" customHeight="1" x14ac:dyDescent="0.3">
      <c r="A137" s="7"/>
      <c r="B137" s="7"/>
      <c r="C137" s="44" t="s">
        <v>439</v>
      </c>
      <c r="D137" s="8"/>
      <c r="E137" s="8">
        <v>0</v>
      </c>
      <c r="F137" s="8">
        <v>0</v>
      </c>
      <c r="G137" s="8"/>
      <c r="H137" s="142">
        <v>134</v>
      </c>
      <c r="I137" s="8"/>
      <c r="J137" s="7"/>
      <c r="K137" s="7"/>
      <c r="L137" s="7"/>
      <c r="M137" s="7"/>
      <c r="N137" s="7"/>
      <c r="O137" s="7"/>
      <c r="P137" s="7"/>
      <c r="Q137" s="7"/>
      <c r="R137" s="7"/>
      <c r="S137" s="140">
        <f t="shared" ref="S137:W137" si="195">D137*$AI137/D$125/30</f>
        <v>0</v>
      </c>
      <c r="T137" s="140">
        <f t="shared" si="195"/>
        <v>0</v>
      </c>
      <c r="U137" s="140">
        <f t="shared" si="195"/>
        <v>0</v>
      </c>
      <c r="V137" s="140">
        <f t="shared" si="195"/>
        <v>0</v>
      </c>
      <c r="W137" s="140">
        <f t="shared" si="195"/>
        <v>53.972222222222221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128">
        <v>145</v>
      </c>
      <c r="AJ137" s="128">
        <f t="shared" ref="AJ137:AT137" si="196">AI137*(1+AJ$123)</f>
        <v>160.22499999999999</v>
      </c>
      <c r="AK137" s="128">
        <f t="shared" si="196"/>
        <v>176.2475</v>
      </c>
      <c r="AL137" s="128">
        <f t="shared" si="196"/>
        <v>192.99101250000001</v>
      </c>
      <c r="AM137" s="128">
        <f t="shared" si="196"/>
        <v>210.36020362500003</v>
      </c>
      <c r="AN137" s="128">
        <f t="shared" si="196"/>
        <v>228.24082093312501</v>
      </c>
      <c r="AO137" s="128">
        <f t="shared" si="196"/>
        <v>246.50008660777502</v>
      </c>
      <c r="AP137" s="128">
        <f t="shared" si="196"/>
        <v>263.7550926703193</v>
      </c>
      <c r="AQ137" s="128">
        <f t="shared" si="196"/>
        <v>280.89917369389002</v>
      </c>
      <c r="AR137" s="128">
        <f t="shared" si="196"/>
        <v>297.75312411552346</v>
      </c>
      <c r="AS137" s="128">
        <f t="shared" si="196"/>
        <v>312.64078032129964</v>
      </c>
      <c r="AT137" s="128">
        <f t="shared" si="196"/>
        <v>328.27281933736464</v>
      </c>
      <c r="AU137" s="44" t="s">
        <v>440</v>
      </c>
      <c r="AV137" s="8">
        <f t="shared" ref="AV137:BA137" si="197">D137*$AI137</f>
        <v>0</v>
      </c>
      <c r="AW137" s="8">
        <f t="shared" si="197"/>
        <v>0</v>
      </c>
      <c r="AX137" s="8">
        <f t="shared" si="197"/>
        <v>0</v>
      </c>
      <c r="AY137" s="8">
        <f t="shared" si="197"/>
        <v>0</v>
      </c>
      <c r="AZ137" s="8">
        <f t="shared" si="197"/>
        <v>19430</v>
      </c>
      <c r="BA137" s="8">
        <f t="shared" si="197"/>
        <v>0</v>
      </c>
      <c r="BB137" s="7"/>
      <c r="BC137" s="7"/>
      <c r="BD137" s="44" t="s">
        <v>440</v>
      </c>
      <c r="BE137" s="8">
        <f>D137/$D$125</f>
        <v>0</v>
      </c>
      <c r="BF137" s="8">
        <f>E137/$BF$125</f>
        <v>0</v>
      </c>
      <c r="BG137" s="8">
        <f>F137/$BG$125</f>
        <v>0</v>
      </c>
      <c r="BH137" s="8">
        <f>G137/$BH$125</f>
        <v>0</v>
      </c>
      <c r="BI137" s="8">
        <f>H137/H$125</f>
        <v>11.166666666666666</v>
      </c>
      <c r="BJ137" s="7"/>
      <c r="BK137" s="44" t="s">
        <v>440</v>
      </c>
      <c r="BL137" s="8">
        <f t="shared" ref="BL137:BP137" si="198">BE137*BL$125</f>
        <v>0</v>
      </c>
      <c r="BM137" s="8">
        <f t="shared" si="198"/>
        <v>0</v>
      </c>
      <c r="BN137" s="8">
        <f t="shared" si="198"/>
        <v>0</v>
      </c>
      <c r="BO137" s="8">
        <f t="shared" si="198"/>
        <v>0</v>
      </c>
      <c r="BP137" s="8">
        <f t="shared" si="198"/>
        <v>134</v>
      </c>
      <c r="BQ137" s="8">
        <f t="shared" si="148"/>
        <v>0</v>
      </c>
    </row>
    <row r="138" spans="1:69" ht="13.5" hidden="1" customHeight="1" x14ac:dyDescent="0.3">
      <c r="A138" s="7"/>
      <c r="B138" s="7"/>
      <c r="C138" s="204" t="s">
        <v>441</v>
      </c>
      <c r="D138" s="205">
        <v>850</v>
      </c>
      <c r="E138" s="205">
        <v>800</v>
      </c>
      <c r="F138" s="205">
        <v>950</v>
      </c>
      <c r="G138" s="205"/>
      <c r="H138" s="206"/>
      <c r="I138" s="207"/>
      <c r="J138" s="7"/>
      <c r="K138" s="7"/>
      <c r="L138" s="7"/>
      <c r="M138" s="7"/>
      <c r="N138" s="7"/>
      <c r="O138" s="7"/>
      <c r="P138" s="7"/>
      <c r="Q138" s="7"/>
      <c r="R138" s="7"/>
      <c r="S138" s="12">
        <f t="shared" ref="S138:W138" si="199">SUM(S127:S137)</f>
        <v>143.27500000000001</v>
      </c>
      <c r="T138" s="208">
        <f t="shared" si="199"/>
        <v>483.70000000000005</v>
      </c>
      <c r="U138" s="208">
        <f t="shared" si="199"/>
        <v>860.06666666666672</v>
      </c>
      <c r="V138" s="208">
        <f t="shared" si="199"/>
        <v>333.27777777777783</v>
      </c>
      <c r="W138" s="208">
        <f t="shared" si="199"/>
        <v>471.08333333333331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204" t="s">
        <v>441</v>
      </c>
      <c r="AV138" s="8">
        <f t="shared" ref="AV138:BA138" si="200">D138*$AI138</f>
        <v>0</v>
      </c>
      <c r="AW138" s="8">
        <f t="shared" si="200"/>
        <v>0</v>
      </c>
      <c r="AX138" s="8">
        <f t="shared" si="200"/>
        <v>0</v>
      </c>
      <c r="AY138" s="8">
        <f t="shared" si="200"/>
        <v>0</v>
      </c>
      <c r="AZ138" s="8">
        <f t="shared" si="200"/>
        <v>0</v>
      </c>
      <c r="BA138" s="8">
        <f t="shared" si="200"/>
        <v>0</v>
      </c>
      <c r="BB138" s="7"/>
      <c r="BC138" s="7"/>
      <c r="BD138" s="204" t="s">
        <v>441</v>
      </c>
      <c r="BE138" s="205">
        <v>900</v>
      </c>
      <c r="BF138" s="205">
        <v>750</v>
      </c>
      <c r="BG138" s="205">
        <v>1000</v>
      </c>
      <c r="BH138" s="205"/>
      <c r="BI138" s="205"/>
      <c r="BJ138" s="7"/>
      <c r="BK138" s="204" t="s">
        <v>441</v>
      </c>
      <c r="BL138" s="8">
        <f t="shared" ref="BL138:BQ138" si="201">T138*$AI138</f>
        <v>0</v>
      </c>
      <c r="BM138" s="8">
        <f t="shared" si="201"/>
        <v>0</v>
      </c>
      <c r="BN138" s="8">
        <f t="shared" si="201"/>
        <v>0</v>
      </c>
      <c r="BO138" s="8">
        <f t="shared" si="201"/>
        <v>0</v>
      </c>
      <c r="BP138" s="8">
        <f t="shared" si="201"/>
        <v>0</v>
      </c>
      <c r="BQ138" s="8">
        <f t="shared" si="201"/>
        <v>0</v>
      </c>
    </row>
    <row r="139" spans="1:69" ht="13.5" hidden="1" customHeight="1" x14ac:dyDescent="0.3">
      <c r="A139" s="7"/>
      <c r="B139" s="7"/>
      <c r="C139" s="209" t="s">
        <v>442</v>
      </c>
      <c r="D139" s="179">
        <f t="shared" ref="D139:F139" si="202">D125*30*D138/1000</f>
        <v>153</v>
      </c>
      <c r="E139" s="179">
        <f t="shared" si="202"/>
        <v>96</v>
      </c>
      <c r="F139" s="179">
        <f t="shared" si="202"/>
        <v>114</v>
      </c>
      <c r="G139" s="179">
        <v>0</v>
      </c>
      <c r="H139" s="179">
        <v>0</v>
      </c>
      <c r="I139" s="179"/>
      <c r="J139" s="7"/>
      <c r="K139" s="7"/>
      <c r="L139" s="7"/>
      <c r="M139" s="7"/>
      <c r="N139" s="7"/>
      <c r="O139" s="7"/>
      <c r="P139" s="7"/>
      <c r="Q139" s="7"/>
      <c r="R139" s="7"/>
      <c r="S139" s="7">
        <f>S138*0.8</f>
        <v>114.62</v>
      </c>
      <c r="T139" s="7">
        <f>V139*80%*0.5</f>
        <v>40</v>
      </c>
      <c r="U139" s="7">
        <f>V139*80%*0.5</f>
        <v>40</v>
      </c>
      <c r="V139" s="7">
        <v>100</v>
      </c>
      <c r="W139" s="7">
        <v>20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209" t="s">
        <v>442</v>
      </c>
      <c r="AV139" s="8">
        <f t="shared" ref="AV139:BA139" si="203">D139*$AI139</f>
        <v>0</v>
      </c>
      <c r="AW139" s="8">
        <f t="shared" si="203"/>
        <v>0</v>
      </c>
      <c r="AX139" s="8">
        <f t="shared" si="203"/>
        <v>0</v>
      </c>
      <c r="AY139" s="8">
        <f t="shared" si="203"/>
        <v>0</v>
      </c>
      <c r="AZ139" s="8">
        <f t="shared" si="203"/>
        <v>0</v>
      </c>
      <c r="BA139" s="8">
        <f t="shared" si="203"/>
        <v>0</v>
      </c>
      <c r="BB139" s="7"/>
      <c r="BC139" s="7"/>
      <c r="BD139" s="209" t="s">
        <v>442</v>
      </c>
      <c r="BE139" s="179">
        <f t="shared" ref="BE139:BG139" si="204">BE125*30*BE138/1000</f>
        <v>162</v>
      </c>
      <c r="BF139" s="179">
        <f t="shared" si="204"/>
        <v>67.5</v>
      </c>
      <c r="BG139" s="179">
        <f t="shared" si="204"/>
        <v>90</v>
      </c>
      <c r="BH139" s="179">
        <v>0</v>
      </c>
      <c r="BI139" s="179">
        <v>0</v>
      </c>
      <c r="BJ139" s="7"/>
      <c r="BK139" s="209" t="s">
        <v>442</v>
      </c>
      <c r="BL139" s="8">
        <f t="shared" ref="BL139:BQ139" si="205">T139*$AI139</f>
        <v>0</v>
      </c>
      <c r="BM139" s="8">
        <f t="shared" si="205"/>
        <v>0</v>
      </c>
      <c r="BN139" s="8">
        <f t="shared" si="205"/>
        <v>0</v>
      </c>
      <c r="BO139" s="8">
        <f t="shared" si="205"/>
        <v>0</v>
      </c>
      <c r="BP139" s="8">
        <f t="shared" si="205"/>
        <v>0</v>
      </c>
      <c r="BQ139" s="8">
        <f t="shared" si="205"/>
        <v>0</v>
      </c>
    </row>
    <row r="140" spans="1:69" ht="13.5" hidden="1" customHeight="1" x14ac:dyDescent="0.3">
      <c r="A140" s="10"/>
      <c r="B140" s="10"/>
      <c r="C140" s="190" t="s">
        <v>443</v>
      </c>
      <c r="D140" s="191">
        <f t="shared" ref="D140:F140" si="206">D124+D139</f>
        <v>178</v>
      </c>
      <c r="E140" s="191">
        <f t="shared" si="206"/>
        <v>266</v>
      </c>
      <c r="F140" s="191">
        <f t="shared" si="206"/>
        <v>304</v>
      </c>
      <c r="G140" s="190">
        <v>600</v>
      </c>
      <c r="H140" s="190">
        <v>750</v>
      </c>
      <c r="I140" s="191"/>
      <c r="J140" s="10"/>
      <c r="K140" s="10"/>
      <c r="L140" s="10"/>
      <c r="M140" s="10"/>
      <c r="N140" s="10"/>
      <c r="O140" s="10"/>
      <c r="P140" s="10"/>
      <c r="Q140" s="10"/>
      <c r="R140" s="10"/>
      <c r="S140" s="123">
        <f t="shared" ref="S140:W140" si="207">S138*S139</f>
        <v>16422.180500000002</v>
      </c>
      <c r="T140" s="123">
        <f t="shared" si="207"/>
        <v>19348</v>
      </c>
      <c r="U140" s="210">
        <f t="shared" si="207"/>
        <v>34402.666666666672</v>
      </c>
      <c r="V140" s="123">
        <f t="shared" si="207"/>
        <v>33327.777777777781</v>
      </c>
      <c r="W140" s="123">
        <f t="shared" si="207"/>
        <v>9421.6666666666661</v>
      </c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211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90" t="s">
        <v>444</v>
      </c>
      <c r="AV140" s="212">
        <f t="shared" ref="AV140:BA140" si="208">SUM(AV127:AV139)</f>
        <v>25789.5</v>
      </c>
      <c r="AW140" s="212">
        <f t="shared" si="208"/>
        <v>58044</v>
      </c>
      <c r="AX140" s="212">
        <f t="shared" si="208"/>
        <v>103208</v>
      </c>
      <c r="AY140" s="212">
        <f t="shared" si="208"/>
        <v>119980</v>
      </c>
      <c r="AZ140" s="212">
        <f t="shared" si="208"/>
        <v>169590</v>
      </c>
      <c r="BA140" s="212">
        <f t="shared" si="208"/>
        <v>0</v>
      </c>
      <c r="BB140" s="7"/>
      <c r="BC140" s="7"/>
      <c r="BD140" s="190" t="s">
        <v>443</v>
      </c>
      <c r="BE140" s="191">
        <f t="shared" ref="BE140:BG140" si="209">BE124+BE139</f>
        <v>187</v>
      </c>
      <c r="BF140" s="191">
        <f t="shared" si="209"/>
        <v>254.5</v>
      </c>
      <c r="BG140" s="191">
        <f t="shared" si="209"/>
        <v>277</v>
      </c>
      <c r="BH140" s="190">
        <v>600</v>
      </c>
      <c r="BI140" s="190">
        <v>750</v>
      </c>
      <c r="BJ140" s="7"/>
      <c r="BK140" s="190" t="s">
        <v>444</v>
      </c>
      <c r="BL140" s="212">
        <f t="shared" ref="BL140:BQ140" si="210">SUM(BL127:BL139)</f>
        <v>1662.1</v>
      </c>
      <c r="BM140" s="212">
        <f t="shared" si="210"/>
        <v>3439.2</v>
      </c>
      <c r="BN140" s="212">
        <f t="shared" si="210"/>
        <v>7962.4</v>
      </c>
      <c r="BO140" s="212">
        <f t="shared" si="210"/>
        <v>8904</v>
      </c>
      <c r="BP140" s="212">
        <f t="shared" si="210"/>
        <v>6218</v>
      </c>
      <c r="BQ140" s="212">
        <f t="shared" si="210"/>
        <v>0</v>
      </c>
    </row>
    <row r="141" spans="1:69" ht="13.5" hidden="1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192" t="s">
        <v>445</v>
      </c>
      <c r="AV141" s="213">
        <f t="shared" ref="AV141:BA141" si="211">AV140/AV125</f>
        <v>4298.25</v>
      </c>
      <c r="AW141" s="213">
        <f t="shared" si="211"/>
        <v>4837</v>
      </c>
      <c r="AX141" s="213">
        <f t="shared" si="211"/>
        <v>11467.555555555555</v>
      </c>
      <c r="AY141" s="213">
        <f t="shared" si="211"/>
        <v>9998.3333333333339</v>
      </c>
      <c r="AZ141" s="213">
        <f t="shared" si="211"/>
        <v>14132.5</v>
      </c>
      <c r="BA141" s="213">
        <f t="shared" si="211"/>
        <v>0</v>
      </c>
      <c r="BB141" s="7"/>
      <c r="BC141" s="7"/>
      <c r="BD141" s="7"/>
      <c r="BE141" s="7"/>
      <c r="BF141" s="7"/>
      <c r="BG141" s="7"/>
      <c r="BH141" s="7"/>
      <c r="BI141" s="7"/>
      <c r="BJ141" s="7"/>
      <c r="BK141" s="192" t="s">
        <v>445</v>
      </c>
      <c r="BL141" s="213">
        <f t="shared" ref="BL141:BQ141" si="212">BL140/BL125</f>
        <v>277.01666666666665</v>
      </c>
      <c r="BM141" s="213">
        <f t="shared" si="212"/>
        <v>859.8</v>
      </c>
      <c r="BN141" s="213">
        <f t="shared" si="212"/>
        <v>1990.6</v>
      </c>
      <c r="BO141" s="213">
        <f t="shared" si="212"/>
        <v>742</v>
      </c>
      <c r="BP141" s="213">
        <f t="shared" si="212"/>
        <v>518.16666666666663</v>
      </c>
      <c r="BQ141" s="213">
        <f t="shared" si="212"/>
        <v>0</v>
      </c>
    </row>
    <row r="142" spans="1:69" ht="13.5" customHeight="1" x14ac:dyDescent="0.3">
      <c r="A142" s="2" t="s">
        <v>0</v>
      </c>
      <c r="B142" s="3" t="s">
        <v>38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</row>
    <row r="143" spans="1:69" ht="13.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15">
        <v>1</v>
      </c>
      <c r="K143" s="15">
        <f t="shared" ref="K143:AG143" si="213">J143+1</f>
        <v>2</v>
      </c>
      <c r="L143" s="15">
        <f t="shared" si="213"/>
        <v>3</v>
      </c>
      <c r="M143" s="15">
        <f t="shared" si="213"/>
        <v>4</v>
      </c>
      <c r="N143" s="15">
        <f t="shared" si="213"/>
        <v>5</v>
      </c>
      <c r="O143" s="15">
        <f t="shared" si="213"/>
        <v>6</v>
      </c>
      <c r="P143" s="15">
        <f t="shared" si="213"/>
        <v>7</v>
      </c>
      <c r="Q143" s="15">
        <f t="shared" si="213"/>
        <v>8</v>
      </c>
      <c r="R143" s="15">
        <f t="shared" si="213"/>
        <v>9</v>
      </c>
      <c r="S143" s="15">
        <f t="shared" si="213"/>
        <v>10</v>
      </c>
      <c r="T143" s="15">
        <f t="shared" si="213"/>
        <v>11</v>
      </c>
      <c r="U143" s="15">
        <f t="shared" si="213"/>
        <v>12</v>
      </c>
      <c r="V143" s="15">
        <f t="shared" si="213"/>
        <v>13</v>
      </c>
      <c r="W143" s="15">
        <f t="shared" si="213"/>
        <v>14</v>
      </c>
      <c r="X143" s="15">
        <f t="shared" si="213"/>
        <v>15</v>
      </c>
      <c r="Y143" s="15">
        <f t="shared" si="213"/>
        <v>16</v>
      </c>
      <c r="Z143" s="15">
        <f t="shared" si="213"/>
        <v>17</v>
      </c>
      <c r="AA143" s="15">
        <f t="shared" si="213"/>
        <v>18</v>
      </c>
      <c r="AB143" s="15">
        <f t="shared" si="213"/>
        <v>19</v>
      </c>
      <c r="AC143" s="15">
        <f t="shared" si="213"/>
        <v>20</v>
      </c>
      <c r="AD143" s="15">
        <f t="shared" si="213"/>
        <v>21</v>
      </c>
      <c r="AE143" s="15">
        <f t="shared" si="213"/>
        <v>22</v>
      </c>
      <c r="AF143" s="15">
        <f t="shared" si="213"/>
        <v>23</v>
      </c>
      <c r="AG143" s="15">
        <f t="shared" si="213"/>
        <v>24</v>
      </c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12">
        <f t="shared" ref="AV143:BA143" si="214">AV141/30</f>
        <v>143.27500000000001</v>
      </c>
      <c r="AW143" s="12">
        <f t="shared" si="214"/>
        <v>161.23333333333332</v>
      </c>
      <c r="AX143" s="12">
        <f t="shared" si="214"/>
        <v>382.25185185185182</v>
      </c>
      <c r="AY143" s="12">
        <f t="shared" si="214"/>
        <v>333.27777777777777</v>
      </c>
      <c r="AZ143" s="12">
        <f t="shared" si="214"/>
        <v>471.08333333333331</v>
      </c>
      <c r="BA143" s="12">
        <f t="shared" si="214"/>
        <v>0</v>
      </c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</row>
    <row r="144" spans="1:69" ht="13.5" customHeight="1" x14ac:dyDescent="0.3">
      <c r="A144" s="80" t="s">
        <v>145</v>
      </c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</row>
    <row r="145" spans="1:69" ht="13.5" customHeight="1" x14ac:dyDescent="0.3">
      <c r="A145" s="189" t="s">
        <v>446</v>
      </c>
      <c r="B145" s="10"/>
      <c r="C145" s="10"/>
      <c r="D145" s="10"/>
      <c r="E145" s="10"/>
      <c r="F145" s="10"/>
      <c r="G145" s="10"/>
      <c r="H145" s="10"/>
      <c r="I145" s="10"/>
      <c r="J145" s="50">
        <f t="shared" ref="J145:AG145" si="215">YEAR(J147)</f>
        <v>2026</v>
      </c>
      <c r="K145" s="50">
        <f t="shared" si="215"/>
        <v>2026</v>
      </c>
      <c r="L145" s="50">
        <f t="shared" si="215"/>
        <v>2026</v>
      </c>
      <c r="M145" s="50">
        <f t="shared" si="215"/>
        <v>2026</v>
      </c>
      <c r="N145" s="50">
        <f t="shared" si="215"/>
        <v>2026</v>
      </c>
      <c r="O145" s="50">
        <f t="shared" si="215"/>
        <v>2027</v>
      </c>
      <c r="P145" s="50">
        <f t="shared" si="215"/>
        <v>2027</v>
      </c>
      <c r="Q145" s="50">
        <f t="shared" si="215"/>
        <v>2027</v>
      </c>
      <c r="R145" s="50">
        <f t="shared" si="215"/>
        <v>2027</v>
      </c>
      <c r="S145" s="50">
        <f t="shared" si="215"/>
        <v>2027</v>
      </c>
      <c r="T145" s="50">
        <f t="shared" si="215"/>
        <v>2027</v>
      </c>
      <c r="U145" s="50">
        <f t="shared" si="215"/>
        <v>2027</v>
      </c>
      <c r="V145" s="50">
        <f t="shared" si="215"/>
        <v>2027</v>
      </c>
      <c r="W145" s="50">
        <f t="shared" si="215"/>
        <v>2027</v>
      </c>
      <c r="X145" s="50">
        <f t="shared" si="215"/>
        <v>2027</v>
      </c>
      <c r="Y145" s="50">
        <f t="shared" si="215"/>
        <v>2027</v>
      </c>
      <c r="Z145" s="50">
        <f t="shared" si="215"/>
        <v>2027</v>
      </c>
      <c r="AA145" s="50">
        <f t="shared" si="215"/>
        <v>2028</v>
      </c>
      <c r="AB145" s="50">
        <f t="shared" si="215"/>
        <v>2028</v>
      </c>
      <c r="AC145" s="50">
        <f t="shared" si="215"/>
        <v>2028</v>
      </c>
      <c r="AD145" s="50">
        <f t="shared" si="215"/>
        <v>2028</v>
      </c>
      <c r="AE145" s="50">
        <f t="shared" si="215"/>
        <v>2028</v>
      </c>
      <c r="AF145" s="50">
        <f t="shared" si="215"/>
        <v>2028</v>
      </c>
      <c r="AG145" s="50">
        <f t="shared" si="215"/>
        <v>2028</v>
      </c>
      <c r="AH145" s="10"/>
      <c r="AI145" s="50">
        <f t="shared" ref="AI145:AS145" si="216">YEAR(AI147)</f>
        <v>2026</v>
      </c>
      <c r="AJ145" s="50">
        <f t="shared" si="216"/>
        <v>2027</v>
      </c>
      <c r="AK145" s="50">
        <f t="shared" si="216"/>
        <v>2028</v>
      </c>
      <c r="AL145" s="50">
        <f t="shared" si="216"/>
        <v>2029</v>
      </c>
      <c r="AM145" s="50">
        <f t="shared" si="216"/>
        <v>2030</v>
      </c>
      <c r="AN145" s="50">
        <f t="shared" si="216"/>
        <v>2031</v>
      </c>
      <c r="AO145" s="50">
        <f t="shared" si="216"/>
        <v>2032</v>
      </c>
      <c r="AP145" s="50">
        <f t="shared" si="216"/>
        <v>2033</v>
      </c>
      <c r="AQ145" s="50">
        <f t="shared" si="216"/>
        <v>2034</v>
      </c>
      <c r="AR145" s="50">
        <f t="shared" si="216"/>
        <v>2035</v>
      </c>
      <c r="AS145" s="50">
        <f t="shared" si="216"/>
        <v>2036</v>
      </c>
      <c r="AT145" s="50">
        <f t="shared" ref="AT145" si="217">YEAR(AT147)</f>
        <v>2037</v>
      </c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</row>
    <row r="146" spans="1:69" ht="13.5" customHeight="1" x14ac:dyDescent="0.3">
      <c r="A146" s="7"/>
      <c r="B146" s="7"/>
      <c r="C146" s="7"/>
      <c r="D146" s="7"/>
      <c r="E146" s="7"/>
      <c r="F146" s="7" t="s">
        <v>447</v>
      </c>
      <c r="G146" s="7" t="s">
        <v>448</v>
      </c>
      <c r="H146" s="7"/>
      <c r="I146" s="7"/>
      <c r="J146" s="79">
        <f>'Operating Model'!J29</f>
        <v>46265</v>
      </c>
      <c r="K146" s="79">
        <f>'Operating Model'!K29</f>
        <v>46295</v>
      </c>
      <c r="L146" s="79">
        <f>'Operating Model'!L29</f>
        <v>46326</v>
      </c>
      <c r="M146" s="79">
        <f>'Operating Model'!M29</f>
        <v>46356</v>
      </c>
      <c r="N146" s="79">
        <f>'Operating Model'!N29</f>
        <v>46387</v>
      </c>
      <c r="O146" s="79">
        <f>'Operating Model'!O29</f>
        <v>46418</v>
      </c>
      <c r="P146" s="79">
        <f>'Operating Model'!P29</f>
        <v>46446</v>
      </c>
      <c r="Q146" s="79">
        <f>'Operating Model'!Q29</f>
        <v>46477</v>
      </c>
      <c r="R146" s="79">
        <f>'Operating Model'!R29</f>
        <v>46507</v>
      </c>
      <c r="S146" s="79">
        <f>'Operating Model'!S29</f>
        <v>46538</v>
      </c>
      <c r="T146" s="79">
        <f>'Operating Model'!T29</f>
        <v>46568</v>
      </c>
      <c r="U146" s="79">
        <f>'Operating Model'!U29</f>
        <v>46599</v>
      </c>
      <c r="V146" s="79">
        <f>'Operating Model'!V29</f>
        <v>46630</v>
      </c>
      <c r="W146" s="79">
        <f>'Operating Model'!W29</f>
        <v>46660</v>
      </c>
      <c r="X146" s="79">
        <f>'Operating Model'!X29</f>
        <v>46691</v>
      </c>
      <c r="Y146" s="79">
        <f>'Operating Model'!Y29</f>
        <v>46721</v>
      </c>
      <c r="Z146" s="79">
        <f>'Operating Model'!Z29</f>
        <v>46752</v>
      </c>
      <c r="AA146" s="79">
        <f>'Operating Model'!AA29</f>
        <v>46783</v>
      </c>
      <c r="AB146" s="79">
        <f>'Operating Model'!AB29</f>
        <v>46812</v>
      </c>
      <c r="AC146" s="79">
        <f>'Operating Model'!AC29</f>
        <v>46843</v>
      </c>
      <c r="AD146" s="79">
        <f>'Operating Model'!AD29</f>
        <v>46873</v>
      </c>
      <c r="AE146" s="79">
        <f>'Operating Model'!AE29</f>
        <v>46904</v>
      </c>
      <c r="AF146" s="79">
        <f>'Operating Model'!AF29</f>
        <v>46934</v>
      </c>
      <c r="AG146" s="79">
        <f>'Operating Model'!AG29</f>
        <v>46965</v>
      </c>
      <c r="AH146" s="7"/>
      <c r="AI146" s="6">
        <f>'Operating Model'!AI29</f>
        <v>2026</v>
      </c>
      <c r="AJ146" s="6">
        <f>'Operating Model'!AJ29</f>
        <v>2027</v>
      </c>
      <c r="AK146" s="6">
        <f>'Operating Model'!AK29</f>
        <v>2028</v>
      </c>
      <c r="AL146" s="6">
        <f>'Operating Model'!AL29</f>
        <v>2029</v>
      </c>
      <c r="AM146" s="6">
        <f>'Operating Model'!AM29</f>
        <v>2030</v>
      </c>
      <c r="AN146" s="6">
        <f>'Operating Model'!AN29</f>
        <v>2031</v>
      </c>
      <c r="AO146" s="6">
        <f>'Operating Model'!AO29</f>
        <v>2032</v>
      </c>
      <c r="AP146" s="6">
        <f>'Operating Model'!AP29</f>
        <v>2033</v>
      </c>
      <c r="AQ146" s="6">
        <f>'Operating Model'!AQ29</f>
        <v>2034</v>
      </c>
      <c r="AR146" s="6">
        <f>'Operating Model'!AR29</f>
        <v>2035</v>
      </c>
      <c r="AS146" s="6">
        <f>'Operating Model'!AS29</f>
        <v>2036</v>
      </c>
      <c r="AT146" s="6">
        <f>'Operating Model'!AT29</f>
        <v>2037</v>
      </c>
      <c r="AU146" s="7"/>
      <c r="AV146" s="7">
        <v>4893.333333333333</v>
      </c>
      <c r="AW146" s="7">
        <v>9662.5</v>
      </c>
      <c r="AX146" s="7">
        <v>26713.625</v>
      </c>
      <c r="AY146" s="7">
        <v>11478.333333333334</v>
      </c>
      <c r="AZ146" s="7">
        <v>19942.083333333332</v>
      </c>
      <c r="BA146" s="7" t="s">
        <v>449</v>
      </c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</row>
    <row r="147" spans="1:69" ht="13.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83">
        <v>46265</v>
      </c>
      <c r="K147" s="83">
        <f t="shared" ref="K147:AG147" si="218">EOMONTH(J147,1)</f>
        <v>46295</v>
      </c>
      <c r="L147" s="83">
        <f t="shared" si="218"/>
        <v>46326</v>
      </c>
      <c r="M147" s="83">
        <f t="shared" si="218"/>
        <v>46356</v>
      </c>
      <c r="N147" s="83">
        <f t="shared" si="218"/>
        <v>46387</v>
      </c>
      <c r="O147" s="83">
        <f t="shared" si="218"/>
        <v>46418</v>
      </c>
      <c r="P147" s="83">
        <f t="shared" si="218"/>
        <v>46446</v>
      </c>
      <c r="Q147" s="83">
        <f t="shared" si="218"/>
        <v>46477</v>
      </c>
      <c r="R147" s="83">
        <f t="shared" si="218"/>
        <v>46507</v>
      </c>
      <c r="S147" s="83">
        <f t="shared" si="218"/>
        <v>46538</v>
      </c>
      <c r="T147" s="83">
        <f t="shared" si="218"/>
        <v>46568</v>
      </c>
      <c r="U147" s="83">
        <f t="shared" si="218"/>
        <v>46599</v>
      </c>
      <c r="V147" s="83">
        <f t="shared" si="218"/>
        <v>46630</v>
      </c>
      <c r="W147" s="83">
        <f t="shared" si="218"/>
        <v>46660</v>
      </c>
      <c r="X147" s="83">
        <f t="shared" si="218"/>
        <v>46691</v>
      </c>
      <c r="Y147" s="83">
        <f t="shared" si="218"/>
        <v>46721</v>
      </c>
      <c r="Z147" s="83">
        <f t="shared" si="218"/>
        <v>46752</v>
      </c>
      <c r="AA147" s="83">
        <f t="shared" si="218"/>
        <v>46783</v>
      </c>
      <c r="AB147" s="83">
        <f t="shared" si="218"/>
        <v>46812</v>
      </c>
      <c r="AC147" s="83">
        <f t="shared" si="218"/>
        <v>46843</v>
      </c>
      <c r="AD147" s="83">
        <f t="shared" si="218"/>
        <v>46873</v>
      </c>
      <c r="AE147" s="83">
        <f t="shared" si="218"/>
        <v>46904</v>
      </c>
      <c r="AF147" s="83">
        <f t="shared" si="218"/>
        <v>46934</v>
      </c>
      <c r="AG147" s="83">
        <f t="shared" si="218"/>
        <v>46965</v>
      </c>
      <c r="AH147" s="7"/>
      <c r="AI147" s="83">
        <v>46387</v>
      </c>
      <c r="AJ147" s="83">
        <f t="shared" ref="AJ147:AT147" si="219">EOMONTH(AI147,12)</f>
        <v>46752</v>
      </c>
      <c r="AK147" s="83">
        <f t="shared" si="219"/>
        <v>47118</v>
      </c>
      <c r="AL147" s="83">
        <f t="shared" si="219"/>
        <v>47483</v>
      </c>
      <c r="AM147" s="83">
        <f t="shared" si="219"/>
        <v>47848</v>
      </c>
      <c r="AN147" s="83">
        <f t="shared" si="219"/>
        <v>48213</v>
      </c>
      <c r="AO147" s="83">
        <f t="shared" si="219"/>
        <v>48579</v>
      </c>
      <c r="AP147" s="83">
        <f t="shared" si="219"/>
        <v>48944</v>
      </c>
      <c r="AQ147" s="83">
        <f t="shared" si="219"/>
        <v>49309</v>
      </c>
      <c r="AR147" s="83">
        <f t="shared" si="219"/>
        <v>49674</v>
      </c>
      <c r="AS147" s="83">
        <f t="shared" si="219"/>
        <v>50040</v>
      </c>
      <c r="AT147" s="83">
        <f t="shared" si="219"/>
        <v>50405</v>
      </c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</row>
    <row r="148" spans="1:69" ht="13.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</row>
    <row r="149" spans="1:69" ht="13.5" customHeight="1" x14ac:dyDescent="0.3">
      <c r="A149" s="7"/>
      <c r="B149" s="5" t="s">
        <v>89</v>
      </c>
      <c r="C149" s="7"/>
      <c r="D149" s="7"/>
      <c r="E149" s="7"/>
      <c r="F149" s="7"/>
      <c r="G149" s="7"/>
      <c r="H149" s="7"/>
      <c r="I149" s="7"/>
      <c r="J149" s="12">
        <f>'Operating Model'!J84+'Operating Model'!J96</f>
        <v>0</v>
      </c>
      <c r="K149" s="12">
        <f ca="1">'Operating Model'!K84+'Operating Model'!K96</f>
        <v>0</v>
      </c>
      <c r="L149" s="12">
        <f ca="1">'Operating Model'!L84+'Operating Model'!L96</f>
        <v>0</v>
      </c>
      <c r="M149" s="12">
        <f ca="1">'Operating Model'!M84+'Operating Model'!M96</f>
        <v>0</v>
      </c>
      <c r="N149" s="12">
        <f ca="1">'Operating Model'!N84+'Operating Model'!N96</f>
        <v>0</v>
      </c>
      <c r="O149" s="12">
        <f ca="1">'Operating Model'!O84+'Operating Model'!O96</f>
        <v>0</v>
      </c>
      <c r="P149" s="12">
        <f ca="1">'Operating Model'!P84+'Operating Model'!P96</f>
        <v>0</v>
      </c>
      <c r="Q149" s="12">
        <f ca="1">'Operating Model'!Q84+'Operating Model'!Q96</f>
        <v>0</v>
      </c>
      <c r="R149" s="12">
        <f ca="1">'Operating Model'!R84+'Operating Model'!R96</f>
        <v>0</v>
      </c>
      <c r="S149" s="12">
        <f ca="1">'Operating Model'!S84+'Operating Model'!S96</f>
        <v>0</v>
      </c>
      <c r="T149" s="12">
        <f ca="1">'Operating Model'!T84+'Operating Model'!T96</f>
        <v>0</v>
      </c>
      <c r="U149" s="12">
        <f ca="1">'Operating Model'!U84+'Operating Model'!U96</f>
        <v>0</v>
      </c>
      <c r="V149" s="12">
        <f ca="1">'Operating Model'!V84+'Operating Model'!V96</f>
        <v>0</v>
      </c>
      <c r="W149" s="12">
        <f ca="1">'Operating Model'!W84+'Operating Model'!W96</f>
        <v>0</v>
      </c>
      <c r="X149" s="12">
        <f ca="1">'Operating Model'!X84+'Operating Model'!X96</f>
        <v>0</v>
      </c>
      <c r="Y149" s="12">
        <f ca="1">'Operating Model'!Y84+'Operating Model'!Y96</f>
        <v>0</v>
      </c>
      <c r="Z149" s="12">
        <f ca="1">'Operating Model'!Z84+'Operating Model'!Z96</f>
        <v>0</v>
      </c>
      <c r="AA149" s="12">
        <f ca="1">'Operating Model'!AA84+'Operating Model'!AA96</f>
        <v>138.76572007559471</v>
      </c>
      <c r="AB149" s="12">
        <f ca="1">'Operating Model'!AB84+'Operating Model'!AB96</f>
        <v>138.41880577540573</v>
      </c>
      <c r="AC149" s="12">
        <f ca="1">'Operating Model'!AC84+'Operating Model'!AC96</f>
        <v>138.07275876096722</v>
      </c>
      <c r="AD149" s="12">
        <f ca="1">'Operating Model'!AD84+'Operating Model'!AD96</f>
        <v>137.72757686406479</v>
      </c>
      <c r="AE149" s="12">
        <f ca="1">'Operating Model'!AE84+'Operating Model'!AE96</f>
        <v>137.38325792190463</v>
      </c>
      <c r="AF149" s="12">
        <f ca="1">'Operating Model'!AF84+'Operating Model'!AF96</f>
        <v>137.03979977709986</v>
      </c>
      <c r="AG149" s="12">
        <f ca="1">'Operating Model'!AG84+'Operating Model'!AG96</f>
        <v>136.69720027765712</v>
      </c>
      <c r="AH149" s="7"/>
      <c r="AI149" s="12">
        <f t="shared" ref="AI149:AJ149" ca="1" si="220">INDEX($J149:$AF149,MATCH(AI$147,$J$147:$AF$147,0))</f>
        <v>0</v>
      </c>
      <c r="AJ149" s="12">
        <f t="shared" ca="1" si="220"/>
        <v>0</v>
      </c>
      <c r="AK149" s="12">
        <f>'Operating Model'!AK73</f>
        <v>138.76572007559471</v>
      </c>
      <c r="AL149" s="12">
        <f ca="1">'Operating Model'!AL73</f>
        <v>170.99405856315158</v>
      </c>
      <c r="AM149" s="12">
        <f ca="1">'Operating Model'!AM73</f>
        <v>210.70742866444354</v>
      </c>
      <c r="AN149" s="12">
        <f ca="1">'Operating Model'!AN73</f>
        <v>255</v>
      </c>
      <c r="AO149" s="12">
        <f ca="1">'Operating Model'!AO73</f>
        <v>255</v>
      </c>
      <c r="AP149" s="12">
        <f ca="1">'Operating Model'!AP73</f>
        <v>255</v>
      </c>
      <c r="AQ149" s="12">
        <f ca="1">'Operating Model'!AQ73</f>
        <v>255</v>
      </c>
      <c r="AR149" s="12">
        <f ca="1">'Operating Model'!AR73</f>
        <v>255</v>
      </c>
      <c r="AS149" s="12">
        <f ca="1">'Operating Model'!AS73</f>
        <v>255</v>
      </c>
      <c r="AT149" s="12">
        <f ca="1">'Operating Model'!AT73</f>
        <v>255</v>
      </c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</row>
    <row r="150" spans="1:69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</row>
    <row r="151" spans="1:69" ht="13.5" customHeight="1" x14ac:dyDescent="0.3">
      <c r="A151" s="7"/>
      <c r="B151" s="5" t="s">
        <v>450</v>
      </c>
      <c r="C151" s="7"/>
      <c r="D151" s="7"/>
      <c r="E151" s="7"/>
      <c r="F151" s="7"/>
      <c r="G151" s="7"/>
      <c r="H151" s="7"/>
      <c r="I151" s="7"/>
      <c r="J151" s="12">
        <v>0</v>
      </c>
      <c r="K151" s="12">
        <f t="shared" ref="K151:AG151" si="221">J153</f>
        <v>200</v>
      </c>
      <c r="L151" s="12">
        <f t="shared" si="221"/>
        <v>199.75</v>
      </c>
      <c r="M151" s="12">
        <f t="shared" si="221"/>
        <v>199.25062500000001</v>
      </c>
      <c r="N151" s="12">
        <f t="shared" si="221"/>
        <v>198.75249843749998</v>
      </c>
      <c r="O151" s="12">
        <f t="shared" si="221"/>
        <v>198.25561719140626</v>
      </c>
      <c r="P151" s="12">
        <f t="shared" si="221"/>
        <v>197.75997814842773</v>
      </c>
      <c r="Q151" s="12">
        <f t="shared" si="221"/>
        <v>197.26557820305666</v>
      </c>
      <c r="R151" s="12">
        <f t="shared" si="221"/>
        <v>196.77241425754903</v>
      </c>
      <c r="S151" s="12">
        <f t="shared" si="221"/>
        <v>0</v>
      </c>
      <c r="T151" s="12">
        <f t="shared" si="221"/>
        <v>0</v>
      </c>
      <c r="U151" s="12">
        <f t="shared" si="221"/>
        <v>0</v>
      </c>
      <c r="V151" s="12">
        <f t="shared" si="221"/>
        <v>0</v>
      </c>
      <c r="W151" s="12">
        <f t="shared" si="221"/>
        <v>0</v>
      </c>
      <c r="X151" s="12">
        <f t="shared" si="221"/>
        <v>0</v>
      </c>
      <c r="Y151" s="12">
        <f t="shared" si="221"/>
        <v>0</v>
      </c>
      <c r="Z151" s="12">
        <f t="shared" si="221"/>
        <v>0</v>
      </c>
      <c r="AA151" s="12">
        <f t="shared" si="221"/>
        <v>0</v>
      </c>
      <c r="AB151" s="12">
        <f t="shared" si="221"/>
        <v>0</v>
      </c>
      <c r="AC151" s="12">
        <f t="shared" si="221"/>
        <v>0</v>
      </c>
      <c r="AD151" s="12">
        <f t="shared" si="221"/>
        <v>0</v>
      </c>
      <c r="AE151" s="12">
        <f t="shared" si="221"/>
        <v>0</v>
      </c>
      <c r="AF151" s="12">
        <f t="shared" si="221"/>
        <v>0</v>
      </c>
      <c r="AG151" s="12">
        <f t="shared" si="221"/>
        <v>0</v>
      </c>
      <c r="AH151" s="7"/>
      <c r="AI151" s="12">
        <v>0</v>
      </c>
      <c r="AJ151" s="12">
        <f t="array" ref="AJ151">INDEX($J151:$AF151,MATCH(AJ$147,$J$147:$AF$147,0))</f>
        <v>0</v>
      </c>
      <c r="AK151" s="12">
        <f t="shared" ref="AK151:AT151" si="222">AJ153</f>
        <v>0</v>
      </c>
      <c r="AL151" s="12">
        <f t="shared" ca="1" si="222"/>
        <v>67.301374236663435</v>
      </c>
      <c r="AM151" s="12">
        <f t="shared" ca="1" si="222"/>
        <v>82.932118403128513</v>
      </c>
      <c r="AN151" s="12">
        <f t="shared" ca="1" si="222"/>
        <v>102.19310290225512</v>
      </c>
      <c r="AO151" s="12">
        <f t="shared" ca="1" si="222"/>
        <v>123.675</v>
      </c>
      <c r="AP151" s="12">
        <f t="shared" ca="1" si="222"/>
        <v>123.675</v>
      </c>
      <c r="AQ151" s="12">
        <f t="shared" ca="1" si="222"/>
        <v>123.675</v>
      </c>
      <c r="AR151" s="12">
        <f t="shared" ca="1" si="222"/>
        <v>123.675</v>
      </c>
      <c r="AS151" s="12">
        <f t="shared" ca="1" si="222"/>
        <v>123.675</v>
      </c>
      <c r="AT151" s="12">
        <f t="shared" ca="1" si="222"/>
        <v>123.675</v>
      </c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</row>
    <row r="152" spans="1:69" ht="13.5" customHeight="1" x14ac:dyDescent="0.3">
      <c r="A152" s="7"/>
      <c r="B152" s="5" t="s">
        <v>403</v>
      </c>
      <c r="C152" s="7"/>
      <c r="D152" s="7"/>
      <c r="E152" s="7"/>
      <c r="F152" s="7"/>
      <c r="G152" s="7"/>
      <c r="H152" s="7"/>
      <c r="I152" s="7"/>
      <c r="J152" s="8">
        <f>'Operating Model'!J58</f>
        <v>200</v>
      </c>
      <c r="K152" s="8">
        <f>'Operating Model'!K58</f>
        <v>199.75</v>
      </c>
      <c r="L152" s="8">
        <f>'Operating Model'!L58</f>
        <v>199.25062500000001</v>
      </c>
      <c r="M152" s="8">
        <f>'Operating Model'!M58</f>
        <v>198.75249843749998</v>
      </c>
      <c r="N152" s="8">
        <f>'Operating Model'!N58</f>
        <v>198.25561719140626</v>
      </c>
      <c r="O152" s="8">
        <f>'Operating Model'!O58</f>
        <v>197.75997814842773</v>
      </c>
      <c r="P152" s="8">
        <f>'Operating Model'!P58</f>
        <v>197.26557820305666</v>
      </c>
      <c r="Q152" s="8">
        <f>'Operating Model'!Q58</f>
        <v>196.77241425754903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7"/>
      <c r="AI152" s="8">
        <f t="shared" ref="AI152:AJ152" si="223">INDEX($J152:$AF152,MATCH(AI$147,$J$147:$AF$147,0))</f>
        <v>198.25561719140626</v>
      </c>
      <c r="AJ152" s="12">
        <f t="shared" si="223"/>
        <v>0</v>
      </c>
      <c r="AK152" s="12">
        <f ca="1">'Operating Model'!AK84</f>
        <v>67.301374236663435</v>
      </c>
      <c r="AL152" s="12">
        <f ca="1">'Operating Model'!AL84</f>
        <v>82.932118403128513</v>
      </c>
      <c r="AM152" s="12">
        <f ca="1">'Operating Model'!AM84</f>
        <v>102.19310290225512</v>
      </c>
      <c r="AN152" s="12">
        <f ca="1">'Operating Model'!AN84</f>
        <v>123.675</v>
      </c>
      <c r="AO152" s="12">
        <f ca="1">'Operating Model'!AO84</f>
        <v>123.675</v>
      </c>
      <c r="AP152" s="12">
        <f ca="1">'Operating Model'!AP84</f>
        <v>123.675</v>
      </c>
      <c r="AQ152" s="12">
        <f ca="1">'Operating Model'!AQ84</f>
        <v>123.675</v>
      </c>
      <c r="AR152" s="12">
        <f ca="1">'Operating Model'!AR84</f>
        <v>123.675</v>
      </c>
      <c r="AS152" s="12">
        <f ca="1">'Operating Model'!AS84</f>
        <v>123.675</v>
      </c>
      <c r="AT152" s="12">
        <f ca="1">'Operating Model'!AT84</f>
        <v>123.675</v>
      </c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</row>
    <row r="153" spans="1:69" ht="13.5" customHeight="1" x14ac:dyDescent="0.3">
      <c r="A153" s="7"/>
      <c r="B153" s="5" t="s">
        <v>451</v>
      </c>
      <c r="C153" s="7"/>
      <c r="D153" s="7"/>
      <c r="E153" s="7"/>
      <c r="F153" s="7"/>
      <c r="G153" s="7"/>
      <c r="H153" s="7"/>
      <c r="I153" s="7"/>
      <c r="J153" s="12">
        <f t="shared" ref="J153:AG153" si="224">SUM(J152)</f>
        <v>200</v>
      </c>
      <c r="K153" s="12">
        <f t="shared" si="224"/>
        <v>199.75</v>
      </c>
      <c r="L153" s="12">
        <f t="shared" si="224"/>
        <v>199.25062500000001</v>
      </c>
      <c r="M153" s="12">
        <f t="shared" si="224"/>
        <v>198.75249843749998</v>
      </c>
      <c r="N153" s="12">
        <f t="shared" si="224"/>
        <v>198.25561719140626</v>
      </c>
      <c r="O153" s="12">
        <f t="shared" si="224"/>
        <v>197.75997814842773</v>
      </c>
      <c r="P153" s="12">
        <f t="shared" si="224"/>
        <v>197.26557820305666</v>
      </c>
      <c r="Q153" s="12">
        <f t="shared" si="224"/>
        <v>196.77241425754903</v>
      </c>
      <c r="R153" s="12">
        <f t="shared" si="224"/>
        <v>0</v>
      </c>
      <c r="S153" s="12">
        <f t="shared" si="224"/>
        <v>0</v>
      </c>
      <c r="T153" s="12">
        <f t="shared" si="224"/>
        <v>0</v>
      </c>
      <c r="U153" s="12">
        <f t="shared" si="224"/>
        <v>0</v>
      </c>
      <c r="V153" s="12">
        <f t="shared" si="224"/>
        <v>0</v>
      </c>
      <c r="W153" s="12">
        <f t="shared" si="224"/>
        <v>0</v>
      </c>
      <c r="X153" s="12">
        <f t="shared" si="224"/>
        <v>0</v>
      </c>
      <c r="Y153" s="12">
        <f t="shared" si="224"/>
        <v>0</v>
      </c>
      <c r="Z153" s="12">
        <f t="shared" si="224"/>
        <v>0</v>
      </c>
      <c r="AA153" s="12">
        <f t="shared" si="224"/>
        <v>0</v>
      </c>
      <c r="AB153" s="12">
        <f t="shared" si="224"/>
        <v>0</v>
      </c>
      <c r="AC153" s="12">
        <f t="shared" si="224"/>
        <v>0</v>
      </c>
      <c r="AD153" s="12">
        <f t="shared" si="224"/>
        <v>0</v>
      </c>
      <c r="AE153" s="12">
        <f t="shared" si="224"/>
        <v>0</v>
      </c>
      <c r="AF153" s="12">
        <f t="shared" si="224"/>
        <v>0</v>
      </c>
      <c r="AG153" s="12">
        <f t="shared" si="224"/>
        <v>0</v>
      </c>
      <c r="AH153" s="7"/>
      <c r="AI153" s="12">
        <f t="shared" ref="AI153:AJ153" si="225">INDEX($J153:$AF153,MATCH(AI$147,$J$147:$AF$147,0))</f>
        <v>198.25561719140626</v>
      </c>
      <c r="AJ153" s="12">
        <f t="shared" si="225"/>
        <v>0</v>
      </c>
      <c r="AK153" s="12">
        <f t="shared" ref="AK153:AS153" ca="1" si="226">SUM(AK152)</f>
        <v>67.301374236663435</v>
      </c>
      <c r="AL153" s="12">
        <f t="shared" ca="1" si="226"/>
        <v>82.932118403128513</v>
      </c>
      <c r="AM153" s="12">
        <f t="shared" ca="1" si="226"/>
        <v>102.19310290225512</v>
      </c>
      <c r="AN153" s="12">
        <f t="shared" ca="1" si="226"/>
        <v>123.675</v>
      </c>
      <c r="AO153" s="12">
        <f t="shared" ca="1" si="226"/>
        <v>123.675</v>
      </c>
      <c r="AP153" s="12">
        <f t="shared" ca="1" si="226"/>
        <v>123.675</v>
      </c>
      <c r="AQ153" s="12">
        <f t="shared" ca="1" si="226"/>
        <v>123.675</v>
      </c>
      <c r="AR153" s="12">
        <f t="shared" ca="1" si="226"/>
        <v>123.675</v>
      </c>
      <c r="AS153" s="12">
        <f t="shared" ca="1" si="226"/>
        <v>123.675</v>
      </c>
      <c r="AT153" s="12">
        <f t="shared" ref="AT153" ca="1" si="227">SUM(AT152)</f>
        <v>123.675</v>
      </c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</row>
    <row r="154" spans="1:69" ht="13.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</row>
    <row r="155" spans="1:69" ht="13.5" customHeight="1" x14ac:dyDescent="0.3">
      <c r="A155" s="7"/>
      <c r="B155" s="5" t="s">
        <v>452</v>
      </c>
      <c r="C155" s="7"/>
      <c r="D155" s="7"/>
      <c r="E155" s="7"/>
      <c r="F155" s="7"/>
      <c r="G155" s="7"/>
      <c r="H155" s="7"/>
      <c r="I155" s="7"/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  <c r="AH155" s="7"/>
      <c r="AI155" s="12">
        <v>0</v>
      </c>
      <c r="AJ155" s="12">
        <v>0</v>
      </c>
      <c r="AK155" s="12">
        <v>0</v>
      </c>
      <c r="AL155" s="12"/>
      <c r="AM155" s="12">
        <v>0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0</v>
      </c>
      <c r="AT155" s="12">
        <v>0</v>
      </c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</row>
    <row r="156" spans="1:69" ht="13.5" customHeight="1" x14ac:dyDescent="0.3">
      <c r="A156" s="7"/>
      <c r="B156" s="5" t="s">
        <v>453</v>
      </c>
      <c r="C156" s="7"/>
      <c r="D156" s="7"/>
      <c r="E156" s="7"/>
      <c r="F156" s="7"/>
      <c r="G156" s="7"/>
      <c r="H156" s="7"/>
      <c r="I156" s="7"/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7"/>
      <c r="AI156" s="12">
        <v>0</v>
      </c>
      <c r="AJ156" s="12">
        <v>0</v>
      </c>
      <c r="AK156" s="12">
        <v>0</v>
      </c>
      <c r="AL156" s="12">
        <f t="shared" ref="AL156:AS156" ca="1" si="228">AL159</f>
        <v>82.932118403128513</v>
      </c>
      <c r="AM156" s="12">
        <f t="shared" ca="1" si="228"/>
        <v>102.19310290225512</v>
      </c>
      <c r="AN156" s="12">
        <f t="shared" ca="1" si="228"/>
        <v>123.675</v>
      </c>
      <c r="AO156" s="12">
        <f t="shared" ca="1" si="228"/>
        <v>123.675</v>
      </c>
      <c r="AP156" s="12">
        <f t="shared" ca="1" si="228"/>
        <v>123.675</v>
      </c>
      <c r="AQ156" s="12">
        <f t="shared" ca="1" si="228"/>
        <v>123.675</v>
      </c>
      <c r="AR156" s="12">
        <f t="shared" ca="1" si="228"/>
        <v>123.675</v>
      </c>
      <c r="AS156" s="12">
        <f t="shared" ca="1" si="228"/>
        <v>123.675</v>
      </c>
      <c r="AT156" s="12">
        <f t="shared" ref="AT156" ca="1" si="229">AT159</f>
        <v>123.675</v>
      </c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</row>
    <row r="157" spans="1:69" ht="13.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</row>
    <row r="158" spans="1:69" ht="13.5" customHeight="1" x14ac:dyDescent="0.3">
      <c r="A158" s="7"/>
      <c r="B158" s="5" t="s">
        <v>454</v>
      </c>
      <c r="C158" s="7"/>
      <c r="D158" s="7"/>
      <c r="E158" s="7"/>
      <c r="F158" s="7"/>
      <c r="G158" s="7"/>
      <c r="H158" s="7"/>
      <c r="I158" s="7"/>
      <c r="J158" s="12">
        <v>0</v>
      </c>
      <c r="K158" s="12">
        <f t="shared" ref="K158:R158" si="230">J159</f>
        <v>0</v>
      </c>
      <c r="L158" s="12">
        <f t="shared" si="230"/>
        <v>0</v>
      </c>
      <c r="M158" s="12">
        <f t="shared" si="230"/>
        <v>0</v>
      </c>
      <c r="N158" s="12">
        <f t="shared" si="230"/>
        <v>0</v>
      </c>
      <c r="O158" s="12">
        <f t="shared" si="230"/>
        <v>0</v>
      </c>
      <c r="P158" s="12">
        <f t="shared" si="230"/>
        <v>0</v>
      </c>
      <c r="Q158" s="12">
        <f t="shared" si="230"/>
        <v>0</v>
      </c>
      <c r="R158" s="12">
        <f t="shared" si="230"/>
        <v>0</v>
      </c>
      <c r="S158" s="12">
        <f>'Operating Model'!S50</f>
        <v>196.03482554578261</v>
      </c>
      <c r="T158" s="12">
        <f>'Operating Model'!T50</f>
        <v>195.54473848191816</v>
      </c>
      <c r="U158" s="12">
        <f>'Operating Model'!U50</f>
        <v>195.05587663571336</v>
      </c>
      <c r="V158" s="12">
        <f>'Operating Model'!V50</f>
        <v>194.56823694412407</v>
      </c>
      <c r="W158" s="12">
        <f>'Operating Model'!W50</f>
        <v>194.08181635176376</v>
      </c>
      <c r="X158" s="12">
        <f>'Operating Model'!X50</f>
        <v>193.59661181088435</v>
      </c>
      <c r="Y158" s="12">
        <f>'Operating Model'!Y50</f>
        <v>164.07312850972451</v>
      </c>
      <c r="Z158" s="12">
        <f>'Operating Model'!Z50</f>
        <v>163.66294568845021</v>
      </c>
      <c r="AA158" s="12">
        <f>'Operating Model'!AA50</f>
        <v>163.25378832422908</v>
      </c>
      <c r="AB158" s="12">
        <f>'Operating Model'!AB50</f>
        <v>162.8456538534185</v>
      </c>
      <c r="AC158" s="12">
        <f>'Operating Model'!AC50</f>
        <v>162.43853971878494</v>
      </c>
      <c r="AD158" s="12">
        <f>'Operating Model'!AD50</f>
        <v>162.03244336948796</v>
      </c>
      <c r="AE158" s="12">
        <f>'Operating Model'!AE50</f>
        <v>161.62736226106423</v>
      </c>
      <c r="AF158" s="12">
        <f>'Operating Model'!AF50</f>
        <v>161.22329385541158</v>
      </c>
      <c r="AG158" s="12">
        <f>'Operating Model'!AG50</f>
        <v>160.82023562077305</v>
      </c>
      <c r="AH158" s="7"/>
      <c r="AI158" s="12">
        <f t="shared" ref="AI158:AI159" si="231">INDEX($J158:$AF158,MATCH(AI$147,$J$147:$AF$147,0))</f>
        <v>0</v>
      </c>
      <c r="AJ158" s="12">
        <v>0</v>
      </c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</row>
    <row r="159" spans="1:69" ht="13.5" customHeight="1" x14ac:dyDescent="0.3">
      <c r="A159" s="7"/>
      <c r="B159" s="5" t="s">
        <v>455</v>
      </c>
      <c r="C159" s="7"/>
      <c r="D159" s="7"/>
      <c r="E159" s="7"/>
      <c r="F159" s="7"/>
      <c r="G159" s="7"/>
      <c r="H159" s="7"/>
      <c r="I159" s="7"/>
      <c r="J159" s="12">
        <f>J158</f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f>'Operating Model'!Q58</f>
        <v>196.77241425754903</v>
      </c>
      <c r="S159" s="12">
        <f>'Operating Model'!R57</f>
        <v>196.03482554578261</v>
      </c>
      <c r="T159" s="12">
        <f>'Operating Model'!S57</f>
        <v>195.54473848191816</v>
      </c>
      <c r="U159" s="12">
        <f>'Operating Model'!T57</f>
        <v>195.05587663571336</v>
      </c>
      <c r="V159" s="12">
        <f>'Operating Model'!U57</f>
        <v>194.56823694412407</v>
      </c>
      <c r="W159" s="12">
        <f>'Operating Model'!V57</f>
        <v>194.08181635176376</v>
      </c>
      <c r="X159" s="12">
        <f>'Operating Model'!W57</f>
        <v>193.59661181088435</v>
      </c>
      <c r="Y159" s="12">
        <f>'Operating Model'!X57</f>
        <v>164.07312850972451</v>
      </c>
      <c r="Z159" s="12">
        <f>'Operating Model'!Y57</f>
        <v>163.66294568845021</v>
      </c>
      <c r="AA159" s="12">
        <f>'Operating Model'!Z57</f>
        <v>163.25378832422908</v>
      </c>
      <c r="AB159" s="12">
        <f>'Operating Model'!AA57</f>
        <v>162.8456538534185</v>
      </c>
      <c r="AC159" s="12">
        <f>'Operating Model'!AB57</f>
        <v>162.43853971878494</v>
      </c>
      <c r="AD159" s="12">
        <f>'Operating Model'!AC57</f>
        <v>162.03244336948796</v>
      </c>
      <c r="AE159" s="12">
        <f>'Operating Model'!AD57</f>
        <v>161.62736226106423</v>
      </c>
      <c r="AF159" s="12">
        <f>'Operating Model'!AE57</f>
        <v>161.22329385541158</v>
      </c>
      <c r="AG159" s="12">
        <f>'Operating Model'!AF57</f>
        <v>160.82023562077305</v>
      </c>
      <c r="AH159" s="7"/>
      <c r="AI159" s="8">
        <f t="shared" si="231"/>
        <v>0</v>
      </c>
      <c r="AJ159" s="12">
        <f t="shared" ref="AJ159:AK159" si="232">AJ156</f>
        <v>0</v>
      </c>
      <c r="AK159" s="12">
        <f t="shared" si="232"/>
        <v>0</v>
      </c>
      <c r="AL159" s="12">
        <f ca="1">'Operating Model'!AL52</f>
        <v>82.932118403128513</v>
      </c>
      <c r="AM159" s="12">
        <f ca="1">'Operating Model'!AM52</f>
        <v>102.19310290225512</v>
      </c>
      <c r="AN159" s="12">
        <f ca="1">'Operating Model'!AN52</f>
        <v>123.675</v>
      </c>
      <c r="AO159" s="12">
        <f ca="1">'Operating Model'!AO52</f>
        <v>123.675</v>
      </c>
      <c r="AP159" s="12">
        <f ca="1">'Operating Model'!AP52</f>
        <v>123.675</v>
      </c>
      <c r="AQ159" s="12">
        <f ca="1">'Operating Model'!AQ52</f>
        <v>123.675</v>
      </c>
      <c r="AR159" s="12">
        <f ca="1">'Operating Model'!AR52</f>
        <v>123.675</v>
      </c>
      <c r="AS159" s="12">
        <f ca="1">'Operating Model'!AS52</f>
        <v>123.675</v>
      </c>
      <c r="AT159" s="12">
        <f ca="1">'Operating Model'!AT52</f>
        <v>123.675</v>
      </c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</row>
    <row r="160" spans="1:69" ht="13.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</row>
    <row r="161" spans="1:69" ht="13.5" customHeight="1" x14ac:dyDescent="0.3">
      <c r="A161" s="7"/>
      <c r="B161" s="5" t="s">
        <v>456</v>
      </c>
      <c r="C161" s="7"/>
      <c r="D161" s="7"/>
      <c r="E161" s="7"/>
      <c r="F161" s="7"/>
      <c r="G161" s="7"/>
      <c r="H161" s="7"/>
      <c r="I161" s="7"/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12">
        <v>0</v>
      </c>
      <c r="AE161" s="12">
        <v>0</v>
      </c>
      <c r="AF161" s="12">
        <v>0</v>
      </c>
      <c r="AG161" s="12">
        <v>0</v>
      </c>
      <c r="AH161" s="7"/>
      <c r="AI161" s="12">
        <f>AH162</f>
        <v>0</v>
      </c>
      <c r="AJ161" s="12">
        <f t="array" ref="AJ161">INDEX($J161:$AF161,MATCH(AJ$147,$J$147:$AF$147,0))</f>
        <v>0</v>
      </c>
      <c r="AK161" s="12">
        <f t="shared" ref="AK161:AT161" si="233">AJ162</f>
        <v>163.25378832422908</v>
      </c>
      <c r="AL161" s="12">
        <f t="shared" ca="1" si="233"/>
        <v>201.16948066253127</v>
      </c>
      <c r="AM161" s="12">
        <f t="shared" ca="1" si="233"/>
        <v>164.95897414327567</v>
      </c>
      <c r="AN161" s="12">
        <f t="shared" ca="1" si="233"/>
        <v>197.80689709774487</v>
      </c>
      <c r="AO161" s="12">
        <f t="shared" ca="1" si="233"/>
        <v>176.32499999999999</v>
      </c>
      <c r="AP161" s="12">
        <f t="shared" ca="1" si="233"/>
        <v>176.32499999999999</v>
      </c>
      <c r="AQ161" s="12">
        <f t="shared" ca="1" si="233"/>
        <v>176.32499999999999</v>
      </c>
      <c r="AR161" s="12">
        <f t="shared" ca="1" si="233"/>
        <v>176.32499999999999</v>
      </c>
      <c r="AS161" s="12">
        <f t="shared" ca="1" si="233"/>
        <v>176.32499999999999</v>
      </c>
      <c r="AT161" s="12">
        <f t="shared" ca="1" si="233"/>
        <v>176.32499999999999</v>
      </c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</row>
    <row r="162" spans="1:69" ht="13.5" customHeight="1" x14ac:dyDescent="0.3">
      <c r="A162" s="7"/>
      <c r="B162" s="5" t="s">
        <v>457</v>
      </c>
      <c r="C162" s="7"/>
      <c r="D162" s="7"/>
      <c r="E162" s="7"/>
      <c r="F162" s="7"/>
      <c r="G162" s="7"/>
      <c r="H162" s="7"/>
      <c r="I162" s="7"/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7"/>
      <c r="AI162" s="12">
        <f>'Operating Model'!AI57-AI156</f>
        <v>198.0074875078125</v>
      </c>
      <c r="AJ162" s="12">
        <f>'Operating Model'!AJ57-AJ156</f>
        <v>163.25378832422908</v>
      </c>
      <c r="AK162" s="12">
        <f ca="1">'Operating Model'!AK57-AK156</f>
        <v>201.16948066253127</v>
      </c>
      <c r="AL162" s="12">
        <f ca="1">'Operating Model'!AL57-AL156</f>
        <v>164.95897414327567</v>
      </c>
      <c r="AM162" s="12">
        <f ca="1">'Operating Model'!AM57-AM156</f>
        <v>197.80689709774487</v>
      </c>
      <c r="AN162" s="12">
        <f ca="1">'Operating Model'!AN57-AN156</f>
        <v>176.32499999999999</v>
      </c>
      <c r="AO162" s="12">
        <f ca="1">'Operating Model'!AO57-AO156</f>
        <v>176.32499999999999</v>
      </c>
      <c r="AP162" s="12">
        <f ca="1">'Operating Model'!AP57-AP156</f>
        <v>176.32499999999999</v>
      </c>
      <c r="AQ162" s="12">
        <f ca="1">'Operating Model'!AQ57-AQ156</f>
        <v>176.32499999999999</v>
      </c>
      <c r="AR162" s="12">
        <f ca="1">'Operating Model'!AR57-AR156</f>
        <v>176.32499999999999</v>
      </c>
      <c r="AS162" s="12">
        <f ca="1">'Operating Model'!AS57-AS156</f>
        <v>176.32499999999999</v>
      </c>
      <c r="AT162" s="12">
        <f ca="1">'Operating Model'!AT57-AT156</f>
        <v>176.32499999999999</v>
      </c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</row>
    <row r="163" spans="1:69" ht="13.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55"/>
      <c r="AM163" s="55"/>
      <c r="AN163" s="55"/>
      <c r="AO163" s="55"/>
      <c r="AP163" s="55"/>
      <c r="AQ163" s="55"/>
      <c r="AR163" s="55"/>
      <c r="AS163" s="55"/>
      <c r="AT163" s="55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</row>
    <row r="164" spans="1:69" ht="13.5" customHeight="1" x14ac:dyDescent="0.3">
      <c r="A164" s="7"/>
      <c r="B164" s="5" t="s">
        <v>458</v>
      </c>
      <c r="C164" s="7"/>
      <c r="D164" s="7"/>
      <c r="E164" s="7"/>
      <c r="F164" s="7"/>
      <c r="G164" s="7"/>
      <c r="H164" s="7"/>
      <c r="I164" s="7"/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7"/>
      <c r="AI164" s="12">
        <f t="shared" ref="AI164:AJ164" si="234">INDEX($J164:$AF164,MATCH(AI$147,$J$147:$AF$147,0))</f>
        <v>0</v>
      </c>
      <c r="AJ164" s="12">
        <f t="shared" si="234"/>
        <v>0</v>
      </c>
      <c r="AK164" s="12">
        <f t="shared" ref="AK164:AT164" si="235">AJ166</f>
        <v>0</v>
      </c>
      <c r="AL164" s="12">
        <f t="shared" si="235"/>
        <v>0</v>
      </c>
      <c r="AM164" s="12">
        <f t="shared" ca="1" si="235"/>
        <v>0</v>
      </c>
      <c r="AN164" s="12">
        <f t="shared" ca="1" si="235"/>
        <v>0</v>
      </c>
      <c r="AO164" s="12">
        <f t="shared" ca="1" si="235"/>
        <v>0</v>
      </c>
      <c r="AP164" s="12">
        <f t="shared" ca="1" si="235"/>
        <v>0</v>
      </c>
      <c r="AQ164" s="12">
        <f t="shared" ca="1" si="235"/>
        <v>0</v>
      </c>
      <c r="AR164" s="12">
        <f t="shared" ca="1" si="235"/>
        <v>0</v>
      </c>
      <c r="AS164" s="12">
        <f t="shared" ca="1" si="235"/>
        <v>0</v>
      </c>
      <c r="AT164" s="12">
        <f t="shared" ca="1" si="235"/>
        <v>0</v>
      </c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</row>
    <row r="165" spans="1:69" ht="13.5" customHeight="1" x14ac:dyDescent="0.3">
      <c r="A165" s="7"/>
      <c r="B165" s="5"/>
      <c r="C165" s="7" t="s">
        <v>459</v>
      </c>
      <c r="D165" s="7"/>
      <c r="E165" s="7"/>
      <c r="F165" s="7"/>
      <c r="G165" s="7"/>
      <c r="H165" s="7"/>
      <c r="I165" s="7"/>
      <c r="J165" s="12">
        <f t="shared" ref="J165:Z165" si="236">J164</f>
        <v>0</v>
      </c>
      <c r="K165" s="12">
        <f t="shared" si="236"/>
        <v>0</v>
      </c>
      <c r="L165" s="12">
        <f t="shared" si="236"/>
        <v>0</v>
      </c>
      <c r="M165" s="12">
        <f t="shared" si="236"/>
        <v>0</v>
      </c>
      <c r="N165" s="12">
        <f t="shared" si="236"/>
        <v>0</v>
      </c>
      <c r="O165" s="12">
        <f t="shared" si="236"/>
        <v>0</v>
      </c>
      <c r="P165" s="12">
        <f t="shared" si="236"/>
        <v>0</v>
      </c>
      <c r="Q165" s="12">
        <f t="shared" si="236"/>
        <v>0</v>
      </c>
      <c r="R165" s="12">
        <f t="shared" si="236"/>
        <v>0</v>
      </c>
      <c r="S165" s="12">
        <f t="shared" si="236"/>
        <v>0</v>
      </c>
      <c r="T165" s="12">
        <f t="shared" si="236"/>
        <v>0</v>
      </c>
      <c r="U165" s="12">
        <f t="shared" si="236"/>
        <v>0</v>
      </c>
      <c r="V165" s="12">
        <f t="shared" si="236"/>
        <v>0</v>
      </c>
      <c r="W165" s="12">
        <f t="shared" si="236"/>
        <v>0</v>
      </c>
      <c r="X165" s="12">
        <f t="shared" si="236"/>
        <v>0</v>
      </c>
      <c r="Y165" s="12">
        <f t="shared" si="236"/>
        <v>0</v>
      </c>
      <c r="Z165" s="12">
        <f t="shared" si="236"/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7"/>
      <c r="AI165" s="12">
        <f t="shared" ref="AI165:AJ165" si="237">INDEX($J165:$AF165,MATCH(AI$147,$J$147:$AF$147,0))</f>
        <v>0</v>
      </c>
      <c r="AJ165" s="12">
        <f t="shared" si="237"/>
        <v>0</v>
      </c>
      <c r="AK165" s="12">
        <f>'Operating Model'!AK91+'Operating Model'!AK92+'Operating Model'!AK93</f>
        <v>66.497788348381491</v>
      </c>
      <c r="AL165" s="12">
        <f ca="1">'Operating Model'!AL91+'Operating Model'!AL92+'Operating Model'!AL93</f>
        <v>77.357001531856085</v>
      </c>
      <c r="AM165" s="12">
        <f ca="1">'Operating Model'!AM91+'Operating Model'!AM92+'Operating Model'!AM93</f>
        <v>95.323165137629672</v>
      </c>
      <c r="AN165" s="12">
        <f ca="1">'Operating Model'!AN91+'Operating Model'!AN92+'Operating Model'!AN93</f>
        <v>115.57377244222739</v>
      </c>
      <c r="AO165" s="12">
        <f ca="1">'Operating Model'!AO91+'Operating Model'!AO92+'Operating Model'!AO93</f>
        <v>118.075</v>
      </c>
      <c r="AP165" s="12">
        <f ca="1">'Operating Model'!AP91+'Operating Model'!AP92+'Operating Model'!AP93</f>
        <v>118.075</v>
      </c>
      <c r="AQ165" s="12">
        <f ca="1">'Operating Model'!AQ91+'Operating Model'!AQ92+'Operating Model'!AQ93</f>
        <v>118.075</v>
      </c>
      <c r="AR165" s="12">
        <f ca="1">'Operating Model'!AR91+'Operating Model'!AR92+'Operating Model'!AR93</f>
        <v>118.075</v>
      </c>
      <c r="AS165" s="12">
        <f ca="1">'Operating Model'!AS91+'Operating Model'!AS92+'Operating Model'!AS93</f>
        <v>118.075</v>
      </c>
      <c r="AT165" s="12">
        <f ca="1">'Operating Model'!AT91+'Operating Model'!AT92+'Operating Model'!AT93</f>
        <v>118.075</v>
      </c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</row>
    <row r="166" spans="1:69" ht="13.5" customHeight="1" x14ac:dyDescent="0.3">
      <c r="A166" s="7"/>
      <c r="B166" s="5" t="s">
        <v>460</v>
      </c>
      <c r="C166" s="7"/>
      <c r="D166" s="7"/>
      <c r="E166" s="7"/>
      <c r="F166" s="7"/>
      <c r="G166" s="7"/>
      <c r="H166" s="7"/>
      <c r="I166" s="7"/>
      <c r="J166" s="12">
        <f t="shared" ref="J166:Y166" si="238">J165</f>
        <v>0</v>
      </c>
      <c r="K166" s="12">
        <f t="shared" si="238"/>
        <v>0</v>
      </c>
      <c r="L166" s="12">
        <f t="shared" si="238"/>
        <v>0</v>
      </c>
      <c r="M166" s="12">
        <f t="shared" si="238"/>
        <v>0</v>
      </c>
      <c r="N166" s="12">
        <f t="shared" si="238"/>
        <v>0</v>
      </c>
      <c r="O166" s="12">
        <f t="shared" si="238"/>
        <v>0</v>
      </c>
      <c r="P166" s="12">
        <f t="shared" si="238"/>
        <v>0</v>
      </c>
      <c r="Q166" s="12">
        <f t="shared" si="238"/>
        <v>0</v>
      </c>
      <c r="R166" s="12">
        <f t="shared" si="238"/>
        <v>0</v>
      </c>
      <c r="S166" s="12">
        <f t="shared" si="238"/>
        <v>0</v>
      </c>
      <c r="T166" s="12">
        <f t="shared" si="238"/>
        <v>0</v>
      </c>
      <c r="U166" s="12">
        <f t="shared" si="238"/>
        <v>0</v>
      </c>
      <c r="V166" s="12">
        <f t="shared" si="238"/>
        <v>0</v>
      </c>
      <c r="W166" s="12">
        <f t="shared" si="238"/>
        <v>0</v>
      </c>
      <c r="X166" s="12">
        <f t="shared" si="238"/>
        <v>0</v>
      </c>
      <c r="Y166" s="12">
        <f t="shared" si="238"/>
        <v>0</v>
      </c>
      <c r="Z166" s="12">
        <f>'Operating Model'!Z96</f>
        <v>0</v>
      </c>
      <c r="AA166" s="12">
        <f>'Operating Model'!AA96</f>
        <v>69.382860037797357</v>
      </c>
      <c r="AB166" s="12">
        <f>'Operating Model'!AB96</f>
        <v>69.209402887702865</v>
      </c>
      <c r="AC166" s="12">
        <f>'Operating Model'!AC96</f>
        <v>69.036379380483609</v>
      </c>
      <c r="AD166" s="12">
        <f>'Operating Model'!AD96</f>
        <v>68.863788432032393</v>
      </c>
      <c r="AE166" s="12">
        <f>'Operating Model'!AE96</f>
        <v>68.691628960952315</v>
      </c>
      <c r="AF166" s="12">
        <f>'Operating Model'!AF96</f>
        <v>68.519899888549929</v>
      </c>
      <c r="AG166" s="12">
        <f>'Operating Model'!AG96</f>
        <v>68.348600138828559</v>
      </c>
      <c r="AH166" s="7"/>
      <c r="AI166" s="12">
        <f t="shared" ref="AI166:AJ166" si="239">INDEX($J166:$AF166,MATCH(AI$147,$J$147:$AF$147,0))</f>
        <v>0</v>
      </c>
      <c r="AJ166" s="12">
        <f t="shared" si="239"/>
        <v>0</v>
      </c>
      <c r="AK166" s="12">
        <f>'Operating Model'!AK96</f>
        <v>0</v>
      </c>
      <c r="AL166" s="12">
        <f ca="1">'Operating Model'!AL96</f>
        <v>0</v>
      </c>
      <c r="AM166" s="12">
        <f ca="1">'Operating Model'!AM96</f>
        <v>0</v>
      </c>
      <c r="AN166" s="12">
        <f ca="1">'Operating Model'!AN96</f>
        <v>0</v>
      </c>
      <c r="AO166" s="12">
        <f ca="1">'Operating Model'!AO96</f>
        <v>0</v>
      </c>
      <c r="AP166" s="12">
        <f ca="1">'Operating Model'!AP96</f>
        <v>0</v>
      </c>
      <c r="AQ166" s="12">
        <f ca="1">'Operating Model'!AQ96</f>
        <v>0</v>
      </c>
      <c r="AR166" s="12">
        <f ca="1">'Operating Model'!AR96</f>
        <v>0</v>
      </c>
      <c r="AS166" s="12">
        <f ca="1">'Operating Model'!AS96</f>
        <v>0</v>
      </c>
      <c r="AT166" s="12">
        <f ca="1">'Operating Model'!AT96</f>
        <v>0</v>
      </c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</row>
    <row r="167" spans="1:69" ht="13.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</row>
    <row r="168" spans="1:69" ht="13.5" customHeight="1" x14ac:dyDescent="0.3">
      <c r="A168" s="7"/>
      <c r="B168" s="14" t="s">
        <v>163</v>
      </c>
      <c r="C168" s="7"/>
      <c r="D168" s="7"/>
      <c r="E168" s="7"/>
      <c r="F168" s="7"/>
      <c r="G168" s="7"/>
      <c r="H168" s="7"/>
      <c r="I168" s="7"/>
      <c r="J168" s="12">
        <f>'Operating Model'!J60</f>
        <v>0</v>
      </c>
      <c r="K168" s="12">
        <f>'Operating Model'!K60</f>
        <v>14</v>
      </c>
      <c r="L168" s="12">
        <f>'Operating Model'!L60</f>
        <v>14</v>
      </c>
      <c r="M168" s="12">
        <f>'Operating Model'!M60</f>
        <v>14</v>
      </c>
      <c r="N168" s="12">
        <f>'Operating Model'!N60</f>
        <v>14</v>
      </c>
      <c r="O168" s="12">
        <f>'Operating Model'!O60</f>
        <v>14</v>
      </c>
      <c r="P168" s="12">
        <f>'Operating Model'!P60</f>
        <v>14</v>
      </c>
      <c r="Q168" s="12">
        <f>'Operating Model'!Q60</f>
        <v>14</v>
      </c>
      <c r="R168" s="12">
        <f>'Operating Model'!R60</f>
        <v>14</v>
      </c>
      <c r="S168" s="12">
        <f>'Operating Model'!S60</f>
        <v>14</v>
      </c>
      <c r="T168" s="12">
        <f>'Operating Model'!T60</f>
        <v>14</v>
      </c>
      <c r="U168" s="12">
        <f>'Operating Model'!U60</f>
        <v>14</v>
      </c>
      <c r="V168" s="12">
        <f>'Operating Model'!V60</f>
        <v>14</v>
      </c>
      <c r="W168" s="12">
        <f>'Operating Model'!W60</f>
        <v>14</v>
      </c>
      <c r="X168" s="12">
        <f>'Operating Model'!X60</f>
        <v>14</v>
      </c>
      <c r="Y168" s="12">
        <f>'Operating Model'!Y60</f>
        <v>14</v>
      </c>
      <c r="Z168" s="12">
        <f>'Operating Model'!Z60</f>
        <v>14</v>
      </c>
      <c r="AA168" s="12">
        <f>'Operating Model'!AA60</f>
        <v>14</v>
      </c>
      <c r="AB168" s="12">
        <f>'Operating Model'!AB60</f>
        <v>13.965</v>
      </c>
      <c r="AC168" s="12">
        <f>'Operating Model'!AC60</f>
        <v>13.930087499999999</v>
      </c>
      <c r="AD168" s="12">
        <f>'Operating Model'!AD60</f>
        <v>13.895262281249998</v>
      </c>
      <c r="AE168" s="12">
        <f>'Operating Model'!AE60</f>
        <v>13.860524125546874</v>
      </c>
      <c r="AF168" s="12">
        <f>'Operating Model'!AF60</f>
        <v>13.825872815233007</v>
      </c>
      <c r="AG168" s="12">
        <f>'Operating Model'!AG60</f>
        <v>13.791308133194924</v>
      </c>
      <c r="AH168" s="7"/>
      <c r="AI168" s="12">
        <f t="shared" ref="AI168:AJ168" si="240">INDEX($J168:$AF168,MATCH(AI$147,$J$147:$AF$147,0))</f>
        <v>14</v>
      </c>
      <c r="AJ168" s="12">
        <f t="shared" si="240"/>
        <v>14</v>
      </c>
      <c r="AK168" s="12">
        <f>'Operating Model'!AK60</f>
        <v>14</v>
      </c>
      <c r="AL168" s="12">
        <f>'Operating Model'!AL60</f>
        <v>10.883585888281942</v>
      </c>
      <c r="AM168" s="12">
        <f ca="1">'Operating Model'!AM60</f>
        <v>13.411298710835423</v>
      </c>
      <c r="AN168" s="12">
        <f ca="1">'Operating Model'!AN60</f>
        <v>16.526072836426952</v>
      </c>
      <c r="AO168" s="12">
        <f ca="1">'Operating Model'!AO60</f>
        <v>20.000000000000007</v>
      </c>
      <c r="AP168" s="12">
        <f ca="1">'Operating Model'!AP60</f>
        <v>20.000000000000007</v>
      </c>
      <c r="AQ168" s="12">
        <f ca="1">'Operating Model'!AQ60</f>
        <v>20.000000000000007</v>
      </c>
      <c r="AR168" s="12">
        <f ca="1">'Operating Model'!AR60</f>
        <v>20.000000000000007</v>
      </c>
      <c r="AS168" s="12">
        <f ca="1">'Operating Model'!AS60</f>
        <v>20.000000000000007</v>
      </c>
      <c r="AT168" s="12">
        <f ca="1">'Operating Model'!AT60</f>
        <v>20.000000000000007</v>
      </c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</row>
    <row r="169" spans="1:69" ht="13.5" customHeight="1" x14ac:dyDescent="0.3">
      <c r="A169" s="7"/>
      <c r="B169" s="14" t="s">
        <v>42</v>
      </c>
      <c r="C169" s="7"/>
      <c r="D169" s="7"/>
      <c r="E169" s="7"/>
      <c r="F169" s="7"/>
      <c r="G169" s="7"/>
      <c r="H169" s="7"/>
      <c r="I169" s="7"/>
      <c r="J169" s="12">
        <f>'Operating Model'!J66</f>
        <v>14</v>
      </c>
      <c r="K169" s="12">
        <f>'Operating Model'!K66</f>
        <v>14</v>
      </c>
      <c r="L169" s="12">
        <f>'Operating Model'!L66</f>
        <v>14</v>
      </c>
      <c r="M169" s="12">
        <f>'Operating Model'!M66</f>
        <v>14</v>
      </c>
      <c r="N169" s="12">
        <f>'Operating Model'!N66</f>
        <v>14</v>
      </c>
      <c r="O169" s="12">
        <f>'Operating Model'!O66</f>
        <v>14</v>
      </c>
      <c r="P169" s="12">
        <f>'Operating Model'!P66</f>
        <v>14</v>
      </c>
      <c r="Q169" s="12">
        <f>'Operating Model'!Q66</f>
        <v>14</v>
      </c>
      <c r="R169" s="12">
        <f>'Operating Model'!R66</f>
        <v>14</v>
      </c>
      <c r="S169" s="12">
        <f>'Operating Model'!S66</f>
        <v>14</v>
      </c>
      <c r="T169" s="12">
        <f>'Operating Model'!T66</f>
        <v>14</v>
      </c>
      <c r="U169" s="12">
        <f>'Operating Model'!U66</f>
        <v>14</v>
      </c>
      <c r="V169" s="12">
        <f>'Operating Model'!V66</f>
        <v>14</v>
      </c>
      <c r="W169" s="12">
        <f>'Operating Model'!W66</f>
        <v>14</v>
      </c>
      <c r="X169" s="12">
        <f>'Operating Model'!X66</f>
        <v>14</v>
      </c>
      <c r="Y169" s="12">
        <f>'Operating Model'!Y66</f>
        <v>14</v>
      </c>
      <c r="Z169" s="12">
        <f>'Operating Model'!Z66</f>
        <v>14</v>
      </c>
      <c r="AA169" s="12">
        <f>'Operating Model'!AA66</f>
        <v>13.965</v>
      </c>
      <c r="AB169" s="12">
        <f>'Operating Model'!AB66</f>
        <v>13.930087499999999</v>
      </c>
      <c r="AC169" s="12">
        <f>'Operating Model'!AC66</f>
        <v>13.895262281249998</v>
      </c>
      <c r="AD169" s="12">
        <f>'Operating Model'!AD66</f>
        <v>13.860524125546874</v>
      </c>
      <c r="AE169" s="12">
        <f>'Operating Model'!AE66</f>
        <v>13.825872815233007</v>
      </c>
      <c r="AF169" s="12">
        <f>'Operating Model'!AF66</f>
        <v>13.791308133194924</v>
      </c>
      <c r="AG169" s="12">
        <f>'Operating Model'!AG66</f>
        <v>13.756829862861936</v>
      </c>
      <c r="AH169" s="7"/>
      <c r="AI169" s="12">
        <f t="shared" ref="AI169:AJ169" si="241">INDEX($J169:$AF169,MATCH(AI$147,$J$147:$AF$147,0))</f>
        <v>14</v>
      </c>
      <c r="AJ169" s="12">
        <f t="shared" si="241"/>
        <v>14</v>
      </c>
      <c r="AK169" s="12">
        <f>'Operating Model'!AK66</f>
        <v>10.883585888281942</v>
      </c>
      <c r="AL169" s="12">
        <f ca="1">'Operating Model'!AL66</f>
        <v>13.411298710835423</v>
      </c>
      <c r="AM169" s="12">
        <f ca="1">'Operating Model'!AM66</f>
        <v>16.526072836426952</v>
      </c>
      <c r="AN169" s="12">
        <f ca="1">'Operating Model'!AN66</f>
        <v>20.000000000000007</v>
      </c>
      <c r="AO169" s="12">
        <f ca="1">'Operating Model'!AO66</f>
        <v>20.000000000000007</v>
      </c>
      <c r="AP169" s="12">
        <f ca="1">'Operating Model'!AP66</f>
        <v>20.000000000000007</v>
      </c>
      <c r="AQ169" s="12">
        <f ca="1">'Operating Model'!AQ66</f>
        <v>20.000000000000007</v>
      </c>
      <c r="AR169" s="12">
        <f ca="1">'Operating Model'!AR66</f>
        <v>20.000000000000007</v>
      </c>
      <c r="AS169" s="12">
        <f ca="1">'Operating Model'!AS66</f>
        <v>20.000000000000007</v>
      </c>
      <c r="AT169" s="12">
        <f ca="1">'Operating Model'!AT66</f>
        <v>20.000000000000007</v>
      </c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</row>
    <row r="170" spans="1:69" ht="13.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</row>
    <row r="171" spans="1:69" ht="13.5" customHeight="1" x14ac:dyDescent="0.3">
      <c r="A171" s="7"/>
      <c r="B171" s="5" t="s">
        <v>463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55">
        <f t="shared" ref="AI171:AS171" ca="1" si="242">AI149+AI151+AI158+AI164+AI168</f>
        <v>14</v>
      </c>
      <c r="AJ171" s="55">
        <f t="shared" ca="1" si="242"/>
        <v>14</v>
      </c>
      <c r="AK171" s="55">
        <f t="shared" si="242"/>
        <v>152.76572007559471</v>
      </c>
      <c r="AL171" s="55">
        <f t="shared" ca="1" si="242"/>
        <v>249.17901868809696</v>
      </c>
      <c r="AM171" s="55">
        <f t="shared" ca="1" si="242"/>
        <v>307.05084577840745</v>
      </c>
      <c r="AN171" s="55">
        <f t="shared" ca="1" si="242"/>
        <v>373.71917573868211</v>
      </c>
      <c r="AO171" s="55">
        <f t="shared" ca="1" si="242"/>
        <v>398.67500000000001</v>
      </c>
      <c r="AP171" s="55">
        <f t="shared" ca="1" si="242"/>
        <v>398.67500000000001</v>
      </c>
      <c r="AQ171" s="55">
        <f t="shared" ca="1" si="242"/>
        <v>398.67500000000001</v>
      </c>
      <c r="AR171" s="55">
        <f t="shared" ca="1" si="242"/>
        <v>398.67500000000001</v>
      </c>
      <c r="AS171" s="55">
        <f t="shared" ca="1" si="242"/>
        <v>398.67500000000001</v>
      </c>
      <c r="AT171" s="55">
        <f t="shared" ref="AT171" ca="1" si="243">AT149+AT151+AT158+AT164+AT168</f>
        <v>398.67500000000001</v>
      </c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</row>
    <row r="172" spans="1:69" ht="13.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55">
        <f ca="1">AI149+AI153+AI159+AI166+AI169</f>
        <v>212.25561719140626</v>
      </c>
      <c r="AJ172" s="55">
        <f t="shared" ref="AJ172:AT172" ca="1" si="244">AJ149+AJ153+AJ159+AJ166+AJ169</f>
        <v>14</v>
      </c>
      <c r="AK172" s="55">
        <f t="shared" ca="1" si="244"/>
        <v>216.95068020054009</v>
      </c>
      <c r="AL172" s="55">
        <f t="shared" ca="1" si="244"/>
        <v>350.26959408024402</v>
      </c>
      <c r="AM172" s="55">
        <f t="shared" ca="1" si="244"/>
        <v>431.61970730538076</v>
      </c>
      <c r="AN172" s="55">
        <f t="shared" ca="1" si="244"/>
        <v>522.35</v>
      </c>
      <c r="AO172" s="55">
        <f t="shared" ca="1" si="244"/>
        <v>522.35</v>
      </c>
      <c r="AP172" s="55">
        <f t="shared" ca="1" si="244"/>
        <v>522.35</v>
      </c>
      <c r="AQ172" s="55">
        <f t="shared" ca="1" si="244"/>
        <v>522.35</v>
      </c>
      <c r="AR172" s="55">
        <f t="shared" ca="1" si="244"/>
        <v>522.35</v>
      </c>
      <c r="AS172" s="55">
        <f t="shared" ca="1" si="244"/>
        <v>522.35</v>
      </c>
      <c r="AT172" s="55">
        <f t="shared" ca="1" si="244"/>
        <v>522.35</v>
      </c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</row>
    <row r="173" spans="1:69" ht="13.5" customHeight="1" x14ac:dyDescent="0.3">
      <c r="A173" s="80" t="s">
        <v>412</v>
      </c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</row>
    <row r="174" spans="1:69" ht="13.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9">
        <f t="shared" ref="J174:AG174" si="245">J146</f>
        <v>46265</v>
      </c>
      <c r="K174" s="79">
        <f t="shared" si="245"/>
        <v>46295</v>
      </c>
      <c r="L174" s="79">
        <f t="shared" si="245"/>
        <v>46326</v>
      </c>
      <c r="M174" s="79">
        <f t="shared" si="245"/>
        <v>46356</v>
      </c>
      <c r="N174" s="79">
        <f t="shared" si="245"/>
        <v>46387</v>
      </c>
      <c r="O174" s="79">
        <f t="shared" si="245"/>
        <v>46418</v>
      </c>
      <c r="P174" s="79">
        <f t="shared" si="245"/>
        <v>46446</v>
      </c>
      <c r="Q174" s="79">
        <f t="shared" si="245"/>
        <v>46477</v>
      </c>
      <c r="R174" s="79">
        <f t="shared" si="245"/>
        <v>46507</v>
      </c>
      <c r="S174" s="79">
        <f t="shared" si="245"/>
        <v>46538</v>
      </c>
      <c r="T174" s="79">
        <f t="shared" si="245"/>
        <v>46568</v>
      </c>
      <c r="U174" s="79">
        <f t="shared" si="245"/>
        <v>46599</v>
      </c>
      <c r="V174" s="79">
        <f t="shared" si="245"/>
        <v>46630</v>
      </c>
      <c r="W174" s="79">
        <f t="shared" si="245"/>
        <v>46660</v>
      </c>
      <c r="X174" s="79">
        <f t="shared" si="245"/>
        <v>46691</v>
      </c>
      <c r="Y174" s="79">
        <f t="shared" si="245"/>
        <v>46721</v>
      </c>
      <c r="Z174" s="79">
        <f t="shared" si="245"/>
        <v>46752</v>
      </c>
      <c r="AA174" s="79">
        <f t="shared" si="245"/>
        <v>46783</v>
      </c>
      <c r="AB174" s="79">
        <f t="shared" si="245"/>
        <v>46812</v>
      </c>
      <c r="AC174" s="79">
        <f t="shared" si="245"/>
        <v>46843</v>
      </c>
      <c r="AD174" s="79">
        <f t="shared" si="245"/>
        <v>46873</v>
      </c>
      <c r="AE174" s="79">
        <f t="shared" si="245"/>
        <v>46904</v>
      </c>
      <c r="AF174" s="79">
        <f t="shared" si="245"/>
        <v>46934</v>
      </c>
      <c r="AG174" s="79">
        <f t="shared" si="245"/>
        <v>46965</v>
      </c>
      <c r="AH174" s="7"/>
      <c r="AI174" s="6">
        <f t="shared" ref="AI174:AS174" si="246">AI146</f>
        <v>2026</v>
      </c>
      <c r="AJ174" s="6">
        <f t="shared" si="246"/>
        <v>2027</v>
      </c>
      <c r="AK174" s="6">
        <f t="shared" si="246"/>
        <v>2028</v>
      </c>
      <c r="AL174" s="6">
        <f t="shared" si="246"/>
        <v>2029</v>
      </c>
      <c r="AM174" s="6">
        <f t="shared" si="246"/>
        <v>2030</v>
      </c>
      <c r="AN174" s="6">
        <f t="shared" si="246"/>
        <v>2031</v>
      </c>
      <c r="AO174" s="6">
        <f t="shared" si="246"/>
        <v>2032</v>
      </c>
      <c r="AP174" s="6">
        <f t="shared" si="246"/>
        <v>2033</v>
      </c>
      <c r="AQ174" s="6">
        <f t="shared" si="246"/>
        <v>2034</v>
      </c>
      <c r="AR174" s="6">
        <f t="shared" si="246"/>
        <v>2035</v>
      </c>
      <c r="AS174" s="6">
        <f t="shared" si="246"/>
        <v>2036</v>
      </c>
      <c r="AT174" s="6">
        <f t="shared" ref="AT174" si="247">AT146</f>
        <v>2037</v>
      </c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</row>
    <row r="175" spans="1:69" ht="13.5" customHeight="1" x14ac:dyDescent="0.3">
      <c r="A175" s="7"/>
      <c r="B175" s="14" t="s">
        <v>461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</row>
    <row r="176" spans="1:69" ht="13.5" customHeight="1" x14ac:dyDescent="0.3">
      <c r="A176" s="7"/>
      <c r="B176" s="14"/>
      <c r="C176" s="7" t="s">
        <v>462</v>
      </c>
      <c r="D176" s="7"/>
      <c r="E176" s="7"/>
      <c r="F176" s="7"/>
      <c r="G176" s="7"/>
      <c r="H176" s="7"/>
      <c r="I176" s="7"/>
      <c r="J176" s="352"/>
      <c r="K176" s="352"/>
      <c r="L176" s="352"/>
      <c r="M176" s="352"/>
      <c r="N176" s="352"/>
      <c r="O176" s="352"/>
      <c r="P176" s="352"/>
      <c r="Q176" s="352"/>
      <c r="R176" s="352"/>
      <c r="S176" s="352"/>
      <c r="T176" s="352"/>
      <c r="U176" s="352"/>
      <c r="V176" s="352"/>
      <c r="W176" s="352"/>
      <c r="X176" s="352"/>
      <c r="Y176" s="352"/>
      <c r="Z176" s="352"/>
      <c r="AA176" s="352"/>
      <c r="AB176" s="352"/>
      <c r="AC176" s="352"/>
      <c r="AD176" s="352"/>
      <c r="AE176" s="352"/>
      <c r="AF176" s="352"/>
      <c r="AG176" s="352"/>
      <c r="AH176" s="7"/>
      <c r="AI176" s="12">
        <f t="shared" ref="AI176:AS176" si="248">AI165</f>
        <v>0</v>
      </c>
      <c r="AJ176" s="12">
        <f t="shared" si="248"/>
        <v>0</v>
      </c>
      <c r="AK176" s="12">
        <f t="shared" si="248"/>
        <v>66.497788348381491</v>
      </c>
      <c r="AL176" s="12">
        <f t="shared" ca="1" si="248"/>
        <v>77.357001531856085</v>
      </c>
      <c r="AM176" s="12">
        <f t="shared" ca="1" si="248"/>
        <v>95.323165137629672</v>
      </c>
      <c r="AN176" s="12">
        <f t="shared" ca="1" si="248"/>
        <v>115.57377244222739</v>
      </c>
      <c r="AO176" s="12">
        <f t="shared" ca="1" si="248"/>
        <v>118.075</v>
      </c>
      <c r="AP176" s="12">
        <f t="shared" ca="1" si="248"/>
        <v>118.075</v>
      </c>
      <c r="AQ176" s="12">
        <f t="shared" ca="1" si="248"/>
        <v>118.075</v>
      </c>
      <c r="AR176" s="12">
        <f t="shared" ca="1" si="248"/>
        <v>118.075</v>
      </c>
      <c r="AS176" s="12">
        <f t="shared" ca="1" si="248"/>
        <v>118.075</v>
      </c>
      <c r="AT176" s="12">
        <f t="shared" ref="AT176" ca="1" si="249">AT165</f>
        <v>118.075</v>
      </c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</row>
    <row r="177" spans="1:69" ht="13.5" customHeight="1" x14ac:dyDescent="0.3">
      <c r="A177" s="7"/>
      <c r="B177" s="5"/>
      <c r="C177" s="198" t="s">
        <v>463</v>
      </c>
      <c r="D177" s="7"/>
      <c r="E177" s="7"/>
      <c r="F177" s="7"/>
      <c r="G177" s="7"/>
      <c r="H177" s="7"/>
      <c r="I177" s="7"/>
      <c r="J177" s="118">
        <f>'Operating Model'!J153</f>
        <v>0</v>
      </c>
      <c r="K177" s="118">
        <f ca="1">'Operating Model'!K153</f>
        <v>0</v>
      </c>
      <c r="L177" s="118">
        <f ca="1">'Operating Model'!L153</f>
        <v>0</v>
      </c>
      <c r="M177" s="118">
        <f ca="1">'Operating Model'!M153</f>
        <v>0</v>
      </c>
      <c r="N177" s="118">
        <f ca="1">'Operating Model'!N153</f>
        <v>0</v>
      </c>
      <c r="O177" s="118">
        <f ca="1">'Operating Model'!O153</f>
        <v>0</v>
      </c>
      <c r="P177" s="118">
        <f ca="1">'Operating Model'!P153</f>
        <v>0</v>
      </c>
      <c r="Q177" s="118">
        <f ca="1">'Operating Model'!Q153</f>
        <v>0</v>
      </c>
      <c r="R177" s="118">
        <f ca="1">'Operating Model'!R153</f>
        <v>0</v>
      </c>
      <c r="S177" s="118">
        <f ca="1">'Operating Model'!S153</f>
        <v>0</v>
      </c>
      <c r="T177" s="118">
        <f ca="1">'Operating Model'!T153</f>
        <v>0</v>
      </c>
      <c r="U177" s="118">
        <f ca="1">'Operating Model'!U153</f>
        <v>0</v>
      </c>
      <c r="V177" s="118">
        <f ca="1">'Operating Model'!V153</f>
        <v>0</v>
      </c>
      <c r="W177" s="118">
        <f ca="1">'Operating Model'!W153</f>
        <v>0</v>
      </c>
      <c r="X177" s="118">
        <f ca="1">'Operating Model'!X153</f>
        <v>0</v>
      </c>
      <c r="Y177" s="118">
        <f ca="1">'Operating Model'!Y153</f>
        <v>0</v>
      </c>
      <c r="Z177" s="118">
        <f ca="1">'Operating Model'!Z153</f>
        <v>0</v>
      </c>
      <c r="AA177" s="118">
        <f ca="1">'Operating Model'!AA153</f>
        <v>0</v>
      </c>
      <c r="AB177" s="118">
        <f ca="1">'Operating Model'!AB153</f>
        <v>0</v>
      </c>
      <c r="AC177" s="118">
        <f ca="1">'Operating Model'!AC153</f>
        <v>0</v>
      </c>
      <c r="AD177" s="118">
        <f ca="1">'Operating Model'!AD153</f>
        <v>0</v>
      </c>
      <c r="AE177" s="118">
        <f ca="1">'Operating Model'!AE153</f>
        <v>0</v>
      </c>
      <c r="AF177" s="118">
        <f ca="1">'Operating Model'!AF153</f>
        <v>0</v>
      </c>
      <c r="AG177" s="118">
        <f ca="1">'Operating Model'!AG153</f>
        <v>0</v>
      </c>
      <c r="AH177" s="7"/>
      <c r="AI177" s="12">
        <f>'Operating Model'!AI146</f>
        <v>0</v>
      </c>
      <c r="AJ177" s="12">
        <f>'Operating Model'!AJ146</f>
        <v>0</v>
      </c>
      <c r="AK177" s="12">
        <f>'Operating Model'!AK146</f>
        <v>0</v>
      </c>
      <c r="AL177" s="12">
        <f>'Operating Model'!AL146</f>
        <v>0</v>
      </c>
      <c r="AM177" s="12">
        <f>'Operating Model'!AM146</f>
        <v>0</v>
      </c>
      <c r="AN177" s="12">
        <f>'Operating Model'!AN146</f>
        <v>0</v>
      </c>
      <c r="AO177" s="12">
        <f>'Operating Model'!AO146</f>
        <v>0</v>
      </c>
      <c r="AP177" s="12">
        <f>'Operating Model'!AP146</f>
        <v>0</v>
      </c>
      <c r="AQ177" s="12">
        <f>'Operating Model'!AQ146</f>
        <v>0</v>
      </c>
      <c r="AR177" s="12">
        <f>'Operating Model'!AR146</f>
        <v>0</v>
      </c>
      <c r="AS177" s="12">
        <f>'Operating Model'!AS146</f>
        <v>0</v>
      </c>
      <c r="AT177" s="12">
        <f>'Operating Model'!AT146</f>
        <v>0</v>
      </c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</row>
    <row r="178" spans="1:69" ht="13.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55">
        <f>'Operating Model'!AI104</f>
        <v>214</v>
      </c>
      <c r="AJ178" s="55">
        <f ca="1">'Operating Model'!AJ104</f>
        <v>212.0074875078125</v>
      </c>
      <c r="AK178" s="55">
        <f ca="1">'Operating Model'!AK104</f>
        <v>177.25378832422908</v>
      </c>
      <c r="AL178" s="55">
        <f ca="1">'Operating Model'!AL104</f>
        <v>212.05306655081321</v>
      </c>
      <c r="AM178" s="55">
        <f ca="1">'Operating Model'!AM104</f>
        <v>261.30239125723961</v>
      </c>
      <c r="AN178" s="55">
        <f ca="1">'Operating Model'!AN104</f>
        <v>316.52607283642698</v>
      </c>
      <c r="AO178" s="55">
        <f ca="1">'Operating Model'!AO104</f>
        <v>320</v>
      </c>
      <c r="AP178" s="55">
        <f ca="1">'Operating Model'!AP104</f>
        <v>320</v>
      </c>
      <c r="AQ178" s="55">
        <f ca="1">'Operating Model'!AQ104</f>
        <v>320</v>
      </c>
      <c r="AR178" s="55">
        <f ca="1">'Operating Model'!AR104</f>
        <v>320</v>
      </c>
      <c r="AS178" s="55">
        <f ca="1">'Operating Model'!AS104</f>
        <v>320</v>
      </c>
      <c r="AT178" s="55">
        <f ca="1">'Operating Model'!AT104</f>
        <v>320</v>
      </c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</row>
    <row r="179" spans="1:69" ht="13.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55">
        <f ca="1">'Operating Model'!AI105</f>
        <v>212.0074875078125</v>
      </c>
      <c r="AJ179" s="55">
        <f ca="1">'Operating Model'!AJ105</f>
        <v>177.25378832422908</v>
      </c>
      <c r="AK179" s="55">
        <f ca="1">'Operating Model'!AK105</f>
        <v>212.05306655081321</v>
      </c>
      <c r="AL179" s="55">
        <f ca="1">'Operating Model'!AL105</f>
        <v>261.30239125723961</v>
      </c>
      <c r="AM179" s="55">
        <f ca="1">'Operating Model'!AM105</f>
        <v>316.52607283642698</v>
      </c>
      <c r="AN179" s="55">
        <f ca="1">'Operating Model'!AN105</f>
        <v>320</v>
      </c>
      <c r="AO179" s="55">
        <f ca="1">'Operating Model'!AO105</f>
        <v>320</v>
      </c>
      <c r="AP179" s="55">
        <f ca="1">'Operating Model'!AP105</f>
        <v>320</v>
      </c>
      <c r="AQ179" s="55">
        <f ca="1">'Operating Model'!AQ105</f>
        <v>320</v>
      </c>
      <c r="AR179" s="55">
        <f ca="1">'Operating Model'!AR105</f>
        <v>320</v>
      </c>
      <c r="AS179" s="55">
        <f ca="1">'Operating Model'!AS105</f>
        <v>320</v>
      </c>
      <c r="AT179" s="55">
        <f ca="1">'Operating Model'!AT105</f>
        <v>320</v>
      </c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</row>
    <row r="180" spans="1:69" ht="13.5" customHeight="1" x14ac:dyDescent="0.3">
      <c r="A180" s="2" t="s">
        <v>0</v>
      </c>
      <c r="B180" s="3" t="s">
        <v>464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</row>
    <row r="181" spans="1:69" ht="13.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9">
        <f t="shared" ref="J181:AG181" si="250">J146</f>
        <v>46265</v>
      </c>
      <c r="K181" s="79">
        <f t="shared" si="250"/>
        <v>46295</v>
      </c>
      <c r="L181" s="79">
        <f t="shared" si="250"/>
        <v>46326</v>
      </c>
      <c r="M181" s="79">
        <f t="shared" si="250"/>
        <v>46356</v>
      </c>
      <c r="N181" s="79">
        <f t="shared" si="250"/>
        <v>46387</v>
      </c>
      <c r="O181" s="79">
        <f t="shared" si="250"/>
        <v>46418</v>
      </c>
      <c r="P181" s="79">
        <f t="shared" si="250"/>
        <v>46446</v>
      </c>
      <c r="Q181" s="79">
        <f t="shared" si="250"/>
        <v>46477</v>
      </c>
      <c r="R181" s="79">
        <f t="shared" si="250"/>
        <v>46507</v>
      </c>
      <c r="S181" s="79">
        <f t="shared" si="250"/>
        <v>46538</v>
      </c>
      <c r="T181" s="79">
        <f t="shared" si="250"/>
        <v>46568</v>
      </c>
      <c r="U181" s="79">
        <f t="shared" si="250"/>
        <v>46599</v>
      </c>
      <c r="V181" s="79">
        <f t="shared" si="250"/>
        <v>46630</v>
      </c>
      <c r="W181" s="79">
        <f t="shared" si="250"/>
        <v>46660</v>
      </c>
      <c r="X181" s="79">
        <f t="shared" si="250"/>
        <v>46691</v>
      </c>
      <c r="Y181" s="79">
        <f t="shared" si="250"/>
        <v>46721</v>
      </c>
      <c r="Z181" s="79">
        <f t="shared" si="250"/>
        <v>46752</v>
      </c>
      <c r="AA181" s="79">
        <f t="shared" si="250"/>
        <v>46783</v>
      </c>
      <c r="AB181" s="79">
        <f t="shared" si="250"/>
        <v>46812</v>
      </c>
      <c r="AC181" s="79">
        <f t="shared" si="250"/>
        <v>46843</v>
      </c>
      <c r="AD181" s="79">
        <f t="shared" si="250"/>
        <v>46873</v>
      </c>
      <c r="AE181" s="79">
        <f t="shared" si="250"/>
        <v>46904</v>
      </c>
      <c r="AF181" s="79">
        <f t="shared" si="250"/>
        <v>46934</v>
      </c>
      <c r="AG181" s="79">
        <f t="shared" si="250"/>
        <v>46965</v>
      </c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</row>
    <row r="182" spans="1:69" ht="13.5" customHeight="1" x14ac:dyDescent="0.3">
      <c r="A182" s="80" t="s">
        <v>145</v>
      </c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</row>
    <row r="183" spans="1:69" ht="13.5" customHeight="1" x14ac:dyDescent="0.3">
      <c r="A183" s="7"/>
      <c r="B183" s="7"/>
      <c r="C183" s="7"/>
      <c r="D183" s="10"/>
      <c r="E183" s="7"/>
      <c r="F183" s="214"/>
      <c r="G183" s="7"/>
      <c r="H183" s="7"/>
      <c r="I183" s="7"/>
      <c r="J183" s="7">
        <v>1</v>
      </c>
      <c r="K183" s="7">
        <v>1</v>
      </c>
      <c r="L183" s="7">
        <v>1</v>
      </c>
      <c r="M183" s="7">
        <v>1</v>
      </c>
      <c r="N183" s="7">
        <v>1</v>
      </c>
      <c r="O183" s="7">
        <v>1</v>
      </c>
      <c r="P183" s="7">
        <v>1</v>
      </c>
      <c r="Q183" s="7">
        <v>1</v>
      </c>
      <c r="R183" s="7">
        <v>1</v>
      </c>
      <c r="S183" s="7">
        <v>1</v>
      </c>
      <c r="T183" s="7">
        <v>1</v>
      </c>
      <c r="U183" s="7">
        <v>1</v>
      </c>
      <c r="V183" s="7">
        <v>1</v>
      </c>
      <c r="W183" s="7">
        <v>1</v>
      </c>
      <c r="X183" s="7">
        <v>1</v>
      </c>
      <c r="Y183" s="7">
        <v>1</v>
      </c>
      <c r="Z183" s="7">
        <v>1</v>
      </c>
      <c r="AA183" s="7">
        <v>1</v>
      </c>
      <c r="AB183" s="7">
        <v>1</v>
      </c>
      <c r="AC183" s="7">
        <v>1</v>
      </c>
      <c r="AD183" s="7">
        <v>1</v>
      </c>
      <c r="AE183" s="7">
        <v>1</v>
      </c>
      <c r="AF183" s="7">
        <v>1</v>
      </c>
      <c r="AG183" s="7">
        <v>1</v>
      </c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</row>
    <row r="184" spans="1:69" ht="13.5" customHeight="1" x14ac:dyDescent="0.3">
      <c r="A184" s="7"/>
      <c r="B184" s="5" t="s">
        <v>89</v>
      </c>
      <c r="C184" s="7"/>
      <c r="D184" s="7"/>
      <c r="E184" s="5" t="s">
        <v>40</v>
      </c>
      <c r="F184" s="7"/>
      <c r="H184" s="7"/>
      <c r="I184" s="7"/>
      <c r="J184" s="12">
        <f t="shared" ref="J184:AG184" si="251">J149</f>
        <v>0</v>
      </c>
      <c r="K184" s="12">
        <f t="shared" ca="1" si="251"/>
        <v>0</v>
      </c>
      <c r="L184" s="12">
        <f t="shared" ca="1" si="251"/>
        <v>0</v>
      </c>
      <c r="M184" s="12">
        <f t="shared" ca="1" si="251"/>
        <v>0</v>
      </c>
      <c r="N184" s="12">
        <f t="shared" ca="1" si="251"/>
        <v>0</v>
      </c>
      <c r="O184" s="12">
        <f t="shared" ca="1" si="251"/>
        <v>0</v>
      </c>
      <c r="P184" s="12">
        <f t="shared" ca="1" si="251"/>
        <v>0</v>
      </c>
      <c r="Q184" s="12">
        <f t="shared" ca="1" si="251"/>
        <v>0</v>
      </c>
      <c r="R184" s="12">
        <f t="shared" ca="1" si="251"/>
        <v>0</v>
      </c>
      <c r="S184" s="12">
        <f t="shared" ca="1" si="251"/>
        <v>0</v>
      </c>
      <c r="T184" s="12">
        <f t="shared" ca="1" si="251"/>
        <v>0</v>
      </c>
      <c r="U184" s="12">
        <f t="shared" ca="1" si="251"/>
        <v>0</v>
      </c>
      <c r="V184" s="12">
        <f t="shared" ca="1" si="251"/>
        <v>0</v>
      </c>
      <c r="W184" s="12">
        <f t="shared" ca="1" si="251"/>
        <v>0</v>
      </c>
      <c r="X184" s="12">
        <f t="shared" ca="1" si="251"/>
        <v>0</v>
      </c>
      <c r="Y184" s="12">
        <f t="shared" ca="1" si="251"/>
        <v>0</v>
      </c>
      <c r="Z184" s="12">
        <f t="shared" ca="1" si="251"/>
        <v>0</v>
      </c>
      <c r="AA184" s="12">
        <f t="shared" ca="1" si="251"/>
        <v>138.76572007559471</v>
      </c>
      <c r="AB184" s="12">
        <f t="shared" ca="1" si="251"/>
        <v>138.41880577540573</v>
      </c>
      <c r="AC184" s="12">
        <f t="shared" ca="1" si="251"/>
        <v>138.07275876096722</v>
      </c>
      <c r="AD184" s="12">
        <f t="shared" ca="1" si="251"/>
        <v>137.72757686406479</v>
      </c>
      <c r="AE184" s="12">
        <f t="shared" ca="1" si="251"/>
        <v>137.38325792190463</v>
      </c>
      <c r="AF184" s="12">
        <f t="shared" ca="1" si="251"/>
        <v>137.03979977709986</v>
      </c>
      <c r="AG184" s="12">
        <f t="shared" ca="1" si="251"/>
        <v>136.69720027765712</v>
      </c>
      <c r="AH184" s="7"/>
      <c r="AI184" s="12">
        <f t="shared" ref="AI184:AS184" ca="1" si="252">AI149</f>
        <v>0</v>
      </c>
      <c r="AJ184" s="12">
        <f t="shared" ca="1" si="252"/>
        <v>0</v>
      </c>
      <c r="AK184" s="12">
        <f t="shared" si="252"/>
        <v>138.76572007559471</v>
      </c>
      <c r="AL184" s="12">
        <f t="shared" ca="1" si="252"/>
        <v>170.99405856315158</v>
      </c>
      <c r="AM184" s="12">
        <f t="shared" ca="1" si="252"/>
        <v>210.70742866444354</v>
      </c>
      <c r="AN184" s="12">
        <f t="shared" ca="1" si="252"/>
        <v>255</v>
      </c>
      <c r="AO184" s="12">
        <f t="shared" ca="1" si="252"/>
        <v>255</v>
      </c>
      <c r="AP184" s="12">
        <f t="shared" ca="1" si="252"/>
        <v>255</v>
      </c>
      <c r="AQ184" s="12">
        <f t="shared" ca="1" si="252"/>
        <v>255</v>
      </c>
      <c r="AR184" s="12">
        <f t="shared" ca="1" si="252"/>
        <v>255</v>
      </c>
      <c r="AS184" s="12">
        <f t="shared" ca="1" si="252"/>
        <v>255</v>
      </c>
      <c r="AT184" s="12">
        <f t="shared" ref="AT184" ca="1" si="253">AT149</f>
        <v>255</v>
      </c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</row>
    <row r="185" spans="1:69" ht="13.5" customHeight="1" x14ac:dyDescent="0.3">
      <c r="A185" s="7" t="s">
        <v>393</v>
      </c>
      <c r="B185" s="7"/>
      <c r="C185" s="7" t="s">
        <v>383</v>
      </c>
      <c r="D185" s="7"/>
      <c r="E185" s="7" t="s">
        <v>4</v>
      </c>
      <c r="F185" s="215"/>
      <c r="H185" s="7"/>
      <c r="I185" s="7"/>
      <c r="J185" s="8">
        <f t="shared" ref="J185:AG185" si="254">-J87*J36*J$4*J184/1000</f>
        <v>0</v>
      </c>
      <c r="K185" s="8">
        <f t="shared" ca="1" si="254"/>
        <v>0</v>
      </c>
      <c r="L185" s="8">
        <f t="shared" ca="1" si="254"/>
        <v>0</v>
      </c>
      <c r="M185" s="8">
        <f t="shared" ca="1" si="254"/>
        <v>0</v>
      </c>
      <c r="N185" s="8">
        <f t="shared" ca="1" si="254"/>
        <v>0</v>
      </c>
      <c r="O185" s="8">
        <f t="shared" ca="1" si="254"/>
        <v>0</v>
      </c>
      <c r="P185" s="8">
        <f t="shared" ca="1" si="254"/>
        <v>0</v>
      </c>
      <c r="Q185" s="8">
        <f t="shared" ca="1" si="254"/>
        <v>0</v>
      </c>
      <c r="R185" s="8">
        <f t="shared" ca="1" si="254"/>
        <v>0</v>
      </c>
      <c r="S185" s="8">
        <f t="shared" ca="1" si="254"/>
        <v>0</v>
      </c>
      <c r="T185" s="8">
        <f t="shared" ca="1" si="254"/>
        <v>0</v>
      </c>
      <c r="U185" s="8">
        <f t="shared" ca="1" si="254"/>
        <v>0</v>
      </c>
      <c r="V185" s="8">
        <f t="shared" ca="1" si="254"/>
        <v>0</v>
      </c>
      <c r="W185" s="8">
        <f t="shared" ca="1" si="254"/>
        <v>0</v>
      </c>
      <c r="X185" s="8">
        <f t="shared" ca="1" si="254"/>
        <v>0</v>
      </c>
      <c r="Y185" s="8">
        <f t="shared" ca="1" si="254"/>
        <v>0</v>
      </c>
      <c r="Z185" s="8">
        <f t="shared" ca="1" si="254"/>
        <v>0</v>
      </c>
      <c r="AA185" s="8">
        <f t="shared" ca="1" si="254"/>
        <v>0</v>
      </c>
      <c r="AB185" s="8">
        <f t="shared" ca="1" si="254"/>
        <v>0</v>
      </c>
      <c r="AC185" s="8">
        <f t="shared" ca="1" si="254"/>
        <v>0</v>
      </c>
      <c r="AD185" s="8">
        <f t="shared" ca="1" si="254"/>
        <v>0</v>
      </c>
      <c r="AE185" s="8">
        <f t="shared" ca="1" si="254"/>
        <v>0</v>
      </c>
      <c r="AF185" s="8">
        <f t="shared" ca="1" si="254"/>
        <v>0</v>
      </c>
      <c r="AG185" s="8">
        <f t="shared" ca="1" si="254"/>
        <v>0</v>
      </c>
      <c r="AH185" s="7"/>
      <c r="AI185" s="8">
        <f t="shared" ref="AI185:AJ185" ca="1" si="255">SUMIF($J$145:$AF$145,AI$145,$J185:$AF185)</f>
        <v>0</v>
      </c>
      <c r="AJ185" s="8">
        <f t="shared" ca="1" si="255"/>
        <v>0</v>
      </c>
      <c r="AK185" s="8">
        <f t="shared" ref="AK185:AS185" si="256">-AK87*AK36*AK184/1000</f>
        <v>0</v>
      </c>
      <c r="AL185" s="8">
        <f t="shared" ca="1" si="256"/>
        <v>0</v>
      </c>
      <c r="AM185" s="8">
        <f t="shared" ca="1" si="256"/>
        <v>0</v>
      </c>
      <c r="AN185" s="8">
        <f t="shared" ca="1" si="256"/>
        <v>0</v>
      </c>
      <c r="AO185" s="8">
        <f t="shared" ca="1" si="256"/>
        <v>0</v>
      </c>
      <c r="AP185" s="8">
        <f t="shared" ca="1" si="256"/>
        <v>0</v>
      </c>
      <c r="AQ185" s="8">
        <f t="shared" ca="1" si="256"/>
        <v>0</v>
      </c>
      <c r="AR185" s="8">
        <f t="shared" ca="1" si="256"/>
        <v>0</v>
      </c>
      <c r="AS185" s="8">
        <f t="shared" ca="1" si="256"/>
        <v>0</v>
      </c>
      <c r="AT185" s="8">
        <f t="shared" ref="AT185" ca="1" si="257">-AT87*AT36*AT184/1000</f>
        <v>0</v>
      </c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</row>
    <row r="186" spans="1:69" ht="13.5" customHeight="1" x14ac:dyDescent="0.3">
      <c r="A186" s="7" t="s">
        <v>393</v>
      </c>
      <c r="B186" s="7"/>
      <c r="C186" s="7" t="s">
        <v>376</v>
      </c>
      <c r="D186" s="7"/>
      <c r="E186" s="7" t="s">
        <v>4</v>
      </c>
      <c r="F186" s="215"/>
      <c r="H186" s="7"/>
      <c r="I186" s="7"/>
      <c r="J186" s="8">
        <f t="shared" ref="J186:AG186" si="258">-J91*J37*J$4*J$184/1000</f>
        <v>0</v>
      </c>
      <c r="K186" s="8">
        <f t="shared" ca="1" si="258"/>
        <v>0</v>
      </c>
      <c r="L186" s="8">
        <f t="shared" ca="1" si="258"/>
        <v>0</v>
      </c>
      <c r="M186" s="8">
        <f t="shared" ca="1" si="258"/>
        <v>0</v>
      </c>
      <c r="N186" s="8">
        <f t="shared" ca="1" si="258"/>
        <v>0</v>
      </c>
      <c r="O186" s="8">
        <f t="shared" ca="1" si="258"/>
        <v>0</v>
      </c>
      <c r="P186" s="8">
        <f t="shared" ca="1" si="258"/>
        <v>0</v>
      </c>
      <c r="Q186" s="8">
        <f t="shared" ca="1" si="258"/>
        <v>0</v>
      </c>
      <c r="R186" s="8">
        <f t="shared" ca="1" si="258"/>
        <v>0</v>
      </c>
      <c r="S186" s="8">
        <f t="shared" ca="1" si="258"/>
        <v>0</v>
      </c>
      <c r="T186" s="8">
        <f t="shared" ca="1" si="258"/>
        <v>0</v>
      </c>
      <c r="U186" s="8">
        <f t="shared" ca="1" si="258"/>
        <v>0</v>
      </c>
      <c r="V186" s="8">
        <f t="shared" ca="1" si="258"/>
        <v>0</v>
      </c>
      <c r="W186" s="8">
        <f t="shared" ca="1" si="258"/>
        <v>0</v>
      </c>
      <c r="X186" s="8">
        <f t="shared" ca="1" si="258"/>
        <v>0</v>
      </c>
      <c r="Y186" s="8">
        <f t="shared" ca="1" si="258"/>
        <v>0</v>
      </c>
      <c r="Z186" s="8">
        <f t="shared" ca="1" si="258"/>
        <v>0</v>
      </c>
      <c r="AA186" s="8">
        <f t="shared" ca="1" si="258"/>
        <v>-43.921598408590945</v>
      </c>
      <c r="AB186" s="8">
        <f t="shared" ca="1" si="258"/>
        <v>-68.308711718522304</v>
      </c>
      <c r="AC186" s="8">
        <f t="shared" ca="1" si="258"/>
        <v>-145.67421642179349</v>
      </c>
      <c r="AD186" s="8">
        <f t="shared" ca="1" si="258"/>
        <v>-168.74713263569691</v>
      </c>
      <c r="AE186" s="8">
        <f t="shared" ca="1" si="258"/>
        <v>0</v>
      </c>
      <c r="AF186" s="8">
        <f t="shared" ca="1" si="258"/>
        <v>0</v>
      </c>
      <c r="AG186" s="8">
        <f t="shared" ca="1" si="258"/>
        <v>0</v>
      </c>
      <c r="AH186" s="7"/>
      <c r="AI186" s="8">
        <f t="shared" ref="AI186:AJ186" ca="1" si="259">SUMIF($J$145:$AF$145,AI$145,$J186:$AF186)</f>
        <v>0</v>
      </c>
      <c r="AJ186" s="8">
        <f t="shared" ca="1" si="259"/>
        <v>0</v>
      </c>
      <c r="AK186" s="8">
        <f>-AK91*AK37*AK$184/1000</f>
        <v>-426.46455228986696</v>
      </c>
      <c r="AL186" s="8">
        <f t="shared" ref="AL186:AS186" ca="1" si="260">-AL91*AL37*AL$184/1000</f>
        <v>-575.43448429231137</v>
      </c>
      <c r="AM186" s="8">
        <f t="shared" ca="1" si="260"/>
        <v>-772.89626616342889</v>
      </c>
      <c r="AN186" s="8">
        <f t="shared" ca="1" si="260"/>
        <v>-1014.8720232418267</v>
      </c>
      <c r="AO186" s="8">
        <f t="shared" ca="1" si="260"/>
        <v>-1096.061785101173</v>
      </c>
      <c r="AP186" s="8">
        <f t="shared" ca="1" si="260"/>
        <v>-1172.7861100582552</v>
      </c>
      <c r="AQ186" s="8">
        <f t="shared" ca="1" si="260"/>
        <v>-1249.0172072120417</v>
      </c>
      <c r="AR186" s="8">
        <f t="shared" ca="1" si="260"/>
        <v>-1323.9582396447643</v>
      </c>
      <c r="AS186" s="8">
        <f t="shared" ca="1" si="260"/>
        <v>-1390.1561516270024</v>
      </c>
      <c r="AT186" s="8">
        <f t="shared" ref="AT186" ca="1" si="261">-AT91*AT37*AT$184/1000</f>
        <v>-1459.6639592083527</v>
      </c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</row>
    <row r="187" spans="1:69" ht="13.5" customHeight="1" x14ac:dyDescent="0.3">
      <c r="A187" s="7" t="s">
        <v>397</v>
      </c>
      <c r="B187" s="7"/>
      <c r="C187" s="7" t="s">
        <v>378</v>
      </c>
      <c r="D187" s="7"/>
      <c r="E187" s="7" t="s">
        <v>4</v>
      </c>
      <c r="F187" s="215"/>
      <c r="H187" s="7"/>
      <c r="I187" s="7"/>
      <c r="J187" s="8">
        <f t="shared" ref="J187:AG187" si="262">-J93*J38*J$4*J$184/1000</f>
        <v>0</v>
      </c>
      <c r="K187" s="8">
        <f t="shared" ca="1" si="262"/>
        <v>0</v>
      </c>
      <c r="L187" s="8">
        <f t="shared" ca="1" si="262"/>
        <v>0</v>
      </c>
      <c r="M187" s="8">
        <f t="shared" ca="1" si="262"/>
        <v>0</v>
      </c>
      <c r="N187" s="8">
        <f t="shared" ca="1" si="262"/>
        <v>0</v>
      </c>
      <c r="O187" s="8">
        <f t="shared" ca="1" si="262"/>
        <v>0</v>
      </c>
      <c r="P187" s="8">
        <f t="shared" ca="1" si="262"/>
        <v>0</v>
      </c>
      <c r="Q187" s="8">
        <f t="shared" ca="1" si="262"/>
        <v>0</v>
      </c>
      <c r="R187" s="8">
        <f t="shared" ca="1" si="262"/>
        <v>0</v>
      </c>
      <c r="S187" s="8">
        <f t="shared" ca="1" si="262"/>
        <v>0</v>
      </c>
      <c r="T187" s="8">
        <f t="shared" ca="1" si="262"/>
        <v>0</v>
      </c>
      <c r="U187" s="8">
        <f t="shared" ca="1" si="262"/>
        <v>0</v>
      </c>
      <c r="V187" s="8">
        <f t="shared" ca="1" si="262"/>
        <v>0</v>
      </c>
      <c r="W187" s="8">
        <f t="shared" ca="1" si="262"/>
        <v>0</v>
      </c>
      <c r="X187" s="8">
        <f t="shared" ca="1" si="262"/>
        <v>0</v>
      </c>
      <c r="Y187" s="8">
        <f t="shared" ca="1" si="262"/>
        <v>0</v>
      </c>
      <c r="Z187" s="8">
        <f t="shared" ca="1" si="262"/>
        <v>0</v>
      </c>
      <c r="AA187" s="8">
        <f t="shared" ca="1" si="262"/>
        <v>0</v>
      </c>
      <c r="AB187" s="8">
        <f t="shared" ca="1" si="262"/>
        <v>0</v>
      </c>
      <c r="AC187" s="8">
        <f t="shared" ca="1" si="262"/>
        <v>0</v>
      </c>
      <c r="AD187" s="8">
        <f t="shared" ca="1" si="262"/>
        <v>0</v>
      </c>
      <c r="AE187" s="8">
        <f t="shared" ca="1" si="262"/>
        <v>0</v>
      </c>
      <c r="AF187" s="8">
        <f t="shared" ca="1" si="262"/>
        <v>0</v>
      </c>
      <c r="AG187" s="8">
        <f t="shared" ca="1" si="262"/>
        <v>0</v>
      </c>
      <c r="AH187" s="7"/>
      <c r="AI187" s="8">
        <f t="shared" ref="AI187:AJ187" ca="1" si="263">SUMIF($J$145:$AF$145,AI$145,$J187:$AF187)</f>
        <v>0</v>
      </c>
      <c r="AJ187" s="8">
        <f t="shared" ca="1" si="263"/>
        <v>0</v>
      </c>
      <c r="AK187" s="8">
        <f t="shared" ref="AK187:AS187" si="264">-AK93*AK38*AK$184/1000</f>
        <v>0</v>
      </c>
      <c r="AL187" s="8">
        <f t="shared" ca="1" si="264"/>
        <v>0</v>
      </c>
      <c r="AM187" s="8">
        <f t="shared" ca="1" si="264"/>
        <v>0</v>
      </c>
      <c r="AN187" s="8">
        <f t="shared" ca="1" si="264"/>
        <v>0</v>
      </c>
      <c r="AO187" s="8">
        <f t="shared" ca="1" si="264"/>
        <v>0</v>
      </c>
      <c r="AP187" s="8">
        <f t="shared" ca="1" si="264"/>
        <v>0</v>
      </c>
      <c r="AQ187" s="8">
        <f t="shared" ca="1" si="264"/>
        <v>0</v>
      </c>
      <c r="AR187" s="8">
        <f t="shared" ca="1" si="264"/>
        <v>0</v>
      </c>
      <c r="AS187" s="8">
        <f t="shared" ca="1" si="264"/>
        <v>0</v>
      </c>
      <c r="AT187" s="8">
        <f t="shared" ref="AT187" ca="1" si="265">-AT93*AT38*AT$184/1000</f>
        <v>0</v>
      </c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</row>
    <row r="188" spans="1:69" ht="13.5" customHeight="1" x14ac:dyDescent="0.3">
      <c r="A188" s="7" t="s">
        <v>397</v>
      </c>
      <c r="B188" s="7"/>
      <c r="C188" s="7" t="s">
        <v>374</v>
      </c>
      <c r="D188" s="7"/>
      <c r="E188" s="7" t="s">
        <v>4</v>
      </c>
      <c r="F188" s="215"/>
      <c r="H188" s="7"/>
      <c r="I188" s="7"/>
      <c r="J188" s="8">
        <f t="shared" ref="J188:AG188" si="266">-J89*J39*J$4*J$184/1000</f>
        <v>0</v>
      </c>
      <c r="K188" s="8">
        <f t="shared" ca="1" si="266"/>
        <v>0</v>
      </c>
      <c r="L188" s="8">
        <f t="shared" ca="1" si="266"/>
        <v>0</v>
      </c>
      <c r="M188" s="8">
        <f t="shared" ca="1" si="266"/>
        <v>0</v>
      </c>
      <c r="N188" s="8">
        <f t="shared" ca="1" si="266"/>
        <v>0</v>
      </c>
      <c r="O188" s="8">
        <f t="shared" ca="1" si="266"/>
        <v>0</v>
      </c>
      <c r="P188" s="8">
        <f t="shared" ca="1" si="266"/>
        <v>0</v>
      </c>
      <c r="Q188" s="8">
        <f t="shared" ca="1" si="266"/>
        <v>0</v>
      </c>
      <c r="R188" s="8">
        <f t="shared" ca="1" si="266"/>
        <v>0</v>
      </c>
      <c r="S188" s="8">
        <f t="shared" ca="1" si="266"/>
        <v>0</v>
      </c>
      <c r="T188" s="8">
        <f t="shared" ca="1" si="266"/>
        <v>0</v>
      </c>
      <c r="U188" s="8">
        <f t="shared" ca="1" si="266"/>
        <v>0</v>
      </c>
      <c r="V188" s="8">
        <f t="shared" ca="1" si="266"/>
        <v>0</v>
      </c>
      <c r="W188" s="8">
        <f t="shared" ca="1" si="266"/>
        <v>0</v>
      </c>
      <c r="X188" s="8">
        <f t="shared" ca="1" si="266"/>
        <v>0</v>
      </c>
      <c r="Y188" s="8">
        <f t="shared" ca="1" si="266"/>
        <v>0</v>
      </c>
      <c r="Z188" s="8">
        <f t="shared" ca="1" si="266"/>
        <v>0</v>
      </c>
      <c r="AA188" s="8">
        <f t="shared" ca="1" si="266"/>
        <v>-83.660187444935161</v>
      </c>
      <c r="AB188" s="8">
        <f t="shared" ca="1" si="266"/>
        <v>-156.13419821376527</v>
      </c>
      <c r="AC188" s="8">
        <f t="shared" ca="1" si="266"/>
        <v>-249.72722815164602</v>
      </c>
      <c r="AD188" s="8">
        <f t="shared" ca="1" si="266"/>
        <v>-281.24522105949484</v>
      </c>
      <c r="AE188" s="8">
        <f t="shared" ca="1" si="266"/>
        <v>0</v>
      </c>
      <c r="AF188" s="8">
        <f t="shared" ca="1" si="266"/>
        <v>0</v>
      </c>
      <c r="AG188" s="8">
        <f t="shared" ca="1" si="266"/>
        <v>0</v>
      </c>
      <c r="AH188" s="7"/>
      <c r="AI188" s="8">
        <f t="shared" ref="AI188:AJ188" ca="1" si="267">SUMIF($J$145:$AF$145,AI$145,$J188:$AF188)</f>
        <v>0</v>
      </c>
      <c r="AJ188" s="8">
        <f t="shared" ca="1" si="267"/>
        <v>0</v>
      </c>
      <c r="AK188" s="8">
        <f t="shared" ref="AK188:AS188" si="268">-AK89*AK39*AK$184/1000</f>
        <v>-769.13398134859733</v>
      </c>
      <c r="AL188" s="8">
        <f t="shared" ca="1" si="268"/>
        <v>-1037.8030566259058</v>
      </c>
      <c r="AM188" s="8">
        <f t="shared" ca="1" si="268"/>
        <v>-1393.9277700147272</v>
      </c>
      <c r="AN188" s="8">
        <f t="shared" ca="1" si="268"/>
        <v>-1830.33397642095</v>
      </c>
      <c r="AO188" s="8">
        <f t="shared" ca="1" si="268"/>
        <v>-1976.7606945346258</v>
      </c>
      <c r="AP188" s="8">
        <f t="shared" ca="1" si="268"/>
        <v>-2115.1339431520501</v>
      </c>
      <c r="AQ188" s="8">
        <f t="shared" ca="1" si="268"/>
        <v>-2252.6176494569327</v>
      </c>
      <c r="AR188" s="8">
        <f t="shared" ca="1" si="268"/>
        <v>-2387.7747084243488</v>
      </c>
      <c r="AS188" s="8">
        <f t="shared" ca="1" si="268"/>
        <v>-2507.1634438455662</v>
      </c>
      <c r="AT188" s="8">
        <f t="shared" ref="AT188" ca="1" si="269">-AT89*AT39*AT$184/1000</f>
        <v>-2632.5216160378441</v>
      </c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</row>
    <row r="189" spans="1:69" ht="13.5" customHeight="1" x14ac:dyDescent="0.3">
      <c r="A189" s="7" t="s">
        <v>395</v>
      </c>
      <c r="B189" s="7"/>
      <c r="C189" s="7" t="s">
        <v>375</v>
      </c>
      <c r="D189" s="7"/>
      <c r="E189" s="7" t="s">
        <v>4</v>
      </c>
      <c r="F189" s="215"/>
      <c r="H189" s="7"/>
      <c r="I189" s="7"/>
      <c r="J189" s="8">
        <f t="shared" ref="J189:AG189" si="270">-J90*J40*J$4*J$184/1000</f>
        <v>0</v>
      </c>
      <c r="K189" s="8">
        <f t="shared" ca="1" si="270"/>
        <v>0</v>
      </c>
      <c r="L189" s="8">
        <f t="shared" ca="1" si="270"/>
        <v>0</v>
      </c>
      <c r="M189" s="8">
        <f t="shared" ca="1" si="270"/>
        <v>0</v>
      </c>
      <c r="N189" s="8">
        <f t="shared" ca="1" si="270"/>
        <v>0</v>
      </c>
      <c r="O189" s="8">
        <f t="shared" ca="1" si="270"/>
        <v>0</v>
      </c>
      <c r="P189" s="8">
        <f t="shared" ca="1" si="270"/>
        <v>0</v>
      </c>
      <c r="Q189" s="8">
        <f t="shared" ca="1" si="270"/>
        <v>0</v>
      </c>
      <c r="R189" s="8">
        <f t="shared" ca="1" si="270"/>
        <v>0</v>
      </c>
      <c r="S189" s="8">
        <f t="shared" ca="1" si="270"/>
        <v>0</v>
      </c>
      <c r="T189" s="8">
        <f t="shared" ca="1" si="270"/>
        <v>0</v>
      </c>
      <c r="U189" s="8">
        <f t="shared" ca="1" si="270"/>
        <v>0</v>
      </c>
      <c r="V189" s="8">
        <f t="shared" ca="1" si="270"/>
        <v>0</v>
      </c>
      <c r="W189" s="8">
        <f t="shared" ca="1" si="270"/>
        <v>0</v>
      </c>
      <c r="X189" s="8">
        <f t="shared" ca="1" si="270"/>
        <v>0</v>
      </c>
      <c r="Y189" s="8">
        <f t="shared" ca="1" si="270"/>
        <v>0</v>
      </c>
      <c r="Z189" s="8">
        <f t="shared" ca="1" si="270"/>
        <v>0</v>
      </c>
      <c r="AA189" s="8">
        <f t="shared" ca="1" si="270"/>
        <v>-6.0653635897577987</v>
      </c>
      <c r="AB189" s="8">
        <f t="shared" ca="1" si="270"/>
        <v>-8.489797027873486</v>
      </c>
      <c r="AC189" s="8">
        <f t="shared" ca="1" si="270"/>
        <v>-12.070149360662892</v>
      </c>
      <c r="AD189" s="8">
        <f t="shared" ca="1" si="270"/>
        <v>-13.1080361958086</v>
      </c>
      <c r="AE189" s="8">
        <f t="shared" ca="1" si="270"/>
        <v>-16.513576821902983</v>
      </c>
      <c r="AF189" s="8">
        <f t="shared" ca="1" si="270"/>
        <v>-19.563866910083668</v>
      </c>
      <c r="AG189" s="8">
        <f t="shared" ca="1" si="270"/>
        <v>-20.165455817568745</v>
      </c>
      <c r="AH189" s="7"/>
      <c r="AI189" s="8">
        <f t="shared" ref="AI189:AJ189" ca="1" si="271">SUMIF($J$145:$AF$145,AI$145,$J189:$AF189)</f>
        <v>0</v>
      </c>
      <c r="AJ189" s="8">
        <f t="shared" ca="1" si="271"/>
        <v>0</v>
      </c>
      <c r="AK189" s="8">
        <f t="shared" ref="AK189:AS189" si="272">-AK90*AK40*AK$184/1000</f>
        <v>-76.11053020696076</v>
      </c>
      <c r="AL189" s="8">
        <f t="shared" ca="1" si="272"/>
        <v>-102.6969849280425</v>
      </c>
      <c r="AM189" s="8">
        <f t="shared" ca="1" si="272"/>
        <v>-137.93771204856262</v>
      </c>
      <c r="AN189" s="8">
        <f t="shared" ca="1" si="272"/>
        <v>-181.12278585969068</v>
      </c>
      <c r="AO189" s="8">
        <f t="shared" ca="1" si="272"/>
        <v>-195.61260872846594</v>
      </c>
      <c r="AP189" s="8">
        <f t="shared" ca="1" si="272"/>
        <v>-209.3054913394586</v>
      </c>
      <c r="AQ189" s="8">
        <f t="shared" ca="1" si="272"/>
        <v>-222.91034827652337</v>
      </c>
      <c r="AR189" s="8">
        <f t="shared" ca="1" si="272"/>
        <v>-236.2849691731148</v>
      </c>
      <c r="AS189" s="8">
        <f t="shared" ca="1" si="272"/>
        <v>-248.09921763177056</v>
      </c>
      <c r="AT189" s="8">
        <f t="shared" ref="AT189" ca="1" si="273">-AT90*AT40*AT$184/1000</f>
        <v>-260.50417851335908</v>
      </c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</row>
    <row r="190" spans="1:69" ht="13.5" customHeight="1" x14ac:dyDescent="0.3">
      <c r="A190" s="7" t="s">
        <v>393</v>
      </c>
      <c r="B190" s="7"/>
      <c r="C190" s="7" t="s">
        <v>385</v>
      </c>
      <c r="D190" s="7"/>
      <c r="E190" s="7" t="s">
        <v>4</v>
      </c>
      <c r="F190" s="215"/>
      <c r="H190" s="7"/>
      <c r="I190" s="7"/>
      <c r="J190" s="8">
        <f t="shared" ref="J190:AG190" si="274">-J94*J41*J$4*J$184/1000</f>
        <v>0</v>
      </c>
      <c r="K190" s="8">
        <f t="shared" ca="1" si="274"/>
        <v>0</v>
      </c>
      <c r="L190" s="8">
        <f t="shared" ca="1" si="274"/>
        <v>0</v>
      </c>
      <c r="M190" s="8">
        <f t="shared" ca="1" si="274"/>
        <v>0</v>
      </c>
      <c r="N190" s="8">
        <f t="shared" ca="1" si="274"/>
        <v>0</v>
      </c>
      <c r="O190" s="8">
        <f t="shared" ca="1" si="274"/>
        <v>0</v>
      </c>
      <c r="P190" s="8">
        <f t="shared" ca="1" si="274"/>
        <v>0</v>
      </c>
      <c r="Q190" s="8">
        <f t="shared" ca="1" si="274"/>
        <v>0</v>
      </c>
      <c r="R190" s="8">
        <f t="shared" ca="1" si="274"/>
        <v>0</v>
      </c>
      <c r="S190" s="8">
        <f t="shared" ca="1" si="274"/>
        <v>0</v>
      </c>
      <c r="T190" s="8">
        <f t="shared" ca="1" si="274"/>
        <v>0</v>
      </c>
      <c r="U190" s="8">
        <f t="shared" ca="1" si="274"/>
        <v>0</v>
      </c>
      <c r="V190" s="8">
        <f t="shared" ca="1" si="274"/>
        <v>0</v>
      </c>
      <c r="W190" s="8">
        <f t="shared" ca="1" si="274"/>
        <v>0</v>
      </c>
      <c r="X190" s="8">
        <f t="shared" ca="1" si="274"/>
        <v>0</v>
      </c>
      <c r="Y190" s="8">
        <f t="shared" ca="1" si="274"/>
        <v>0</v>
      </c>
      <c r="Z190" s="8">
        <f t="shared" ca="1" si="274"/>
        <v>0</v>
      </c>
      <c r="AA190" s="8">
        <f t="shared" ca="1" si="274"/>
        <v>-7.5817044871972472</v>
      </c>
      <c r="AB190" s="8">
        <f t="shared" ca="1" si="274"/>
        <v>-14.149661713122477</v>
      </c>
      <c r="AC190" s="8">
        <f t="shared" ca="1" si="274"/>
        <v>-22.631530051242915</v>
      </c>
      <c r="AD190" s="8">
        <f t="shared" ca="1" si="274"/>
        <v>-21.846726993014332</v>
      </c>
      <c r="AE190" s="8">
        <f t="shared" ca="1" si="274"/>
        <v>-30.024685130732699</v>
      </c>
      <c r="AF190" s="8">
        <f t="shared" ca="1" si="274"/>
        <v>-21.737629900092966</v>
      </c>
      <c r="AG190" s="8">
        <f t="shared" ca="1" si="274"/>
        <v>-22.406062019520824</v>
      </c>
      <c r="AH190" s="7"/>
      <c r="AI190" s="8">
        <f t="shared" ref="AI190:AJ190" ca="1" si="275">SUMIF($J$145:$AF$145,AI$145,$J190:$AF190)</f>
        <v>0</v>
      </c>
      <c r="AJ190" s="8">
        <f t="shared" ca="1" si="275"/>
        <v>0</v>
      </c>
      <c r="AK190" s="8">
        <f t="shared" ref="AK190:AS190" si="276">-AK94*AK41*AK$184/1000</f>
        <v>-118.37241844527315</v>
      </c>
      <c r="AL190" s="8">
        <f t="shared" ca="1" si="276"/>
        <v>-159.72153182896071</v>
      </c>
      <c r="AM190" s="8">
        <f t="shared" ca="1" si="276"/>
        <v>-214.53037477989815</v>
      </c>
      <c r="AN190" s="8">
        <f t="shared" ca="1" si="276"/>
        <v>-281.69482119566283</v>
      </c>
      <c r="AO190" s="8">
        <f t="shared" ca="1" si="276"/>
        <v>-304.23040689131591</v>
      </c>
      <c r="AP190" s="8">
        <f t="shared" ca="1" si="276"/>
        <v>-325.52653537370804</v>
      </c>
      <c r="AQ190" s="8">
        <f t="shared" ca="1" si="276"/>
        <v>-346.68576017299904</v>
      </c>
      <c r="AR190" s="8">
        <f t="shared" ca="1" si="276"/>
        <v>-367.48690578337903</v>
      </c>
      <c r="AS190" s="8">
        <f t="shared" ca="1" si="276"/>
        <v>-385.86125107254804</v>
      </c>
      <c r="AT190" s="8">
        <f t="shared" ref="AT190" ca="1" si="277">-AT94*AT41*AT$184/1000</f>
        <v>-405.15431362617545</v>
      </c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</row>
    <row r="191" spans="1:69" ht="13.5" customHeight="1" x14ac:dyDescent="0.3">
      <c r="A191" s="7" t="s">
        <v>393</v>
      </c>
      <c r="B191" s="7"/>
      <c r="C191" s="7" t="s">
        <v>373</v>
      </c>
      <c r="D191" s="7"/>
      <c r="E191" s="7" t="s">
        <v>4</v>
      </c>
      <c r="F191" s="215"/>
      <c r="H191" s="7"/>
      <c r="I191" s="7"/>
      <c r="J191" s="8">
        <f t="shared" ref="J191:AG191" si="278">-J88*J42*J$4*J$184/1000</f>
        <v>0</v>
      </c>
      <c r="K191" s="8">
        <f t="shared" ca="1" si="278"/>
        <v>0</v>
      </c>
      <c r="L191" s="8">
        <f t="shared" ca="1" si="278"/>
        <v>0</v>
      </c>
      <c r="M191" s="8">
        <f t="shared" ca="1" si="278"/>
        <v>0</v>
      </c>
      <c r="N191" s="8">
        <f t="shared" ca="1" si="278"/>
        <v>0</v>
      </c>
      <c r="O191" s="8">
        <f t="shared" ca="1" si="278"/>
        <v>0</v>
      </c>
      <c r="P191" s="8">
        <f t="shared" ca="1" si="278"/>
        <v>0</v>
      </c>
      <c r="Q191" s="8">
        <f t="shared" ca="1" si="278"/>
        <v>0</v>
      </c>
      <c r="R191" s="8">
        <f t="shared" ca="1" si="278"/>
        <v>0</v>
      </c>
      <c r="S191" s="8">
        <f t="shared" ca="1" si="278"/>
        <v>0</v>
      </c>
      <c r="T191" s="8">
        <f t="shared" ca="1" si="278"/>
        <v>0</v>
      </c>
      <c r="U191" s="8">
        <f t="shared" ca="1" si="278"/>
        <v>0</v>
      </c>
      <c r="V191" s="8">
        <f t="shared" ca="1" si="278"/>
        <v>0</v>
      </c>
      <c r="W191" s="8">
        <f t="shared" ca="1" si="278"/>
        <v>0</v>
      </c>
      <c r="X191" s="8">
        <f t="shared" ca="1" si="278"/>
        <v>0</v>
      </c>
      <c r="Y191" s="8">
        <f t="shared" ca="1" si="278"/>
        <v>0</v>
      </c>
      <c r="Z191" s="8">
        <f t="shared" ca="1" si="278"/>
        <v>0</v>
      </c>
      <c r="AA191" s="8">
        <f t="shared" ca="1" si="278"/>
        <v>0</v>
      </c>
      <c r="AB191" s="8">
        <f t="shared" ca="1" si="278"/>
        <v>0</v>
      </c>
      <c r="AC191" s="8">
        <f t="shared" ca="1" si="278"/>
        <v>0</v>
      </c>
      <c r="AD191" s="8">
        <f t="shared" ca="1" si="278"/>
        <v>0</v>
      </c>
      <c r="AE191" s="8">
        <f t="shared" ca="1" si="278"/>
        <v>0</v>
      </c>
      <c r="AF191" s="8">
        <f t="shared" ca="1" si="278"/>
        <v>0</v>
      </c>
      <c r="AG191" s="8">
        <f t="shared" ca="1" si="278"/>
        <v>0</v>
      </c>
      <c r="AH191" s="7"/>
      <c r="AI191" s="8">
        <f t="shared" ref="AI191:AJ191" ca="1" si="279">SUMIF($J$145:$AF$145,AI$145,$J191:$AF191)</f>
        <v>0</v>
      </c>
      <c r="AJ191" s="8">
        <f t="shared" ca="1" si="279"/>
        <v>0</v>
      </c>
      <c r="AK191" s="8">
        <f t="shared" ref="AK191:AS191" si="280">-AK88*AK42*AK$184/1000</f>
        <v>0</v>
      </c>
      <c r="AL191" s="8">
        <f t="shared" ca="1" si="280"/>
        <v>0</v>
      </c>
      <c r="AM191" s="8">
        <f t="shared" ca="1" si="280"/>
        <v>0</v>
      </c>
      <c r="AN191" s="8">
        <f t="shared" ca="1" si="280"/>
        <v>0</v>
      </c>
      <c r="AO191" s="8">
        <f t="shared" ca="1" si="280"/>
        <v>0</v>
      </c>
      <c r="AP191" s="8">
        <f t="shared" ca="1" si="280"/>
        <v>0</v>
      </c>
      <c r="AQ191" s="8">
        <f t="shared" ca="1" si="280"/>
        <v>0</v>
      </c>
      <c r="AR191" s="8">
        <f t="shared" ca="1" si="280"/>
        <v>0</v>
      </c>
      <c r="AS191" s="8">
        <f t="shared" ca="1" si="280"/>
        <v>0</v>
      </c>
      <c r="AT191" s="8">
        <f t="shared" ref="AT191" ca="1" si="281">-AT88*AT42*AT$184/1000</f>
        <v>0</v>
      </c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</row>
    <row r="192" spans="1:69" ht="13.5" customHeight="1" x14ac:dyDescent="0.3">
      <c r="A192" s="7"/>
      <c r="B192" s="7"/>
      <c r="C192" s="5" t="s">
        <v>32</v>
      </c>
      <c r="D192" s="7"/>
      <c r="E192" s="7" t="s">
        <v>4</v>
      </c>
      <c r="F192" s="7"/>
      <c r="H192" s="7"/>
      <c r="I192" s="7"/>
      <c r="J192" s="12">
        <f t="shared" ref="J192:AG192" si="282">SUM(J185:J191)</f>
        <v>0</v>
      </c>
      <c r="K192" s="12">
        <f t="shared" ca="1" si="282"/>
        <v>0</v>
      </c>
      <c r="L192" s="12">
        <f t="shared" ca="1" si="282"/>
        <v>0</v>
      </c>
      <c r="M192" s="12">
        <f t="shared" ca="1" si="282"/>
        <v>0</v>
      </c>
      <c r="N192" s="12">
        <f t="shared" ca="1" si="282"/>
        <v>0</v>
      </c>
      <c r="O192" s="12">
        <f t="shared" ca="1" si="282"/>
        <v>0</v>
      </c>
      <c r="P192" s="12">
        <f t="shared" ca="1" si="282"/>
        <v>0</v>
      </c>
      <c r="Q192" s="12">
        <f t="shared" ca="1" si="282"/>
        <v>0</v>
      </c>
      <c r="R192" s="12">
        <f t="shared" ca="1" si="282"/>
        <v>0</v>
      </c>
      <c r="S192" s="12">
        <f t="shared" ca="1" si="282"/>
        <v>0</v>
      </c>
      <c r="T192" s="12">
        <f t="shared" ca="1" si="282"/>
        <v>0</v>
      </c>
      <c r="U192" s="12">
        <f t="shared" ca="1" si="282"/>
        <v>0</v>
      </c>
      <c r="V192" s="12">
        <f t="shared" ca="1" si="282"/>
        <v>0</v>
      </c>
      <c r="W192" s="12">
        <f t="shared" ca="1" si="282"/>
        <v>0</v>
      </c>
      <c r="X192" s="12">
        <f t="shared" ca="1" si="282"/>
        <v>0</v>
      </c>
      <c r="Y192" s="12">
        <f t="shared" ca="1" si="282"/>
        <v>0</v>
      </c>
      <c r="Z192" s="12">
        <f t="shared" ca="1" si="282"/>
        <v>0</v>
      </c>
      <c r="AA192" s="12">
        <f t="shared" ca="1" si="282"/>
        <v>-141.22885393048114</v>
      </c>
      <c r="AB192" s="12">
        <f t="shared" ca="1" si="282"/>
        <v>-247.08236867328355</v>
      </c>
      <c r="AC192" s="12">
        <f t="shared" ca="1" si="282"/>
        <v>-430.10312398534529</v>
      </c>
      <c r="AD192" s="12">
        <f t="shared" ca="1" si="282"/>
        <v>-484.94711688401469</v>
      </c>
      <c r="AE192" s="12">
        <f t="shared" ca="1" si="282"/>
        <v>-46.538261952635679</v>
      </c>
      <c r="AF192" s="12">
        <f t="shared" ca="1" si="282"/>
        <v>-41.30149681017663</v>
      </c>
      <c r="AG192" s="12">
        <f t="shared" ca="1" si="282"/>
        <v>-42.571517837089573</v>
      </c>
      <c r="AH192" s="7"/>
      <c r="AI192" s="12">
        <f t="shared" ref="AI192:AJ192" ca="1" si="283">SUMIF($J$145:$AF$145,AI$145,$J192:$AF192)</f>
        <v>0</v>
      </c>
      <c r="AJ192" s="12">
        <f t="shared" ca="1" si="283"/>
        <v>0</v>
      </c>
      <c r="AK192" s="12">
        <f t="shared" ref="AK192:AS192" si="284">SUM(AK185:AK191)</f>
        <v>-1390.081482290698</v>
      </c>
      <c r="AL192" s="12">
        <f t="shared" ca="1" si="284"/>
        <v>-1875.6560576752204</v>
      </c>
      <c r="AM192" s="12">
        <f t="shared" ca="1" si="284"/>
        <v>-2519.2921230066167</v>
      </c>
      <c r="AN192" s="12">
        <f t="shared" ca="1" si="284"/>
        <v>-3308.0236067181304</v>
      </c>
      <c r="AO192" s="12">
        <f t="shared" ca="1" si="284"/>
        <v>-3572.6654952555809</v>
      </c>
      <c r="AP192" s="12">
        <f t="shared" ca="1" si="284"/>
        <v>-3822.7520799234717</v>
      </c>
      <c r="AQ192" s="12">
        <f t="shared" ca="1" si="284"/>
        <v>-4071.2309651184969</v>
      </c>
      <c r="AR192" s="12">
        <f t="shared" ca="1" si="284"/>
        <v>-4315.504823025607</v>
      </c>
      <c r="AS192" s="12">
        <f t="shared" ca="1" si="284"/>
        <v>-4531.2800641768872</v>
      </c>
      <c r="AT192" s="12">
        <f t="shared" ref="AT192" ca="1" si="285">SUM(AT185:AT191)</f>
        <v>-4757.8440673857313</v>
      </c>
      <c r="AU192" s="216">
        <f ca="1">AL192/$AL$247</f>
        <v>6.9741431672319901E-2</v>
      </c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</row>
    <row r="193" spans="1:69" ht="13.5" customHeight="1" x14ac:dyDescent="0.3">
      <c r="A193" s="7"/>
      <c r="B193" s="7"/>
      <c r="C193" s="7"/>
      <c r="D193" s="7"/>
      <c r="E193" s="7"/>
      <c r="F193" s="7"/>
      <c r="H193" s="7"/>
      <c r="I193" s="7"/>
      <c r="J193" s="7">
        <v>1</v>
      </c>
      <c r="K193" s="7">
        <v>1</v>
      </c>
      <c r="L193" s="7">
        <v>1</v>
      </c>
      <c r="M193" s="7">
        <v>1</v>
      </c>
      <c r="N193" s="7">
        <v>1</v>
      </c>
      <c r="O193" s="7">
        <v>1</v>
      </c>
      <c r="P193" s="7">
        <v>1</v>
      </c>
      <c r="Q193" s="7">
        <v>1</v>
      </c>
      <c r="R193" s="7">
        <v>1</v>
      </c>
      <c r="S193" s="7">
        <v>1</v>
      </c>
      <c r="T193" s="7">
        <v>1</v>
      </c>
      <c r="U193" s="7">
        <v>1</v>
      </c>
      <c r="V193" s="7">
        <v>1</v>
      </c>
      <c r="W193" s="7">
        <v>1</v>
      </c>
      <c r="X193" s="7">
        <v>1</v>
      </c>
      <c r="Y193" s="7">
        <v>1</v>
      </c>
      <c r="Z193" s="7">
        <v>1</v>
      </c>
      <c r="AA193" s="7">
        <v>1</v>
      </c>
      <c r="AB193" s="7">
        <v>1</v>
      </c>
      <c r="AC193" s="7">
        <v>1</v>
      </c>
      <c r="AD193" s="7">
        <v>1</v>
      </c>
      <c r="AE193" s="7">
        <v>1</v>
      </c>
      <c r="AF193" s="7">
        <v>1</v>
      </c>
      <c r="AG193" s="7">
        <v>1</v>
      </c>
      <c r="AH193" s="7"/>
      <c r="AI193" s="7">
        <v>4</v>
      </c>
      <c r="AJ193" s="110">
        <v>4</v>
      </c>
      <c r="AK193" s="110">
        <v>4</v>
      </c>
      <c r="AL193" s="110">
        <v>4</v>
      </c>
      <c r="AM193" s="110">
        <v>4</v>
      </c>
      <c r="AN193" s="110">
        <v>4</v>
      </c>
      <c r="AO193" s="110">
        <v>4</v>
      </c>
      <c r="AP193" s="110">
        <v>4</v>
      </c>
      <c r="AQ193" s="110">
        <v>4</v>
      </c>
      <c r="AR193" s="110">
        <v>4</v>
      </c>
      <c r="AS193" s="110">
        <v>4</v>
      </c>
      <c r="AT193" s="110">
        <v>4</v>
      </c>
      <c r="AU193" s="68">
        <f>AVERAGE(AK193:AR193)</f>
        <v>4</v>
      </c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</row>
    <row r="194" spans="1:69" ht="13.5" customHeight="1" x14ac:dyDescent="0.3">
      <c r="A194" s="7"/>
      <c r="B194" s="5" t="s">
        <v>386</v>
      </c>
      <c r="C194" s="7"/>
      <c r="D194" s="7"/>
      <c r="E194" s="5" t="s">
        <v>40</v>
      </c>
      <c r="F194" s="7"/>
      <c r="H194" s="7"/>
      <c r="I194" s="7"/>
      <c r="J194" s="12">
        <f t="shared" ref="J194:AG194" si="286">J152</f>
        <v>200</v>
      </c>
      <c r="K194" s="12">
        <f t="shared" si="286"/>
        <v>199.75</v>
      </c>
      <c r="L194" s="12">
        <f t="shared" si="286"/>
        <v>199.25062500000001</v>
      </c>
      <c r="M194" s="12">
        <f t="shared" si="286"/>
        <v>198.75249843749998</v>
      </c>
      <c r="N194" s="12">
        <f t="shared" si="286"/>
        <v>198.25561719140626</v>
      </c>
      <c r="O194" s="12">
        <f t="shared" si="286"/>
        <v>197.75997814842773</v>
      </c>
      <c r="P194" s="12">
        <f t="shared" si="286"/>
        <v>197.26557820305666</v>
      </c>
      <c r="Q194" s="12">
        <f t="shared" si="286"/>
        <v>196.77241425754903</v>
      </c>
      <c r="R194" s="12">
        <f t="shared" si="286"/>
        <v>0</v>
      </c>
      <c r="S194" s="12">
        <f t="shared" si="286"/>
        <v>0</v>
      </c>
      <c r="T194" s="12">
        <f t="shared" si="286"/>
        <v>0</v>
      </c>
      <c r="U194" s="12">
        <f t="shared" si="286"/>
        <v>0</v>
      </c>
      <c r="V194" s="12">
        <f t="shared" si="286"/>
        <v>0</v>
      </c>
      <c r="W194" s="12">
        <f t="shared" si="286"/>
        <v>0</v>
      </c>
      <c r="X194" s="12">
        <f t="shared" si="286"/>
        <v>0</v>
      </c>
      <c r="Y194" s="12">
        <f t="shared" si="286"/>
        <v>0</v>
      </c>
      <c r="Z194" s="12">
        <f t="shared" si="286"/>
        <v>0</v>
      </c>
      <c r="AA194" s="12">
        <f t="shared" si="286"/>
        <v>0</v>
      </c>
      <c r="AB194" s="12">
        <f t="shared" si="286"/>
        <v>0</v>
      </c>
      <c r="AC194" s="12">
        <f t="shared" si="286"/>
        <v>0</v>
      </c>
      <c r="AD194" s="12">
        <f t="shared" si="286"/>
        <v>0</v>
      </c>
      <c r="AE194" s="12">
        <f t="shared" si="286"/>
        <v>0</v>
      </c>
      <c r="AF194" s="12">
        <f t="shared" si="286"/>
        <v>0</v>
      </c>
      <c r="AG194" s="12">
        <f t="shared" si="286"/>
        <v>0</v>
      </c>
      <c r="AH194" s="7"/>
      <c r="AI194" s="12">
        <f t="shared" ref="AI194:AJ194" si="287">AI153</f>
        <v>198.25561719140626</v>
      </c>
      <c r="AJ194" s="12">
        <f t="shared" si="287"/>
        <v>0</v>
      </c>
      <c r="AK194" s="12">
        <f t="shared" ref="AK194:AS194" si="288">AK156</f>
        <v>0</v>
      </c>
      <c r="AL194" s="12">
        <f t="shared" ca="1" si="288"/>
        <v>82.932118403128513</v>
      </c>
      <c r="AM194" s="12">
        <f t="shared" ca="1" si="288"/>
        <v>102.19310290225512</v>
      </c>
      <c r="AN194" s="12">
        <f t="shared" ca="1" si="288"/>
        <v>123.675</v>
      </c>
      <c r="AO194" s="12">
        <f t="shared" ca="1" si="288"/>
        <v>123.675</v>
      </c>
      <c r="AP194" s="12">
        <f t="shared" ca="1" si="288"/>
        <v>123.675</v>
      </c>
      <c r="AQ194" s="12">
        <f t="shared" ca="1" si="288"/>
        <v>123.675</v>
      </c>
      <c r="AR194" s="12">
        <f t="shared" ca="1" si="288"/>
        <v>123.675</v>
      </c>
      <c r="AS194" s="12">
        <f t="shared" ca="1" si="288"/>
        <v>123.675</v>
      </c>
      <c r="AT194" s="12">
        <f t="shared" ref="AT194" ca="1" si="289">AT156</f>
        <v>123.675</v>
      </c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</row>
    <row r="195" spans="1:69" ht="13.5" customHeight="1" x14ac:dyDescent="0.3">
      <c r="A195" s="7"/>
      <c r="B195" s="7"/>
      <c r="C195" s="7" t="s">
        <v>373</v>
      </c>
      <c r="D195" s="7"/>
      <c r="E195" s="7" t="s">
        <v>4</v>
      </c>
      <c r="F195" s="215"/>
      <c r="H195" s="7"/>
      <c r="I195" s="7"/>
      <c r="J195" s="8">
        <f t="shared" ref="J195:AG195" si="290">-J88*J45*J$4*J$194/1000</f>
        <v>0</v>
      </c>
      <c r="K195" s="8">
        <f t="shared" si="290"/>
        <v>0</v>
      </c>
      <c r="L195" s="8">
        <f t="shared" si="290"/>
        <v>0</v>
      </c>
      <c r="M195" s="8">
        <f t="shared" si="290"/>
        <v>0</v>
      </c>
      <c r="N195" s="8">
        <f t="shared" si="290"/>
        <v>0</v>
      </c>
      <c r="O195" s="8">
        <f t="shared" si="290"/>
        <v>0</v>
      </c>
      <c r="P195" s="8">
        <f t="shared" si="290"/>
        <v>0</v>
      </c>
      <c r="Q195" s="8">
        <f t="shared" si="290"/>
        <v>0</v>
      </c>
      <c r="R195" s="8">
        <f t="shared" si="290"/>
        <v>0</v>
      </c>
      <c r="S195" s="8">
        <f t="shared" si="290"/>
        <v>0</v>
      </c>
      <c r="T195" s="8">
        <f t="shared" si="290"/>
        <v>0</v>
      </c>
      <c r="U195" s="8">
        <f t="shared" si="290"/>
        <v>0</v>
      </c>
      <c r="V195" s="8">
        <f t="shared" si="290"/>
        <v>0</v>
      </c>
      <c r="W195" s="8">
        <f t="shared" si="290"/>
        <v>0</v>
      </c>
      <c r="X195" s="8">
        <f t="shared" si="290"/>
        <v>0</v>
      </c>
      <c r="Y195" s="8">
        <f t="shared" si="290"/>
        <v>0</v>
      </c>
      <c r="Z195" s="8">
        <f t="shared" si="290"/>
        <v>0</v>
      </c>
      <c r="AA195" s="8">
        <f t="shared" si="290"/>
        <v>0</v>
      </c>
      <c r="AB195" s="8">
        <f t="shared" si="290"/>
        <v>0</v>
      </c>
      <c r="AC195" s="8">
        <f t="shared" si="290"/>
        <v>0</v>
      </c>
      <c r="AD195" s="8">
        <f t="shared" si="290"/>
        <v>0</v>
      </c>
      <c r="AE195" s="8">
        <f t="shared" si="290"/>
        <v>0</v>
      </c>
      <c r="AF195" s="8">
        <f t="shared" si="290"/>
        <v>0</v>
      </c>
      <c r="AG195" s="8">
        <f t="shared" si="290"/>
        <v>0</v>
      </c>
      <c r="AH195" s="7"/>
      <c r="AI195" s="8">
        <f t="shared" ref="AI195:AJ195" si="291">SUMIF($J$145:$AF$145,AI$145,$J195:$AF195)</f>
        <v>0</v>
      </c>
      <c r="AJ195" s="8">
        <f t="shared" si="291"/>
        <v>0</v>
      </c>
      <c r="AK195" s="8">
        <f t="shared" ref="AK195:AS195" si="292">-AK88*AK45*AK$194/1000</f>
        <v>0</v>
      </c>
      <c r="AL195" s="8">
        <f t="shared" ca="1" si="292"/>
        <v>0</v>
      </c>
      <c r="AM195" s="8">
        <f t="shared" ca="1" si="292"/>
        <v>0</v>
      </c>
      <c r="AN195" s="8">
        <f t="shared" ca="1" si="292"/>
        <v>0</v>
      </c>
      <c r="AO195" s="8">
        <f t="shared" ca="1" si="292"/>
        <v>0</v>
      </c>
      <c r="AP195" s="8">
        <f t="shared" ca="1" si="292"/>
        <v>0</v>
      </c>
      <c r="AQ195" s="8">
        <f t="shared" ca="1" si="292"/>
        <v>0</v>
      </c>
      <c r="AR195" s="8">
        <f t="shared" ca="1" si="292"/>
        <v>0</v>
      </c>
      <c r="AS195" s="8">
        <f t="shared" ca="1" si="292"/>
        <v>0</v>
      </c>
      <c r="AT195" s="8">
        <f t="shared" ref="AT195" ca="1" si="293">-AT88*AT45*AT$194/1000</f>
        <v>0</v>
      </c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</row>
    <row r="196" spans="1:69" ht="13.5" customHeight="1" x14ac:dyDescent="0.3">
      <c r="A196" s="7"/>
      <c r="B196" s="7"/>
      <c r="C196" s="7" t="s">
        <v>374</v>
      </c>
      <c r="D196" s="7"/>
      <c r="E196" s="7" t="s">
        <v>4</v>
      </c>
      <c r="F196" s="215"/>
      <c r="H196" s="7"/>
      <c r="I196" s="7"/>
      <c r="J196" s="8">
        <f t="shared" ref="J196:AG196" si="294">-J89*J46*J$4*J$194/1000</f>
        <v>0</v>
      </c>
      <c r="K196" s="8">
        <f t="shared" si="294"/>
        <v>0</v>
      </c>
      <c r="L196" s="8">
        <f t="shared" si="294"/>
        <v>0</v>
      </c>
      <c r="M196" s="8">
        <f t="shared" si="294"/>
        <v>0</v>
      </c>
      <c r="N196" s="8">
        <f t="shared" si="294"/>
        <v>0</v>
      </c>
      <c r="O196" s="8">
        <f t="shared" si="294"/>
        <v>0</v>
      </c>
      <c r="P196" s="8">
        <f t="shared" si="294"/>
        <v>0</v>
      </c>
      <c r="Q196" s="8">
        <f t="shared" si="294"/>
        <v>0</v>
      </c>
      <c r="R196" s="8">
        <f t="shared" si="294"/>
        <v>0</v>
      </c>
      <c r="S196" s="8">
        <f t="shared" si="294"/>
        <v>0</v>
      </c>
      <c r="T196" s="8">
        <f t="shared" si="294"/>
        <v>0</v>
      </c>
      <c r="U196" s="8">
        <f t="shared" si="294"/>
        <v>0</v>
      </c>
      <c r="V196" s="8">
        <f t="shared" si="294"/>
        <v>0</v>
      </c>
      <c r="W196" s="8">
        <f t="shared" si="294"/>
        <v>0</v>
      </c>
      <c r="X196" s="8">
        <f t="shared" si="294"/>
        <v>0</v>
      </c>
      <c r="Y196" s="8">
        <f t="shared" si="294"/>
        <v>0</v>
      </c>
      <c r="Z196" s="8">
        <f t="shared" si="294"/>
        <v>0</v>
      </c>
      <c r="AA196" s="8">
        <f t="shared" si="294"/>
        <v>0</v>
      </c>
      <c r="AB196" s="8">
        <f t="shared" si="294"/>
        <v>0</v>
      </c>
      <c r="AC196" s="8">
        <f t="shared" si="294"/>
        <v>0</v>
      </c>
      <c r="AD196" s="8">
        <f t="shared" si="294"/>
        <v>0</v>
      </c>
      <c r="AE196" s="8">
        <f t="shared" si="294"/>
        <v>0</v>
      </c>
      <c r="AF196" s="8">
        <f t="shared" si="294"/>
        <v>0</v>
      </c>
      <c r="AG196" s="8">
        <f t="shared" si="294"/>
        <v>0</v>
      </c>
      <c r="AH196" s="7"/>
      <c r="AI196" s="8">
        <f t="shared" ref="AI196:AJ196" si="295">SUMIF($J$145:$AF$145,AI$145,$J196:$AF196)</f>
        <v>0</v>
      </c>
      <c r="AJ196" s="8">
        <f t="shared" si="295"/>
        <v>0</v>
      </c>
      <c r="AK196" s="8">
        <f t="shared" ref="AK196:AS196" si="296">-AK89*AK46*AK$194/1000</f>
        <v>0</v>
      </c>
      <c r="AL196" s="8">
        <f t="shared" ca="1" si="296"/>
        <v>0</v>
      </c>
      <c r="AM196" s="8">
        <f t="shared" ca="1" si="296"/>
        <v>0</v>
      </c>
      <c r="AN196" s="8">
        <f t="shared" ca="1" si="296"/>
        <v>0</v>
      </c>
      <c r="AO196" s="8">
        <f t="shared" ca="1" si="296"/>
        <v>0</v>
      </c>
      <c r="AP196" s="8">
        <f t="shared" ca="1" si="296"/>
        <v>0</v>
      </c>
      <c r="AQ196" s="8">
        <f t="shared" ca="1" si="296"/>
        <v>0</v>
      </c>
      <c r="AR196" s="8">
        <f t="shared" ca="1" si="296"/>
        <v>0</v>
      </c>
      <c r="AS196" s="8">
        <f t="shared" ca="1" si="296"/>
        <v>0</v>
      </c>
      <c r="AT196" s="8">
        <f t="shared" ref="AT196" ca="1" si="297">-AT89*AT46*AT$194/1000</f>
        <v>0</v>
      </c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</row>
    <row r="197" spans="1:69" ht="13.5" customHeight="1" x14ac:dyDescent="0.3">
      <c r="A197" s="7"/>
      <c r="B197" s="7"/>
      <c r="C197" s="7" t="s">
        <v>375</v>
      </c>
      <c r="D197" s="7"/>
      <c r="E197" s="7" t="s">
        <v>4</v>
      </c>
      <c r="F197" s="215"/>
      <c r="H197" s="7"/>
      <c r="I197" s="7"/>
      <c r="J197" s="8">
        <f t="shared" ref="J197:AG197" si="298">-J90*J47*J$4*J$194/1000</f>
        <v>-26.1</v>
      </c>
      <c r="K197" s="8">
        <f t="shared" si="298"/>
        <v>-26.067374999999998</v>
      </c>
      <c r="L197" s="8">
        <f t="shared" si="298"/>
        <v>-26.868946781249999</v>
      </c>
      <c r="M197" s="8">
        <f t="shared" si="298"/>
        <v>-25.937201046093747</v>
      </c>
      <c r="N197" s="8">
        <f t="shared" si="298"/>
        <v>-26.734769978261134</v>
      </c>
      <c r="O197" s="8">
        <f t="shared" si="298"/>
        <v>-29.468066023913607</v>
      </c>
      <c r="P197" s="8">
        <f t="shared" si="298"/>
        <v>-26.549776904771193</v>
      </c>
      <c r="Q197" s="8">
        <f t="shared" si="298"/>
        <v>-29.320909869206691</v>
      </c>
      <c r="R197" s="8">
        <f t="shared" si="298"/>
        <v>0</v>
      </c>
      <c r="S197" s="8">
        <f t="shared" si="298"/>
        <v>0</v>
      </c>
      <c r="T197" s="8">
        <f t="shared" si="298"/>
        <v>0</v>
      </c>
      <c r="U197" s="8">
        <f t="shared" si="298"/>
        <v>0</v>
      </c>
      <c r="V197" s="8">
        <f t="shared" si="298"/>
        <v>0</v>
      </c>
      <c r="W197" s="8">
        <f t="shared" si="298"/>
        <v>0</v>
      </c>
      <c r="X197" s="8">
        <f t="shared" si="298"/>
        <v>0</v>
      </c>
      <c r="Y197" s="8">
        <f t="shared" si="298"/>
        <v>0</v>
      </c>
      <c r="Z197" s="8">
        <f t="shared" si="298"/>
        <v>0</v>
      </c>
      <c r="AA197" s="8">
        <f t="shared" si="298"/>
        <v>0</v>
      </c>
      <c r="AB197" s="8">
        <f t="shared" si="298"/>
        <v>0</v>
      </c>
      <c r="AC197" s="8">
        <f t="shared" si="298"/>
        <v>0</v>
      </c>
      <c r="AD197" s="8">
        <f t="shared" si="298"/>
        <v>0</v>
      </c>
      <c r="AE197" s="8">
        <f t="shared" si="298"/>
        <v>0</v>
      </c>
      <c r="AF197" s="8">
        <f t="shared" si="298"/>
        <v>0</v>
      </c>
      <c r="AG197" s="8">
        <f t="shared" si="298"/>
        <v>0</v>
      </c>
      <c r="AH197" s="7"/>
      <c r="AI197" s="8">
        <f t="shared" ref="AI197:AJ197" si="299">SUMIF($J$145:$AF$145,AI$145,$J197:$AF197)</f>
        <v>-131.70829280560488</v>
      </c>
      <c r="AJ197" s="8">
        <f t="shared" si="299"/>
        <v>-85.338752797891487</v>
      </c>
      <c r="AK197" s="8">
        <f t="shared" ref="AK197:AS197" si="300">-AK90*AK47*AK$194/1000</f>
        <v>0</v>
      </c>
      <c r="AL197" s="8">
        <f t="shared" ca="1" si="300"/>
        <v>-43.213914448352071</v>
      </c>
      <c r="AM197" s="8">
        <f t="shared" ca="1" si="300"/>
        <v>-58.042877226090226</v>
      </c>
      <c r="AN197" s="8">
        <f t="shared" ca="1" si="300"/>
        <v>-76.214745528041448</v>
      </c>
      <c r="AO197" s="8">
        <f t="shared" ca="1" si="300"/>
        <v>-82.311925170284766</v>
      </c>
      <c r="AP197" s="8">
        <f t="shared" ca="1" si="300"/>
        <v>-88.073759932204695</v>
      </c>
      <c r="AQ197" s="8">
        <f t="shared" ca="1" si="300"/>
        <v>-93.798554327798001</v>
      </c>
      <c r="AR197" s="8">
        <f t="shared" ca="1" si="300"/>
        <v>-99.426467587465879</v>
      </c>
      <c r="AS197" s="8">
        <f t="shared" ca="1" si="300"/>
        <v>-104.39779096683918</v>
      </c>
      <c r="AT197" s="8">
        <f t="shared" ref="AT197" ca="1" si="301">-AT90*AT47*AT$194/1000</f>
        <v>-109.61768051518116</v>
      </c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</row>
    <row r="198" spans="1:69" ht="13.5" customHeight="1" x14ac:dyDescent="0.3">
      <c r="A198" s="7"/>
      <c r="B198" s="7"/>
      <c r="C198" s="7" t="s">
        <v>385</v>
      </c>
      <c r="D198" s="7"/>
      <c r="E198" s="7" t="s">
        <v>4</v>
      </c>
      <c r="F198" s="215"/>
      <c r="H198" s="7"/>
      <c r="I198" s="7"/>
      <c r="J198" s="8">
        <f t="shared" ref="J198:AG198" si="302">-J94*J48*J$4*J$194/1000</f>
        <v>-26.1</v>
      </c>
      <c r="K198" s="8">
        <f t="shared" si="302"/>
        <v>-26.067374999999998</v>
      </c>
      <c r="L198" s="8">
        <f t="shared" si="302"/>
        <v>-26.868946781249999</v>
      </c>
      <c r="M198" s="8">
        <f t="shared" si="302"/>
        <v>-25.937201046093747</v>
      </c>
      <c r="N198" s="8">
        <f t="shared" si="302"/>
        <v>-26.734769978261134</v>
      </c>
      <c r="O198" s="8">
        <f t="shared" si="302"/>
        <v>-29.468066023913607</v>
      </c>
      <c r="P198" s="8">
        <f t="shared" si="302"/>
        <v>-26.549776904771193</v>
      </c>
      <c r="Q198" s="8">
        <f t="shared" si="302"/>
        <v>-29.320909869206691</v>
      </c>
      <c r="R198" s="8">
        <f t="shared" si="302"/>
        <v>0</v>
      </c>
      <c r="S198" s="8">
        <f t="shared" si="302"/>
        <v>0</v>
      </c>
      <c r="T198" s="8">
        <f t="shared" si="302"/>
        <v>0</v>
      </c>
      <c r="U198" s="8">
        <f t="shared" si="302"/>
        <v>0</v>
      </c>
      <c r="V198" s="8">
        <f t="shared" si="302"/>
        <v>0</v>
      </c>
      <c r="W198" s="8">
        <f t="shared" si="302"/>
        <v>0</v>
      </c>
      <c r="X198" s="8">
        <f t="shared" si="302"/>
        <v>0</v>
      </c>
      <c r="Y198" s="8">
        <f t="shared" si="302"/>
        <v>0</v>
      </c>
      <c r="Z198" s="8">
        <f t="shared" si="302"/>
        <v>0</v>
      </c>
      <c r="AA198" s="8">
        <f t="shared" si="302"/>
        <v>0</v>
      </c>
      <c r="AB198" s="8">
        <f t="shared" si="302"/>
        <v>0</v>
      </c>
      <c r="AC198" s="8">
        <f t="shared" si="302"/>
        <v>0</v>
      </c>
      <c r="AD198" s="8">
        <f t="shared" si="302"/>
        <v>0</v>
      </c>
      <c r="AE198" s="8">
        <f t="shared" si="302"/>
        <v>0</v>
      </c>
      <c r="AF198" s="8">
        <f t="shared" si="302"/>
        <v>0</v>
      </c>
      <c r="AG198" s="8">
        <f t="shared" si="302"/>
        <v>0</v>
      </c>
      <c r="AH198" s="7"/>
      <c r="AI198" s="8">
        <f t="shared" ref="AI198:AJ198" si="303">SUMIF($J$145:$AF$145,AI$145,$J198:$AF198)</f>
        <v>-131.70829280560488</v>
      </c>
      <c r="AJ198" s="8">
        <f t="shared" si="303"/>
        <v>-85.338752797891487</v>
      </c>
      <c r="AK198" s="8">
        <f t="shared" ref="AK198:AS198" si="304">-AK94*AK48*AK$194/1000</f>
        <v>0</v>
      </c>
      <c r="AL198" s="8">
        <f t="shared" ca="1" si="304"/>
        <v>-43.213914448352071</v>
      </c>
      <c r="AM198" s="8">
        <f t="shared" ca="1" si="304"/>
        <v>-58.042877226090226</v>
      </c>
      <c r="AN198" s="8">
        <f t="shared" ca="1" si="304"/>
        <v>-76.214745528041448</v>
      </c>
      <c r="AO198" s="8">
        <f t="shared" ca="1" si="304"/>
        <v>-82.311925170284766</v>
      </c>
      <c r="AP198" s="8">
        <f t="shared" ca="1" si="304"/>
        <v>-88.073759932204695</v>
      </c>
      <c r="AQ198" s="8">
        <f t="shared" ca="1" si="304"/>
        <v>-93.798554327798001</v>
      </c>
      <c r="AR198" s="8">
        <f t="shared" ca="1" si="304"/>
        <v>-99.426467587465879</v>
      </c>
      <c r="AS198" s="8">
        <f t="shared" ca="1" si="304"/>
        <v>-104.39779096683918</v>
      </c>
      <c r="AT198" s="8">
        <f t="shared" ref="AT198" ca="1" si="305">-AT94*AT48*AT$194/1000</f>
        <v>-109.61768051518116</v>
      </c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</row>
    <row r="199" spans="1:69" ht="13.5" customHeight="1" x14ac:dyDescent="0.3">
      <c r="A199" s="7"/>
      <c r="B199" s="7"/>
      <c r="C199" s="7" t="s">
        <v>376</v>
      </c>
      <c r="D199" s="7"/>
      <c r="E199" s="7" t="s">
        <v>4</v>
      </c>
      <c r="F199" s="215"/>
      <c r="H199" s="7"/>
      <c r="I199" s="7"/>
      <c r="J199" s="8">
        <f t="shared" ref="J199:AG199" si="306">-J91*J49*J$4*J$194/1000</f>
        <v>0</v>
      </c>
      <c r="K199" s="8">
        <f t="shared" si="306"/>
        <v>0</v>
      </c>
      <c r="L199" s="8">
        <f t="shared" si="306"/>
        <v>0</v>
      </c>
      <c r="M199" s="8">
        <f t="shared" si="306"/>
        <v>-667.80839474999993</v>
      </c>
      <c r="N199" s="8">
        <f t="shared" si="306"/>
        <v>-688.34350288856251</v>
      </c>
      <c r="O199" s="8">
        <f t="shared" si="306"/>
        <v>-758.71802176513188</v>
      </c>
      <c r="P199" s="8">
        <f t="shared" si="306"/>
        <v>-683.58046283548811</v>
      </c>
      <c r="Q199" s="8">
        <f t="shared" si="306"/>
        <v>-754.92917364394225</v>
      </c>
      <c r="R199" s="8">
        <f t="shared" si="306"/>
        <v>0</v>
      </c>
      <c r="S199" s="8">
        <f t="shared" si="306"/>
        <v>0</v>
      </c>
      <c r="T199" s="8">
        <f t="shared" si="306"/>
        <v>0</v>
      </c>
      <c r="U199" s="8">
        <f t="shared" si="306"/>
        <v>0</v>
      </c>
      <c r="V199" s="8">
        <f t="shared" si="306"/>
        <v>0</v>
      </c>
      <c r="W199" s="8">
        <f t="shared" si="306"/>
        <v>0</v>
      </c>
      <c r="X199" s="8">
        <f t="shared" si="306"/>
        <v>0</v>
      </c>
      <c r="Y199" s="8">
        <f t="shared" si="306"/>
        <v>0</v>
      </c>
      <c r="Z199" s="8">
        <f t="shared" si="306"/>
        <v>0</v>
      </c>
      <c r="AA199" s="8">
        <f t="shared" si="306"/>
        <v>0</v>
      </c>
      <c r="AB199" s="8">
        <f t="shared" si="306"/>
        <v>0</v>
      </c>
      <c r="AC199" s="8">
        <f t="shared" si="306"/>
        <v>0</v>
      </c>
      <c r="AD199" s="8">
        <f t="shared" si="306"/>
        <v>0</v>
      </c>
      <c r="AE199" s="8">
        <f t="shared" si="306"/>
        <v>0</v>
      </c>
      <c r="AF199" s="8">
        <f t="shared" si="306"/>
        <v>0</v>
      </c>
      <c r="AG199" s="8">
        <f t="shared" si="306"/>
        <v>0</v>
      </c>
      <c r="AH199" s="7"/>
      <c r="AI199" s="8">
        <f t="shared" ref="AI199:AJ199" si="307">SUMIF($J$145:$AF$145,AI$145,$J199:$AF199)</f>
        <v>-1356.1518976385623</v>
      </c>
      <c r="AJ199" s="8">
        <f t="shared" si="307"/>
        <v>-2197.227658244562</v>
      </c>
      <c r="AK199" s="8">
        <f t="shared" ref="AK199:AS199" si="308">-AK91*AK49*AK$194/1000</f>
        <v>0</v>
      </c>
      <c r="AL199" s="8">
        <f t="shared" ca="1" si="308"/>
        <v>-1112.6341191299841</v>
      </c>
      <c r="AM199" s="8">
        <f t="shared" ca="1" si="308"/>
        <v>-1494.4372986947362</v>
      </c>
      <c r="AN199" s="8">
        <f t="shared" ca="1" si="308"/>
        <v>-1962.3106894576181</v>
      </c>
      <c r="AO199" s="8">
        <f t="shared" ca="1" si="308"/>
        <v>-2119.2955446142278</v>
      </c>
      <c r="AP199" s="8">
        <f t="shared" ca="1" si="308"/>
        <v>-2267.6462327372242</v>
      </c>
      <c r="AQ199" s="8">
        <f t="shared" ca="1" si="308"/>
        <v>-2415.0432378651435</v>
      </c>
      <c r="AR199" s="8">
        <f t="shared" ca="1" si="308"/>
        <v>-2559.9458321370521</v>
      </c>
      <c r="AS199" s="8">
        <f t="shared" ca="1" si="308"/>
        <v>-2687.9431237439053</v>
      </c>
      <c r="AT199" s="8">
        <f t="shared" ref="AT199" ca="1" si="309">-AT91*AT49*AT$194/1000</f>
        <v>-2822.3402799311007</v>
      </c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</row>
    <row r="200" spans="1:69" ht="13.5" customHeight="1" x14ac:dyDescent="0.3">
      <c r="A200" s="7"/>
      <c r="B200" s="7"/>
      <c r="C200" s="7" t="s">
        <v>377</v>
      </c>
      <c r="D200" s="7"/>
      <c r="E200" s="7" t="s">
        <v>4</v>
      </c>
      <c r="F200" s="215"/>
      <c r="H200" s="7"/>
      <c r="I200" s="7"/>
      <c r="J200" s="8">
        <f t="shared" ref="J200:AG200" si="310">-J92*J50*J$4*J$194/1000</f>
        <v>0</v>
      </c>
      <c r="K200" s="8">
        <f t="shared" si="310"/>
        <v>0</v>
      </c>
      <c r="L200" s="8">
        <f t="shared" si="310"/>
        <v>0</v>
      </c>
      <c r="M200" s="8">
        <f t="shared" si="310"/>
        <v>-447.19312148437496</v>
      </c>
      <c r="N200" s="8">
        <f t="shared" si="310"/>
        <v>-460.94430997001956</v>
      </c>
      <c r="O200" s="8">
        <f t="shared" si="310"/>
        <v>-508.07010386057942</v>
      </c>
      <c r="P200" s="8">
        <f t="shared" si="310"/>
        <v>-457.75477422019299</v>
      </c>
      <c r="Q200" s="8">
        <f t="shared" si="310"/>
        <v>-505.53292877942567</v>
      </c>
      <c r="R200" s="8">
        <f t="shared" si="310"/>
        <v>0</v>
      </c>
      <c r="S200" s="8">
        <f t="shared" si="310"/>
        <v>0</v>
      </c>
      <c r="T200" s="8">
        <f t="shared" si="310"/>
        <v>0</v>
      </c>
      <c r="U200" s="8">
        <f t="shared" si="310"/>
        <v>0</v>
      </c>
      <c r="V200" s="8">
        <f t="shared" si="310"/>
        <v>0</v>
      </c>
      <c r="W200" s="8">
        <f t="shared" si="310"/>
        <v>0</v>
      </c>
      <c r="X200" s="8">
        <f t="shared" si="310"/>
        <v>0</v>
      </c>
      <c r="Y200" s="8">
        <f t="shared" si="310"/>
        <v>0</v>
      </c>
      <c r="Z200" s="8">
        <f t="shared" si="310"/>
        <v>0</v>
      </c>
      <c r="AA200" s="8">
        <f t="shared" si="310"/>
        <v>0</v>
      </c>
      <c r="AB200" s="8">
        <f t="shared" si="310"/>
        <v>0</v>
      </c>
      <c r="AC200" s="8">
        <f t="shared" si="310"/>
        <v>0</v>
      </c>
      <c r="AD200" s="8">
        <f t="shared" si="310"/>
        <v>0</v>
      </c>
      <c r="AE200" s="8">
        <f t="shared" si="310"/>
        <v>0</v>
      </c>
      <c r="AF200" s="8">
        <f t="shared" si="310"/>
        <v>0</v>
      </c>
      <c r="AG200" s="8">
        <f t="shared" si="310"/>
        <v>0</v>
      </c>
      <c r="AH200" s="7"/>
      <c r="AI200" s="8">
        <f t="shared" ref="AI200:AJ200" si="311">SUMIF($J$145:$AF$145,AI$145,$J200:$AF200)</f>
        <v>-908.13743145439457</v>
      </c>
      <c r="AJ200" s="8">
        <f t="shared" si="311"/>
        <v>-1471.357806860198</v>
      </c>
      <c r="AK200" s="8">
        <f t="shared" ref="AK200:AS200" si="312">-AK92*AK50*AK$194/1000</f>
        <v>0</v>
      </c>
      <c r="AL200" s="8">
        <f t="shared" ca="1" si="312"/>
        <v>-745.06749048882875</v>
      </c>
      <c r="AM200" s="8">
        <f t="shared" ca="1" si="312"/>
        <v>-1000.7392625187967</v>
      </c>
      <c r="AN200" s="8">
        <f t="shared" ca="1" si="312"/>
        <v>-1314.0473366903695</v>
      </c>
      <c r="AO200" s="8">
        <f t="shared" ca="1" si="312"/>
        <v>-1419.1711236255994</v>
      </c>
      <c r="AP200" s="8">
        <f t="shared" ca="1" si="312"/>
        <v>-1518.5131022793912</v>
      </c>
      <c r="AQ200" s="8">
        <f t="shared" ca="1" si="312"/>
        <v>-1617.2164539275516</v>
      </c>
      <c r="AR200" s="8">
        <f t="shared" ca="1" si="312"/>
        <v>-1714.2494411632047</v>
      </c>
      <c r="AS200" s="8">
        <f t="shared" ca="1" si="312"/>
        <v>-1799.9619132213652</v>
      </c>
      <c r="AT200" s="8">
        <f t="shared" ref="AT200" ca="1" si="313">-AT92*AT50*AT$194/1000</f>
        <v>-1889.9600088824334</v>
      </c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</row>
    <row r="201" spans="1:69" ht="13.5" customHeight="1" x14ac:dyDescent="0.3">
      <c r="A201" s="7"/>
      <c r="B201" s="7"/>
      <c r="C201" s="7" t="s">
        <v>387</v>
      </c>
      <c r="D201" s="7"/>
      <c r="E201" s="7" t="s">
        <v>4</v>
      </c>
      <c r="F201" s="215"/>
      <c r="H201" s="7"/>
      <c r="I201" s="7"/>
      <c r="J201" s="8">
        <f t="shared" ref="J201:AG201" si="314">-J98*J51*J$4*J$194/1000</f>
        <v>0</v>
      </c>
      <c r="K201" s="8">
        <f t="shared" si="314"/>
        <v>0</v>
      </c>
      <c r="L201" s="8">
        <f t="shared" si="314"/>
        <v>0</v>
      </c>
      <c r="M201" s="8">
        <f t="shared" si="314"/>
        <v>0</v>
      </c>
      <c r="N201" s="8">
        <f t="shared" si="314"/>
        <v>0</v>
      </c>
      <c r="O201" s="8">
        <f t="shared" si="314"/>
        <v>0</v>
      </c>
      <c r="P201" s="8">
        <f t="shared" si="314"/>
        <v>0</v>
      </c>
      <c r="Q201" s="8">
        <f t="shared" si="314"/>
        <v>0</v>
      </c>
      <c r="R201" s="8">
        <f t="shared" si="314"/>
        <v>0</v>
      </c>
      <c r="S201" s="8">
        <f t="shared" si="314"/>
        <v>0</v>
      </c>
      <c r="T201" s="8">
        <f t="shared" si="314"/>
        <v>0</v>
      </c>
      <c r="U201" s="8">
        <f t="shared" si="314"/>
        <v>0</v>
      </c>
      <c r="V201" s="8">
        <f t="shared" si="314"/>
        <v>0</v>
      </c>
      <c r="W201" s="8">
        <f t="shared" si="314"/>
        <v>0</v>
      </c>
      <c r="X201" s="8">
        <f t="shared" si="314"/>
        <v>0</v>
      </c>
      <c r="Y201" s="8">
        <f t="shared" si="314"/>
        <v>0</v>
      </c>
      <c r="Z201" s="8">
        <f t="shared" si="314"/>
        <v>0</v>
      </c>
      <c r="AA201" s="8">
        <f t="shared" si="314"/>
        <v>0</v>
      </c>
      <c r="AB201" s="8">
        <f t="shared" si="314"/>
        <v>0</v>
      </c>
      <c r="AC201" s="8">
        <f t="shared" si="314"/>
        <v>0</v>
      </c>
      <c r="AD201" s="8">
        <f t="shared" si="314"/>
        <v>0</v>
      </c>
      <c r="AE201" s="8">
        <f t="shared" si="314"/>
        <v>0</v>
      </c>
      <c r="AF201" s="8">
        <f t="shared" si="314"/>
        <v>0</v>
      </c>
      <c r="AG201" s="8">
        <f t="shared" si="314"/>
        <v>0</v>
      </c>
      <c r="AH201" s="7"/>
      <c r="AI201" s="8">
        <f t="shared" ref="AI201:AJ201" si="315">SUMIF($J$145:$AF$145,AI$145,$J201:$AF201)</f>
        <v>0</v>
      </c>
      <c r="AJ201" s="8">
        <f t="shared" si="315"/>
        <v>0</v>
      </c>
      <c r="AK201" s="8">
        <f t="shared" ref="AK201:AS201" si="316">-AK98*AK51*AK$194/1000</f>
        <v>0</v>
      </c>
      <c r="AL201" s="8">
        <f t="shared" ca="1" si="316"/>
        <v>0</v>
      </c>
      <c r="AM201" s="8">
        <f t="shared" ca="1" si="316"/>
        <v>0</v>
      </c>
      <c r="AN201" s="8">
        <f t="shared" ca="1" si="316"/>
        <v>0</v>
      </c>
      <c r="AO201" s="8">
        <f t="shared" ca="1" si="316"/>
        <v>0</v>
      </c>
      <c r="AP201" s="8">
        <f t="shared" ca="1" si="316"/>
        <v>0</v>
      </c>
      <c r="AQ201" s="8">
        <f t="shared" ca="1" si="316"/>
        <v>0</v>
      </c>
      <c r="AR201" s="8">
        <f t="shared" ca="1" si="316"/>
        <v>0</v>
      </c>
      <c r="AS201" s="8">
        <f t="shared" ca="1" si="316"/>
        <v>0</v>
      </c>
      <c r="AT201" s="8">
        <f t="shared" ref="AT201" ca="1" si="317">-AT98*AT51*AT$194/1000</f>
        <v>0</v>
      </c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</row>
    <row r="202" spans="1:69" ht="13.5" customHeight="1" x14ac:dyDescent="0.3">
      <c r="A202" s="7"/>
      <c r="B202" s="7"/>
      <c r="C202" s="7" t="s">
        <v>388</v>
      </c>
      <c r="D202" s="7"/>
      <c r="E202" s="7" t="s">
        <v>4</v>
      </c>
      <c r="F202" s="215"/>
      <c r="H202" s="7"/>
      <c r="I202" s="7"/>
      <c r="J202" s="8">
        <f t="shared" ref="J202:AG202" si="318">-J99*J52*J$4*J$194/1000</f>
        <v>0</v>
      </c>
      <c r="K202" s="8">
        <f t="shared" si="318"/>
        <v>0</v>
      </c>
      <c r="L202" s="8">
        <f t="shared" si="318"/>
        <v>0</v>
      </c>
      <c r="M202" s="8">
        <f t="shared" si="318"/>
        <v>0</v>
      </c>
      <c r="N202" s="8">
        <f t="shared" si="318"/>
        <v>0</v>
      </c>
      <c r="O202" s="8">
        <f t="shared" si="318"/>
        <v>0</v>
      </c>
      <c r="P202" s="8">
        <f t="shared" si="318"/>
        <v>0</v>
      </c>
      <c r="Q202" s="8">
        <f t="shared" si="318"/>
        <v>0</v>
      </c>
      <c r="R202" s="8">
        <f t="shared" si="318"/>
        <v>0</v>
      </c>
      <c r="S202" s="8">
        <f t="shared" si="318"/>
        <v>0</v>
      </c>
      <c r="T202" s="8">
        <f t="shared" si="318"/>
        <v>0</v>
      </c>
      <c r="U202" s="8">
        <f t="shared" si="318"/>
        <v>0</v>
      </c>
      <c r="V202" s="8">
        <f t="shared" si="318"/>
        <v>0</v>
      </c>
      <c r="W202" s="8">
        <f t="shared" si="318"/>
        <v>0</v>
      </c>
      <c r="X202" s="8">
        <f t="shared" si="318"/>
        <v>0</v>
      </c>
      <c r="Y202" s="8">
        <f t="shared" si="318"/>
        <v>0</v>
      </c>
      <c r="Z202" s="8">
        <f t="shared" si="318"/>
        <v>0</v>
      </c>
      <c r="AA202" s="8">
        <f t="shared" si="318"/>
        <v>0</v>
      </c>
      <c r="AB202" s="8">
        <f t="shared" si="318"/>
        <v>0</v>
      </c>
      <c r="AC202" s="8">
        <f t="shared" si="318"/>
        <v>0</v>
      </c>
      <c r="AD202" s="8">
        <f t="shared" si="318"/>
        <v>0</v>
      </c>
      <c r="AE202" s="8">
        <f t="shared" si="318"/>
        <v>0</v>
      </c>
      <c r="AF202" s="8">
        <f t="shared" si="318"/>
        <v>0</v>
      </c>
      <c r="AG202" s="8">
        <f t="shared" si="318"/>
        <v>0</v>
      </c>
      <c r="AH202" s="7"/>
      <c r="AI202" s="8">
        <f t="shared" ref="AI202:AJ202" si="319">SUMIF($J$145:$AF$145,AI$145,$J202:$AF202)</f>
        <v>0</v>
      </c>
      <c r="AJ202" s="8">
        <f t="shared" si="319"/>
        <v>0</v>
      </c>
      <c r="AK202" s="8">
        <f t="shared" ref="AK202:AS202" si="320">-AK99*AK52*AK$194/1000</f>
        <v>0</v>
      </c>
      <c r="AL202" s="8">
        <f t="shared" ca="1" si="320"/>
        <v>0</v>
      </c>
      <c r="AM202" s="8">
        <f t="shared" ca="1" si="320"/>
        <v>0</v>
      </c>
      <c r="AN202" s="8">
        <f t="shared" ca="1" si="320"/>
        <v>0</v>
      </c>
      <c r="AO202" s="8">
        <f t="shared" ca="1" si="320"/>
        <v>0</v>
      </c>
      <c r="AP202" s="8">
        <f t="shared" ca="1" si="320"/>
        <v>0</v>
      </c>
      <c r="AQ202" s="8">
        <f t="shared" ca="1" si="320"/>
        <v>0</v>
      </c>
      <c r="AR202" s="8">
        <f t="shared" ca="1" si="320"/>
        <v>0</v>
      </c>
      <c r="AS202" s="8">
        <f t="shared" ca="1" si="320"/>
        <v>0</v>
      </c>
      <c r="AT202" s="8">
        <f t="shared" ref="AT202" ca="1" si="321">-AT99*AT52*AT$194/1000</f>
        <v>0</v>
      </c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</row>
    <row r="203" spans="1:69" ht="13.5" customHeight="1" x14ac:dyDescent="0.3">
      <c r="A203" s="7"/>
      <c r="B203" s="7"/>
      <c r="C203" s="5" t="s">
        <v>32</v>
      </c>
      <c r="D203" s="7"/>
      <c r="E203" s="7" t="s">
        <v>4</v>
      </c>
      <c r="F203" s="7"/>
      <c r="H203" s="7"/>
      <c r="I203" s="7"/>
      <c r="J203" s="12">
        <f t="shared" ref="J203:AG203" si="322">SUM(J195:J202)</f>
        <v>-52.2</v>
      </c>
      <c r="K203" s="12">
        <f t="shared" si="322"/>
        <v>-52.134749999999997</v>
      </c>
      <c r="L203" s="12">
        <f t="shared" si="322"/>
        <v>-53.737893562499998</v>
      </c>
      <c r="M203" s="12">
        <f t="shared" si="322"/>
        <v>-1166.8759183265624</v>
      </c>
      <c r="N203" s="12">
        <f t="shared" si="322"/>
        <v>-1202.7573528151042</v>
      </c>
      <c r="O203" s="12">
        <f t="shared" si="322"/>
        <v>-1325.7242576735384</v>
      </c>
      <c r="P203" s="12">
        <f t="shared" si="322"/>
        <v>-1194.4347908652235</v>
      </c>
      <c r="Q203" s="12">
        <f t="shared" si="322"/>
        <v>-1319.1039221617812</v>
      </c>
      <c r="R203" s="12">
        <f t="shared" si="322"/>
        <v>0</v>
      </c>
      <c r="S203" s="12">
        <f t="shared" si="322"/>
        <v>0</v>
      </c>
      <c r="T203" s="12">
        <f t="shared" si="322"/>
        <v>0</v>
      </c>
      <c r="U203" s="12">
        <f t="shared" si="322"/>
        <v>0</v>
      </c>
      <c r="V203" s="12">
        <f t="shared" si="322"/>
        <v>0</v>
      </c>
      <c r="W203" s="12">
        <f t="shared" si="322"/>
        <v>0</v>
      </c>
      <c r="X203" s="12">
        <f t="shared" si="322"/>
        <v>0</v>
      </c>
      <c r="Y203" s="12">
        <f t="shared" si="322"/>
        <v>0</v>
      </c>
      <c r="Z203" s="12">
        <f t="shared" si="322"/>
        <v>0</v>
      </c>
      <c r="AA203" s="12">
        <f t="shared" si="322"/>
        <v>0</v>
      </c>
      <c r="AB203" s="12">
        <f t="shared" si="322"/>
        <v>0</v>
      </c>
      <c r="AC203" s="12">
        <f t="shared" si="322"/>
        <v>0</v>
      </c>
      <c r="AD203" s="12">
        <f t="shared" si="322"/>
        <v>0</v>
      </c>
      <c r="AE203" s="12">
        <f t="shared" si="322"/>
        <v>0</v>
      </c>
      <c r="AF203" s="12">
        <f t="shared" si="322"/>
        <v>0</v>
      </c>
      <c r="AG203" s="12">
        <f t="shared" si="322"/>
        <v>0</v>
      </c>
      <c r="AH203" s="7"/>
      <c r="AI203" s="12">
        <f t="shared" ref="AI203:AJ203" si="323">SUMIF($J$145:$AF$145,AI$145,$J203:$AF203)</f>
        <v>-2527.7059147041664</v>
      </c>
      <c r="AJ203" s="12">
        <f t="shared" si="323"/>
        <v>-3839.2629707005431</v>
      </c>
      <c r="AK203" s="12">
        <f t="shared" ref="AK203:AS203" si="324">SUM(AK195:AK202)</f>
        <v>0</v>
      </c>
      <c r="AL203" s="12">
        <f t="shared" ca="1" si="324"/>
        <v>-1944.129438515517</v>
      </c>
      <c r="AM203" s="12">
        <f t="shared" ca="1" si="324"/>
        <v>-2611.2623156657137</v>
      </c>
      <c r="AN203" s="12">
        <f t="shared" ca="1" si="324"/>
        <v>-3428.7875172040704</v>
      </c>
      <c r="AO203" s="12">
        <f t="shared" ca="1" si="324"/>
        <v>-3703.0905185803967</v>
      </c>
      <c r="AP203" s="12">
        <f t="shared" ca="1" si="324"/>
        <v>-3962.3068548810247</v>
      </c>
      <c r="AQ203" s="12">
        <f t="shared" ca="1" si="324"/>
        <v>-4219.8568004482913</v>
      </c>
      <c r="AR203" s="12">
        <f t="shared" ca="1" si="324"/>
        <v>-4473.0482084751884</v>
      </c>
      <c r="AS203" s="12">
        <f t="shared" ca="1" si="324"/>
        <v>-4696.700618898949</v>
      </c>
      <c r="AT203" s="12">
        <f t="shared" ref="AT203" ca="1" si="325">SUM(AT195:AT202)</f>
        <v>-4931.535649843896</v>
      </c>
      <c r="AU203" s="216">
        <f ca="1">AL203/$AL$247</f>
        <v>7.2287437690696843E-2</v>
      </c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</row>
    <row r="204" spans="1:69" ht="13.5" customHeight="1" x14ac:dyDescent="0.3">
      <c r="A204" s="7"/>
      <c r="B204" s="7"/>
      <c r="C204" s="7"/>
      <c r="D204" s="7"/>
      <c r="E204" s="7"/>
      <c r="F204" s="7"/>
      <c r="H204" s="7"/>
      <c r="I204" s="7"/>
      <c r="J204" s="7">
        <v>1</v>
      </c>
      <c r="K204" s="7">
        <v>1</v>
      </c>
      <c r="L204" s="7">
        <v>1</v>
      </c>
      <c r="M204" s="7">
        <v>1</v>
      </c>
      <c r="N204" s="7">
        <v>1</v>
      </c>
      <c r="O204" s="7">
        <v>1</v>
      </c>
      <c r="P204" s="7">
        <v>1</v>
      </c>
      <c r="Q204" s="7">
        <v>1</v>
      </c>
      <c r="R204" s="7">
        <v>1</v>
      </c>
      <c r="S204" s="7">
        <v>1</v>
      </c>
      <c r="T204" s="7">
        <v>1</v>
      </c>
      <c r="U204" s="7">
        <v>1</v>
      </c>
      <c r="V204" s="7">
        <v>1</v>
      </c>
      <c r="W204" s="7">
        <v>1</v>
      </c>
      <c r="X204" s="7">
        <v>1</v>
      </c>
      <c r="Y204" s="7">
        <v>1</v>
      </c>
      <c r="Z204" s="7">
        <v>1</v>
      </c>
      <c r="AA204" s="7">
        <v>1</v>
      </c>
      <c r="AB204" s="7">
        <v>1</v>
      </c>
      <c r="AC204" s="7">
        <v>1</v>
      </c>
      <c r="AD204" s="7">
        <v>1</v>
      </c>
      <c r="AE204" s="7">
        <v>1</v>
      </c>
      <c r="AF204" s="7">
        <v>1</v>
      </c>
      <c r="AG204" s="7">
        <v>1</v>
      </c>
      <c r="AH204" s="7"/>
      <c r="AI204" s="68"/>
      <c r="AJ204" s="68"/>
      <c r="AK204" s="68">
        <v>12</v>
      </c>
      <c r="AL204" s="68">
        <v>12</v>
      </c>
      <c r="AM204" s="68">
        <v>12</v>
      </c>
      <c r="AN204" s="68">
        <v>12</v>
      </c>
      <c r="AO204" s="68">
        <v>12</v>
      </c>
      <c r="AP204" s="68">
        <v>12</v>
      </c>
      <c r="AQ204" s="68">
        <v>12</v>
      </c>
      <c r="AR204" s="68">
        <v>12</v>
      </c>
      <c r="AS204" s="68">
        <v>12</v>
      </c>
      <c r="AT204" s="68">
        <v>12</v>
      </c>
      <c r="AU204" s="68">
        <f>AVERAGE(AK204:AR204)</f>
        <v>12</v>
      </c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</row>
    <row r="205" spans="1:69" ht="13.5" customHeight="1" x14ac:dyDescent="0.3">
      <c r="A205" s="7"/>
      <c r="B205" s="5" t="s">
        <v>389</v>
      </c>
      <c r="C205" s="7"/>
      <c r="D205" s="7"/>
      <c r="E205" s="5" t="s">
        <v>40</v>
      </c>
      <c r="F205" s="7"/>
      <c r="H205" s="7"/>
      <c r="I205" s="7"/>
      <c r="J205" s="12">
        <f t="shared" ref="J205:AG205" si="326">J156</f>
        <v>0</v>
      </c>
      <c r="K205" s="12">
        <f t="shared" si="326"/>
        <v>0</v>
      </c>
      <c r="L205" s="12">
        <f t="shared" si="326"/>
        <v>0</v>
      </c>
      <c r="M205" s="12">
        <f t="shared" si="326"/>
        <v>0</v>
      </c>
      <c r="N205" s="12">
        <f t="shared" si="326"/>
        <v>0</v>
      </c>
      <c r="O205" s="12">
        <f t="shared" si="326"/>
        <v>0</v>
      </c>
      <c r="P205" s="12">
        <f t="shared" si="326"/>
        <v>0</v>
      </c>
      <c r="Q205" s="12">
        <f t="shared" si="326"/>
        <v>0</v>
      </c>
      <c r="R205" s="12">
        <f t="shared" si="326"/>
        <v>0</v>
      </c>
      <c r="S205" s="12">
        <f t="shared" si="326"/>
        <v>0</v>
      </c>
      <c r="T205" s="12">
        <f t="shared" si="326"/>
        <v>0</v>
      </c>
      <c r="U205" s="12">
        <f t="shared" si="326"/>
        <v>0</v>
      </c>
      <c r="V205" s="12">
        <f t="shared" si="326"/>
        <v>0</v>
      </c>
      <c r="W205" s="12">
        <f t="shared" si="326"/>
        <v>0</v>
      </c>
      <c r="X205" s="12">
        <f t="shared" si="326"/>
        <v>0</v>
      </c>
      <c r="Y205" s="12">
        <f t="shared" si="326"/>
        <v>0</v>
      </c>
      <c r="Z205" s="12">
        <f t="shared" si="326"/>
        <v>0</v>
      </c>
      <c r="AA205" s="12">
        <f t="shared" si="326"/>
        <v>0</v>
      </c>
      <c r="AB205" s="12">
        <f t="shared" si="326"/>
        <v>0</v>
      </c>
      <c r="AC205" s="12">
        <f t="shared" si="326"/>
        <v>0</v>
      </c>
      <c r="AD205" s="12">
        <f t="shared" si="326"/>
        <v>0</v>
      </c>
      <c r="AE205" s="12">
        <f t="shared" si="326"/>
        <v>0</v>
      </c>
      <c r="AF205" s="12">
        <f t="shared" si="326"/>
        <v>0</v>
      </c>
      <c r="AG205" s="12">
        <f t="shared" si="326"/>
        <v>0</v>
      </c>
      <c r="AH205" s="7"/>
      <c r="AI205" s="12">
        <f t="shared" ref="AI205:AJ205" si="327">AI164</f>
        <v>0</v>
      </c>
      <c r="AJ205" s="12">
        <f t="shared" si="327"/>
        <v>0</v>
      </c>
      <c r="AK205" s="12">
        <f t="shared" ref="AK205:AS205" ca="1" si="328">AK153</f>
        <v>67.301374236663435</v>
      </c>
      <c r="AL205" s="12">
        <f t="shared" ca="1" si="328"/>
        <v>82.932118403128513</v>
      </c>
      <c r="AM205" s="12">
        <f t="shared" ca="1" si="328"/>
        <v>102.19310290225512</v>
      </c>
      <c r="AN205" s="12">
        <f t="shared" ca="1" si="328"/>
        <v>123.675</v>
      </c>
      <c r="AO205" s="12">
        <f t="shared" ca="1" si="328"/>
        <v>123.675</v>
      </c>
      <c r="AP205" s="12">
        <f t="shared" ca="1" si="328"/>
        <v>123.675</v>
      </c>
      <c r="AQ205" s="12">
        <f t="shared" ca="1" si="328"/>
        <v>123.675</v>
      </c>
      <c r="AR205" s="12">
        <f t="shared" ca="1" si="328"/>
        <v>123.675</v>
      </c>
      <c r="AS205" s="12">
        <f t="shared" ca="1" si="328"/>
        <v>123.675</v>
      </c>
      <c r="AT205" s="12">
        <f t="shared" ref="AT205" ca="1" si="329">AT153</f>
        <v>123.675</v>
      </c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</row>
    <row r="206" spans="1:69" ht="13.5" customHeight="1" x14ac:dyDescent="0.3">
      <c r="A206" s="7"/>
      <c r="B206" s="7"/>
      <c r="C206" s="7" t="s">
        <v>373</v>
      </c>
      <c r="D206" s="7"/>
      <c r="E206" s="7" t="s">
        <v>4</v>
      </c>
      <c r="F206" s="215"/>
      <c r="H206" s="7"/>
      <c r="I206" s="7"/>
      <c r="J206" s="8">
        <f t="shared" ref="J206:AG206" si="330">-J99*J56*J$4*J$194/1000</f>
        <v>0</v>
      </c>
      <c r="K206" s="8">
        <f t="shared" si="330"/>
        <v>0</v>
      </c>
      <c r="L206" s="8">
        <f t="shared" si="330"/>
        <v>0</v>
      </c>
      <c r="M206" s="8">
        <f t="shared" si="330"/>
        <v>0</v>
      </c>
      <c r="N206" s="8">
        <f t="shared" si="330"/>
        <v>0</v>
      </c>
      <c r="O206" s="8">
        <f t="shared" si="330"/>
        <v>0</v>
      </c>
      <c r="P206" s="8">
        <f t="shared" si="330"/>
        <v>0</v>
      </c>
      <c r="Q206" s="8">
        <f t="shared" si="330"/>
        <v>0</v>
      </c>
      <c r="R206" s="8">
        <f t="shared" si="330"/>
        <v>0</v>
      </c>
      <c r="S206" s="8">
        <f t="shared" si="330"/>
        <v>0</v>
      </c>
      <c r="T206" s="8">
        <f t="shared" si="330"/>
        <v>0</v>
      </c>
      <c r="U206" s="8">
        <f t="shared" si="330"/>
        <v>0</v>
      </c>
      <c r="V206" s="8">
        <f t="shared" si="330"/>
        <v>0</v>
      </c>
      <c r="W206" s="8">
        <f t="shared" si="330"/>
        <v>0</v>
      </c>
      <c r="X206" s="8">
        <f t="shared" si="330"/>
        <v>0</v>
      </c>
      <c r="Y206" s="8">
        <f t="shared" si="330"/>
        <v>0</v>
      </c>
      <c r="Z206" s="8">
        <f t="shared" si="330"/>
        <v>0</v>
      </c>
      <c r="AA206" s="8">
        <f t="shared" si="330"/>
        <v>0</v>
      </c>
      <c r="AB206" s="8">
        <f t="shared" si="330"/>
        <v>0</v>
      </c>
      <c r="AC206" s="8">
        <f t="shared" si="330"/>
        <v>0</v>
      </c>
      <c r="AD206" s="8">
        <f t="shared" si="330"/>
        <v>0</v>
      </c>
      <c r="AE206" s="8">
        <f t="shared" si="330"/>
        <v>0</v>
      </c>
      <c r="AF206" s="8">
        <f t="shared" si="330"/>
        <v>0</v>
      </c>
      <c r="AG206" s="8">
        <f t="shared" si="330"/>
        <v>0</v>
      </c>
      <c r="AH206" s="7"/>
      <c r="AI206" s="8">
        <f t="shared" ref="AI206:AJ206" si="331">SUMIF($J$145:$AF$145,AI$145,$J206:$AF206)</f>
        <v>0</v>
      </c>
      <c r="AJ206" s="8">
        <f t="shared" si="331"/>
        <v>0</v>
      </c>
      <c r="AK206" s="8">
        <f t="shared" ref="AK206:AS206" ca="1" si="332">-AK88*AK55*AK$205/1000</f>
        <v>0</v>
      </c>
      <c r="AL206" s="8">
        <f t="shared" ca="1" si="332"/>
        <v>0</v>
      </c>
      <c r="AM206" s="8">
        <f t="shared" ca="1" si="332"/>
        <v>0</v>
      </c>
      <c r="AN206" s="8">
        <f t="shared" ca="1" si="332"/>
        <v>0</v>
      </c>
      <c r="AO206" s="8">
        <f t="shared" ca="1" si="332"/>
        <v>0</v>
      </c>
      <c r="AP206" s="8">
        <f t="shared" ca="1" si="332"/>
        <v>0</v>
      </c>
      <c r="AQ206" s="8">
        <f t="shared" ca="1" si="332"/>
        <v>0</v>
      </c>
      <c r="AR206" s="8">
        <f t="shared" ca="1" si="332"/>
        <v>0</v>
      </c>
      <c r="AS206" s="8">
        <f t="shared" ca="1" si="332"/>
        <v>0</v>
      </c>
      <c r="AT206" s="8">
        <f t="shared" ref="AT206" ca="1" si="333">-AT88*AT55*AT$205/1000</f>
        <v>0</v>
      </c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</row>
    <row r="207" spans="1:69" ht="13.5" customHeight="1" x14ac:dyDescent="0.3">
      <c r="A207" s="7"/>
      <c r="B207" s="7"/>
      <c r="C207" s="7" t="s">
        <v>374</v>
      </c>
      <c r="D207" s="7"/>
      <c r="E207" s="7" t="s">
        <v>4</v>
      </c>
      <c r="F207" s="215"/>
      <c r="H207" s="7"/>
      <c r="I207" s="7"/>
      <c r="J207" s="8">
        <f t="shared" ref="J207:AG207" si="334">-J100*J57*J$4*J$194/1000</f>
        <v>0</v>
      </c>
      <c r="K207" s="8">
        <f t="shared" si="334"/>
        <v>0</v>
      </c>
      <c r="L207" s="8">
        <f t="shared" si="334"/>
        <v>0</v>
      </c>
      <c r="M207" s="8">
        <f t="shared" si="334"/>
        <v>0</v>
      </c>
      <c r="N207" s="8">
        <f t="shared" si="334"/>
        <v>0</v>
      </c>
      <c r="O207" s="8">
        <f t="shared" si="334"/>
        <v>0</v>
      </c>
      <c r="P207" s="8">
        <f t="shared" si="334"/>
        <v>0</v>
      </c>
      <c r="Q207" s="8">
        <f t="shared" si="334"/>
        <v>0</v>
      </c>
      <c r="R207" s="8">
        <f t="shared" si="334"/>
        <v>0</v>
      </c>
      <c r="S207" s="8">
        <f t="shared" si="334"/>
        <v>0</v>
      </c>
      <c r="T207" s="8">
        <f t="shared" si="334"/>
        <v>0</v>
      </c>
      <c r="U207" s="8">
        <f t="shared" si="334"/>
        <v>0</v>
      </c>
      <c r="V207" s="8">
        <f t="shared" si="334"/>
        <v>0</v>
      </c>
      <c r="W207" s="8">
        <f t="shared" si="334"/>
        <v>0</v>
      </c>
      <c r="X207" s="8">
        <f t="shared" si="334"/>
        <v>0</v>
      </c>
      <c r="Y207" s="8">
        <f t="shared" si="334"/>
        <v>0</v>
      </c>
      <c r="Z207" s="8">
        <f t="shared" si="334"/>
        <v>0</v>
      </c>
      <c r="AA207" s="8">
        <f t="shared" si="334"/>
        <v>0</v>
      </c>
      <c r="AB207" s="8">
        <f t="shared" si="334"/>
        <v>0</v>
      </c>
      <c r="AC207" s="8">
        <f t="shared" si="334"/>
        <v>0</v>
      </c>
      <c r="AD207" s="8">
        <f t="shared" si="334"/>
        <v>0</v>
      </c>
      <c r="AE207" s="8">
        <f t="shared" si="334"/>
        <v>0</v>
      </c>
      <c r="AF207" s="8">
        <f t="shared" si="334"/>
        <v>0</v>
      </c>
      <c r="AG207" s="8">
        <f t="shared" si="334"/>
        <v>0</v>
      </c>
      <c r="AH207" s="7"/>
      <c r="AI207" s="8">
        <f t="shared" ref="AI207:AJ207" si="335">SUMIF($J$145:$AF$145,AI$145,$J207:$AF207)</f>
        <v>0</v>
      </c>
      <c r="AJ207" s="8">
        <f t="shared" si="335"/>
        <v>0</v>
      </c>
      <c r="AK207" s="8">
        <f t="shared" ref="AK207:AS207" ca="1" si="336">-AK89*AK56*AK$205/1000</f>
        <v>0</v>
      </c>
      <c r="AL207" s="8">
        <f t="shared" ca="1" si="336"/>
        <v>0</v>
      </c>
      <c r="AM207" s="8">
        <f t="shared" ca="1" si="336"/>
        <v>0</v>
      </c>
      <c r="AN207" s="8">
        <f t="shared" ca="1" si="336"/>
        <v>0</v>
      </c>
      <c r="AO207" s="8">
        <f t="shared" ca="1" si="336"/>
        <v>0</v>
      </c>
      <c r="AP207" s="8">
        <f t="shared" ca="1" si="336"/>
        <v>0</v>
      </c>
      <c r="AQ207" s="8">
        <f t="shared" ca="1" si="336"/>
        <v>0</v>
      </c>
      <c r="AR207" s="8">
        <f t="shared" ca="1" si="336"/>
        <v>0</v>
      </c>
      <c r="AS207" s="8">
        <f t="shared" ca="1" si="336"/>
        <v>0</v>
      </c>
      <c r="AT207" s="8">
        <f t="shared" ref="AT207" ca="1" si="337">-AT89*AT56*AT$205/1000</f>
        <v>0</v>
      </c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</row>
    <row r="208" spans="1:69" ht="13.5" customHeight="1" x14ac:dyDescent="0.3">
      <c r="A208" s="7"/>
      <c r="B208" s="7"/>
      <c r="C208" s="7" t="s">
        <v>375</v>
      </c>
      <c r="D208" s="7"/>
      <c r="E208" s="7" t="s">
        <v>4</v>
      </c>
      <c r="F208" s="215"/>
      <c r="H208" s="7"/>
      <c r="I208" s="7"/>
      <c r="J208" s="8">
        <f t="shared" ref="J208:AG208" si="338">-J101*J58*J$4*J$194/1000</f>
        <v>0</v>
      </c>
      <c r="K208" s="8">
        <f t="shared" si="338"/>
        <v>0</v>
      </c>
      <c r="L208" s="8">
        <f t="shared" si="338"/>
        <v>0</v>
      </c>
      <c r="M208" s="8">
        <f t="shared" si="338"/>
        <v>0</v>
      </c>
      <c r="N208" s="8">
        <f t="shared" si="338"/>
        <v>0</v>
      </c>
      <c r="O208" s="8">
        <f t="shared" si="338"/>
        <v>0</v>
      </c>
      <c r="P208" s="8">
        <f t="shared" si="338"/>
        <v>0</v>
      </c>
      <c r="Q208" s="8">
        <f t="shared" si="338"/>
        <v>0</v>
      </c>
      <c r="R208" s="8">
        <f t="shared" si="338"/>
        <v>0</v>
      </c>
      <c r="S208" s="8">
        <f t="shared" si="338"/>
        <v>0</v>
      </c>
      <c r="T208" s="8">
        <f t="shared" si="338"/>
        <v>0</v>
      </c>
      <c r="U208" s="8">
        <f t="shared" si="338"/>
        <v>0</v>
      </c>
      <c r="V208" s="8">
        <f t="shared" si="338"/>
        <v>0</v>
      </c>
      <c r="W208" s="8">
        <f t="shared" si="338"/>
        <v>0</v>
      </c>
      <c r="X208" s="8">
        <f t="shared" si="338"/>
        <v>0</v>
      </c>
      <c r="Y208" s="8">
        <f t="shared" si="338"/>
        <v>0</v>
      </c>
      <c r="Z208" s="8">
        <f t="shared" si="338"/>
        <v>0</v>
      </c>
      <c r="AA208" s="8">
        <f t="shared" si="338"/>
        <v>0</v>
      </c>
      <c r="AB208" s="8">
        <f t="shared" si="338"/>
        <v>0</v>
      </c>
      <c r="AC208" s="8">
        <f t="shared" si="338"/>
        <v>0</v>
      </c>
      <c r="AD208" s="8">
        <f t="shared" si="338"/>
        <v>0</v>
      </c>
      <c r="AE208" s="8">
        <f t="shared" si="338"/>
        <v>0</v>
      </c>
      <c r="AF208" s="8">
        <f t="shared" si="338"/>
        <v>0</v>
      </c>
      <c r="AG208" s="8">
        <f t="shared" si="338"/>
        <v>0</v>
      </c>
      <c r="AH208" s="7"/>
      <c r="AI208" s="8">
        <f t="shared" ref="AI208:AJ208" si="339">SUMIF($J$145:$AF$145,AI$145,$J208:$AF208)</f>
        <v>0</v>
      </c>
      <c r="AJ208" s="8">
        <f t="shared" si="339"/>
        <v>0</v>
      </c>
      <c r="AK208" s="8">
        <f>-AK101*AK58*AK$194/1000</f>
        <v>0</v>
      </c>
      <c r="AL208" s="8">
        <f t="shared" ref="AL208:AS208" ca="1" si="340">-AL90*AL57*AL$205/1000</f>
        <v>-88.348447316630896</v>
      </c>
      <c r="AM208" s="8">
        <f t="shared" ca="1" si="340"/>
        <v>-118.66543788445109</v>
      </c>
      <c r="AN208" s="8">
        <f t="shared" ca="1" si="340"/>
        <v>-155.81681307955137</v>
      </c>
      <c r="AO208" s="8">
        <f t="shared" ca="1" si="340"/>
        <v>-168.28215812591549</v>
      </c>
      <c r="AP208" s="8">
        <f t="shared" ca="1" si="340"/>
        <v>-180.06190919472959</v>
      </c>
      <c r="AQ208" s="8">
        <f t="shared" ca="1" si="340"/>
        <v>-191.76593329238699</v>
      </c>
      <c r="AR208" s="8">
        <f t="shared" ca="1" si="340"/>
        <v>-203.27188928993024</v>
      </c>
      <c r="AS208" s="8">
        <f t="shared" ca="1" si="340"/>
        <v>-213.43548375442677</v>
      </c>
      <c r="AT208" s="8">
        <f t="shared" ref="AT208" ca="1" si="341">-AT90*AT57*AT$205/1000</f>
        <v>-224.10725794214807</v>
      </c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</row>
    <row r="209" spans="1:69" ht="13.5" customHeight="1" x14ac:dyDescent="0.3">
      <c r="A209" s="7"/>
      <c r="B209" s="7"/>
      <c r="C209" s="7" t="s">
        <v>385</v>
      </c>
      <c r="D209" s="7"/>
      <c r="E209" s="7" t="s">
        <v>4</v>
      </c>
      <c r="F209" s="215"/>
      <c r="H209" s="7"/>
      <c r="I209" s="7"/>
      <c r="J209" s="8">
        <f t="shared" ref="J209:AG209" si="342">-J105*J59*J$4*J$194/1000</f>
        <v>0</v>
      </c>
      <c r="K209" s="8">
        <f t="shared" si="342"/>
        <v>0</v>
      </c>
      <c r="L209" s="8">
        <f t="shared" si="342"/>
        <v>0</v>
      </c>
      <c r="M209" s="8">
        <f t="shared" si="342"/>
        <v>0</v>
      </c>
      <c r="N209" s="8">
        <f t="shared" si="342"/>
        <v>0</v>
      </c>
      <c r="O209" s="8">
        <f t="shared" si="342"/>
        <v>0</v>
      </c>
      <c r="P209" s="8">
        <f t="shared" si="342"/>
        <v>0</v>
      </c>
      <c r="Q209" s="8">
        <f t="shared" si="342"/>
        <v>0</v>
      </c>
      <c r="R209" s="8">
        <f t="shared" si="342"/>
        <v>0</v>
      </c>
      <c r="S209" s="8">
        <f t="shared" si="342"/>
        <v>0</v>
      </c>
      <c r="T209" s="8">
        <f t="shared" si="342"/>
        <v>0</v>
      </c>
      <c r="U209" s="8">
        <f t="shared" si="342"/>
        <v>0</v>
      </c>
      <c r="V209" s="8">
        <f t="shared" si="342"/>
        <v>0</v>
      </c>
      <c r="W209" s="8">
        <f t="shared" si="342"/>
        <v>0</v>
      </c>
      <c r="X209" s="8">
        <f t="shared" si="342"/>
        <v>0</v>
      </c>
      <c r="Y209" s="8">
        <f t="shared" si="342"/>
        <v>0</v>
      </c>
      <c r="Z209" s="8">
        <f t="shared" si="342"/>
        <v>0</v>
      </c>
      <c r="AA209" s="8">
        <f t="shared" si="342"/>
        <v>0</v>
      </c>
      <c r="AB209" s="8">
        <f t="shared" si="342"/>
        <v>0</v>
      </c>
      <c r="AC209" s="8">
        <f t="shared" si="342"/>
        <v>0</v>
      </c>
      <c r="AD209" s="8">
        <f t="shared" si="342"/>
        <v>0</v>
      </c>
      <c r="AE209" s="8">
        <f t="shared" si="342"/>
        <v>0</v>
      </c>
      <c r="AF209" s="8">
        <f t="shared" si="342"/>
        <v>0</v>
      </c>
      <c r="AG209" s="8">
        <f t="shared" si="342"/>
        <v>0</v>
      </c>
      <c r="AH209" s="7"/>
      <c r="AI209" s="8">
        <f t="shared" ref="AI209:AJ209" si="343">SUMIF($J$145:$AF$145,AI$145,$J209:$AF209)</f>
        <v>0</v>
      </c>
      <c r="AJ209" s="8">
        <f t="shared" si="343"/>
        <v>0</v>
      </c>
      <c r="AK209" s="8">
        <f ca="1">-AK105*AK59*AK$205/1000</f>
        <v>-3341.7824363472864</v>
      </c>
      <c r="AL209" s="8">
        <f t="shared" ref="AL209:AS209" ca="1" si="344">-AL94*AL58*AL$205/1000</f>
        <v>-88.348447316630896</v>
      </c>
      <c r="AM209" s="8">
        <f t="shared" ca="1" si="344"/>
        <v>-118.66543788445109</v>
      </c>
      <c r="AN209" s="8">
        <f t="shared" ca="1" si="344"/>
        <v>-155.81681307955137</v>
      </c>
      <c r="AO209" s="8">
        <f t="shared" ca="1" si="344"/>
        <v>-168.28215812591549</v>
      </c>
      <c r="AP209" s="8">
        <f t="shared" ca="1" si="344"/>
        <v>-180.06190919472959</v>
      </c>
      <c r="AQ209" s="8">
        <f t="shared" ca="1" si="344"/>
        <v>-191.76593329238699</v>
      </c>
      <c r="AR209" s="8">
        <f t="shared" ca="1" si="344"/>
        <v>-203.27188928993024</v>
      </c>
      <c r="AS209" s="8">
        <f t="shared" ca="1" si="344"/>
        <v>-213.43548375442677</v>
      </c>
      <c r="AT209" s="8">
        <f t="shared" ref="AT209" ca="1" si="345">-AT94*AT58*AT$205/1000</f>
        <v>-224.10725794214807</v>
      </c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</row>
    <row r="210" spans="1:69" ht="13.5" customHeight="1" x14ac:dyDescent="0.3">
      <c r="A210" s="7"/>
      <c r="B210" s="7"/>
      <c r="C210" s="7" t="s">
        <v>376</v>
      </c>
      <c r="D210" s="7"/>
      <c r="E210" s="7" t="s">
        <v>4</v>
      </c>
      <c r="F210" s="215"/>
      <c r="H210" s="7"/>
      <c r="I210" s="7"/>
      <c r="J210" s="8">
        <f t="shared" ref="J210:AG210" si="346">-J102*J60*J$4*J$194/1000</f>
        <v>0</v>
      </c>
      <c r="K210" s="8">
        <f t="shared" si="346"/>
        <v>0</v>
      </c>
      <c r="L210" s="8">
        <f t="shared" si="346"/>
        <v>0</v>
      </c>
      <c r="M210" s="8">
        <f t="shared" si="346"/>
        <v>0</v>
      </c>
      <c r="N210" s="8">
        <f t="shared" si="346"/>
        <v>0</v>
      </c>
      <c r="O210" s="8">
        <f t="shared" si="346"/>
        <v>0</v>
      </c>
      <c r="P210" s="8">
        <f t="shared" si="346"/>
        <v>0</v>
      </c>
      <c r="Q210" s="8">
        <f t="shared" si="346"/>
        <v>0</v>
      </c>
      <c r="R210" s="8">
        <f t="shared" si="346"/>
        <v>0</v>
      </c>
      <c r="S210" s="8">
        <f t="shared" si="346"/>
        <v>0</v>
      </c>
      <c r="T210" s="8">
        <f t="shared" si="346"/>
        <v>0</v>
      </c>
      <c r="U210" s="8">
        <f t="shared" si="346"/>
        <v>0</v>
      </c>
      <c r="V210" s="8">
        <f t="shared" si="346"/>
        <v>0</v>
      </c>
      <c r="W210" s="8">
        <f t="shared" si="346"/>
        <v>0</v>
      </c>
      <c r="X210" s="8">
        <f t="shared" si="346"/>
        <v>0</v>
      </c>
      <c r="Y210" s="8">
        <f t="shared" si="346"/>
        <v>0</v>
      </c>
      <c r="Z210" s="8">
        <f t="shared" si="346"/>
        <v>0</v>
      </c>
      <c r="AA210" s="8">
        <f t="shared" si="346"/>
        <v>0</v>
      </c>
      <c r="AB210" s="8">
        <f t="shared" si="346"/>
        <v>0</v>
      </c>
      <c r="AC210" s="8">
        <f t="shared" si="346"/>
        <v>0</v>
      </c>
      <c r="AD210" s="8">
        <f t="shared" si="346"/>
        <v>0</v>
      </c>
      <c r="AE210" s="8">
        <f t="shared" si="346"/>
        <v>0</v>
      </c>
      <c r="AF210" s="8">
        <f t="shared" si="346"/>
        <v>0</v>
      </c>
      <c r="AG210" s="8">
        <f t="shared" si="346"/>
        <v>0</v>
      </c>
      <c r="AH210" s="7"/>
      <c r="AI210" s="8">
        <f t="shared" ref="AI210:AJ210" si="347">SUMIF($J$145:$AF$145,AI$145,$J210:$AF210)</f>
        <v>0</v>
      </c>
      <c r="AJ210" s="8">
        <f t="shared" si="347"/>
        <v>0</v>
      </c>
      <c r="AK210" s="8">
        <f t="shared" ref="AK210:AS210" ca="1" si="348">-AK91*AK59*AK$205/1000</f>
        <v>-558.89053286802721</v>
      </c>
      <c r="AL210" s="8">
        <f t="shared" ca="1" si="348"/>
        <v>-754.118680743656</v>
      </c>
      <c r="AM210" s="8">
        <f t="shared" ca="1" si="348"/>
        <v>-1012.8963913375435</v>
      </c>
      <c r="AN210" s="8">
        <f t="shared" ca="1" si="348"/>
        <v>-1330.0105784101636</v>
      </c>
      <c r="AO210" s="8">
        <f t="shared" ca="1" si="348"/>
        <v>-1436.4114246829768</v>
      </c>
      <c r="AP210" s="8">
        <f t="shared" ca="1" si="348"/>
        <v>-1536.9602244107853</v>
      </c>
      <c r="AQ210" s="8">
        <f t="shared" ca="1" si="348"/>
        <v>-1636.8626389974861</v>
      </c>
      <c r="AR210" s="8">
        <f t="shared" ca="1" si="348"/>
        <v>-1735.0743973373353</v>
      </c>
      <c r="AS210" s="8">
        <f t="shared" ca="1" si="348"/>
        <v>-1821.8281172042023</v>
      </c>
      <c r="AT210" s="8">
        <f t="shared" ref="AT210" ca="1" si="349">-AT91*AT59*AT$205/1000</f>
        <v>-1912.9195230644127</v>
      </c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</row>
    <row r="211" spans="1:69" ht="13.5" customHeight="1" x14ac:dyDescent="0.3">
      <c r="A211" s="7"/>
      <c r="B211" s="7"/>
      <c r="C211" s="7" t="s">
        <v>377</v>
      </c>
      <c r="D211" s="7"/>
      <c r="E211" s="7" t="s">
        <v>4</v>
      </c>
      <c r="F211" s="215"/>
      <c r="H211" s="7"/>
      <c r="I211" s="7"/>
      <c r="J211" s="8">
        <f t="shared" ref="J211:AG211" si="350">-J103*J61*J$4*J$194/1000</f>
        <v>0</v>
      </c>
      <c r="K211" s="8">
        <f t="shared" si="350"/>
        <v>0</v>
      </c>
      <c r="L211" s="8">
        <f t="shared" si="350"/>
        <v>0</v>
      </c>
      <c r="M211" s="8">
        <f t="shared" si="350"/>
        <v>0</v>
      </c>
      <c r="N211" s="8">
        <f t="shared" si="350"/>
        <v>0</v>
      </c>
      <c r="O211" s="8">
        <f t="shared" si="350"/>
        <v>0</v>
      </c>
      <c r="P211" s="8">
        <f t="shared" si="350"/>
        <v>0</v>
      </c>
      <c r="Q211" s="8">
        <f t="shared" si="350"/>
        <v>0</v>
      </c>
      <c r="R211" s="8">
        <f t="shared" si="350"/>
        <v>0</v>
      </c>
      <c r="S211" s="8">
        <f t="shared" si="350"/>
        <v>0</v>
      </c>
      <c r="T211" s="8">
        <f t="shared" si="350"/>
        <v>0</v>
      </c>
      <c r="U211" s="8">
        <f t="shared" si="350"/>
        <v>0</v>
      </c>
      <c r="V211" s="8">
        <f t="shared" si="350"/>
        <v>0</v>
      </c>
      <c r="W211" s="8">
        <f t="shared" si="350"/>
        <v>0</v>
      </c>
      <c r="X211" s="8">
        <f t="shared" si="350"/>
        <v>0</v>
      </c>
      <c r="Y211" s="8">
        <f t="shared" si="350"/>
        <v>0</v>
      </c>
      <c r="Z211" s="8">
        <f t="shared" si="350"/>
        <v>0</v>
      </c>
      <c r="AA211" s="8">
        <f t="shared" si="350"/>
        <v>0</v>
      </c>
      <c r="AB211" s="8">
        <f t="shared" si="350"/>
        <v>0</v>
      </c>
      <c r="AC211" s="8">
        <f t="shared" si="350"/>
        <v>0</v>
      </c>
      <c r="AD211" s="8">
        <f t="shared" si="350"/>
        <v>0</v>
      </c>
      <c r="AE211" s="8">
        <f t="shared" si="350"/>
        <v>0</v>
      </c>
      <c r="AF211" s="8">
        <f t="shared" si="350"/>
        <v>0</v>
      </c>
      <c r="AG211" s="8">
        <f t="shared" si="350"/>
        <v>0</v>
      </c>
      <c r="AH211" s="7"/>
      <c r="AI211" s="8">
        <f t="shared" ref="AI211:AJ211" si="351">SUMIF($J$145:$AF$145,AI$145,$J211:$AF211)</f>
        <v>0</v>
      </c>
      <c r="AJ211" s="8">
        <f t="shared" si="351"/>
        <v>0</v>
      </c>
      <c r="AK211" s="8">
        <f t="shared" ref="AK211:AS211" ca="1" si="352">-AK92*AK60*AK$205/1000</f>
        <v>-374.25705325983967</v>
      </c>
      <c r="AL211" s="8">
        <f t="shared" ca="1" si="352"/>
        <v>-504.99018799798392</v>
      </c>
      <c r="AM211" s="8">
        <f t="shared" ca="1" si="352"/>
        <v>-678.27883348496221</v>
      </c>
      <c r="AN211" s="8">
        <f t="shared" ca="1" si="352"/>
        <v>-890.63208375680597</v>
      </c>
      <c r="AO211" s="8">
        <f t="shared" ca="1" si="352"/>
        <v>-961.88265045735056</v>
      </c>
      <c r="AP211" s="8">
        <f t="shared" ca="1" si="352"/>
        <v>-1029.214435989365</v>
      </c>
      <c r="AQ211" s="8">
        <f t="shared" ca="1" si="352"/>
        <v>-1096.1133743286739</v>
      </c>
      <c r="AR211" s="8">
        <f t="shared" ca="1" si="352"/>
        <v>-1161.8801767883942</v>
      </c>
      <c r="AS211" s="8">
        <f t="shared" ca="1" si="352"/>
        <v>-1219.9741856278142</v>
      </c>
      <c r="AT211" s="8">
        <f t="shared" ref="AT211" ca="1" si="353">-AT92*AT60*AT$205/1000</f>
        <v>-1280.972894909205</v>
      </c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</row>
    <row r="212" spans="1:69" ht="13.5" customHeight="1" x14ac:dyDescent="0.3">
      <c r="A212" s="7"/>
      <c r="B212" s="7"/>
      <c r="C212" s="7" t="s">
        <v>387</v>
      </c>
      <c r="D212" s="7"/>
      <c r="E212" s="7" t="s">
        <v>4</v>
      </c>
      <c r="F212" s="215"/>
      <c r="H212" s="7"/>
      <c r="I212" s="7"/>
      <c r="J212" s="8">
        <f t="shared" ref="J212:AG212" si="354">-J110*J62*J$4*J$194/1000</f>
        <v>0</v>
      </c>
      <c r="K212" s="8">
        <f t="shared" si="354"/>
        <v>0</v>
      </c>
      <c r="L212" s="8">
        <f t="shared" si="354"/>
        <v>0</v>
      </c>
      <c r="M212" s="8">
        <f t="shared" si="354"/>
        <v>0</v>
      </c>
      <c r="N212" s="8">
        <f t="shared" si="354"/>
        <v>0</v>
      </c>
      <c r="O212" s="8">
        <f t="shared" si="354"/>
        <v>0</v>
      </c>
      <c r="P212" s="8">
        <f t="shared" si="354"/>
        <v>0</v>
      </c>
      <c r="Q212" s="8">
        <f t="shared" si="354"/>
        <v>0</v>
      </c>
      <c r="R212" s="8">
        <f t="shared" si="354"/>
        <v>0</v>
      </c>
      <c r="S212" s="8">
        <f t="shared" si="354"/>
        <v>0</v>
      </c>
      <c r="T212" s="8">
        <f t="shared" si="354"/>
        <v>0</v>
      </c>
      <c r="U212" s="8">
        <f t="shared" si="354"/>
        <v>0</v>
      </c>
      <c r="V212" s="8">
        <f t="shared" si="354"/>
        <v>0</v>
      </c>
      <c r="W212" s="8">
        <f t="shared" si="354"/>
        <v>0</v>
      </c>
      <c r="X212" s="8">
        <f t="shared" si="354"/>
        <v>0</v>
      </c>
      <c r="Y212" s="8">
        <f t="shared" si="354"/>
        <v>0</v>
      </c>
      <c r="Z212" s="8">
        <f t="shared" si="354"/>
        <v>0</v>
      </c>
      <c r="AA212" s="8">
        <f t="shared" si="354"/>
        <v>0</v>
      </c>
      <c r="AB212" s="8">
        <f t="shared" si="354"/>
        <v>0</v>
      </c>
      <c r="AC212" s="8">
        <f t="shared" si="354"/>
        <v>0</v>
      </c>
      <c r="AD212" s="8">
        <f t="shared" si="354"/>
        <v>0</v>
      </c>
      <c r="AE212" s="8">
        <f t="shared" si="354"/>
        <v>0</v>
      </c>
      <c r="AF212" s="8">
        <f t="shared" si="354"/>
        <v>0</v>
      </c>
      <c r="AG212" s="8">
        <f t="shared" si="354"/>
        <v>0</v>
      </c>
      <c r="AH212" s="7"/>
      <c r="AI212" s="8">
        <f t="shared" ref="AI212:AJ212" si="355">SUMIF($J$145:$AF$145,AI$145,$J212:$AF212)</f>
        <v>0</v>
      </c>
      <c r="AJ212" s="8">
        <f t="shared" si="355"/>
        <v>0</v>
      </c>
      <c r="AK212" s="8">
        <f t="shared" ref="AK212:AS212" ca="1" si="356">-AK98*AK61*AK$205/1000</f>
        <v>0</v>
      </c>
      <c r="AL212" s="8">
        <f t="shared" ca="1" si="356"/>
        <v>0</v>
      </c>
      <c r="AM212" s="8">
        <f t="shared" ca="1" si="356"/>
        <v>0</v>
      </c>
      <c r="AN212" s="8">
        <f t="shared" ca="1" si="356"/>
        <v>0</v>
      </c>
      <c r="AO212" s="8">
        <f t="shared" ca="1" si="356"/>
        <v>0</v>
      </c>
      <c r="AP212" s="8">
        <f t="shared" ca="1" si="356"/>
        <v>0</v>
      </c>
      <c r="AQ212" s="8">
        <f t="shared" ca="1" si="356"/>
        <v>0</v>
      </c>
      <c r="AR212" s="8">
        <f t="shared" ca="1" si="356"/>
        <v>0</v>
      </c>
      <c r="AS212" s="8">
        <f t="shared" ca="1" si="356"/>
        <v>0</v>
      </c>
      <c r="AT212" s="8">
        <f t="shared" ref="AT212" ca="1" si="357">-AT98*AT61*AT$205/1000</f>
        <v>0</v>
      </c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</row>
    <row r="213" spans="1:69" ht="13.5" customHeight="1" x14ac:dyDescent="0.3">
      <c r="A213" s="7"/>
      <c r="B213" s="7"/>
      <c r="C213" s="7" t="s">
        <v>388</v>
      </c>
      <c r="D213" s="7"/>
      <c r="E213" s="7" t="s">
        <v>4</v>
      </c>
      <c r="F213" s="215"/>
      <c r="H213" s="7"/>
      <c r="I213" s="7"/>
      <c r="J213" s="8">
        <f t="shared" ref="J213:AG213" si="358">-J111*J63*J$4*J$194/1000</f>
        <v>0</v>
      </c>
      <c r="K213" s="8">
        <f t="shared" si="358"/>
        <v>0</v>
      </c>
      <c r="L213" s="8">
        <f t="shared" si="358"/>
        <v>0</v>
      </c>
      <c r="M213" s="8">
        <f t="shared" si="358"/>
        <v>0</v>
      </c>
      <c r="N213" s="8">
        <f t="shared" si="358"/>
        <v>0</v>
      </c>
      <c r="O213" s="8">
        <f t="shared" si="358"/>
        <v>0</v>
      </c>
      <c r="P213" s="8">
        <f t="shared" si="358"/>
        <v>0</v>
      </c>
      <c r="Q213" s="8">
        <f t="shared" si="358"/>
        <v>0</v>
      </c>
      <c r="R213" s="8">
        <f t="shared" si="358"/>
        <v>0</v>
      </c>
      <c r="S213" s="8">
        <f t="shared" si="358"/>
        <v>0</v>
      </c>
      <c r="T213" s="8">
        <f t="shared" si="358"/>
        <v>0</v>
      </c>
      <c r="U213" s="8">
        <f t="shared" si="358"/>
        <v>0</v>
      </c>
      <c r="V213" s="8">
        <f t="shared" si="358"/>
        <v>0</v>
      </c>
      <c r="W213" s="8">
        <f t="shared" si="358"/>
        <v>0</v>
      </c>
      <c r="X213" s="8">
        <f t="shared" si="358"/>
        <v>0</v>
      </c>
      <c r="Y213" s="8">
        <f t="shared" si="358"/>
        <v>0</v>
      </c>
      <c r="Z213" s="8">
        <f t="shared" si="358"/>
        <v>0</v>
      </c>
      <c r="AA213" s="8">
        <f t="shared" si="358"/>
        <v>0</v>
      </c>
      <c r="AB213" s="8">
        <f t="shared" si="358"/>
        <v>0</v>
      </c>
      <c r="AC213" s="8">
        <f t="shared" si="358"/>
        <v>0</v>
      </c>
      <c r="AD213" s="8">
        <f t="shared" si="358"/>
        <v>0</v>
      </c>
      <c r="AE213" s="8">
        <f t="shared" si="358"/>
        <v>0</v>
      </c>
      <c r="AF213" s="8">
        <f t="shared" si="358"/>
        <v>0</v>
      </c>
      <c r="AG213" s="8">
        <f t="shared" si="358"/>
        <v>0</v>
      </c>
      <c r="AH213" s="7"/>
      <c r="AI213" s="8">
        <f t="shared" ref="AI213:AJ213" si="359">SUMIF($J$145:$AF$145,AI$145,$J213:$AF213)</f>
        <v>0</v>
      </c>
      <c r="AJ213" s="8">
        <f t="shared" si="359"/>
        <v>0</v>
      </c>
      <c r="AK213" s="8">
        <f t="shared" ref="AK213:AS213" ca="1" si="360">-AK99*AK62*AK$205/1000</f>
        <v>0</v>
      </c>
      <c r="AL213" s="8">
        <f t="shared" ca="1" si="360"/>
        <v>0</v>
      </c>
      <c r="AM213" s="8">
        <f t="shared" ca="1" si="360"/>
        <v>0</v>
      </c>
      <c r="AN213" s="8">
        <f t="shared" ca="1" si="360"/>
        <v>0</v>
      </c>
      <c r="AO213" s="8">
        <f t="shared" ca="1" si="360"/>
        <v>0</v>
      </c>
      <c r="AP213" s="8">
        <f t="shared" ca="1" si="360"/>
        <v>0</v>
      </c>
      <c r="AQ213" s="8">
        <f t="shared" ca="1" si="360"/>
        <v>0</v>
      </c>
      <c r="AR213" s="8">
        <f t="shared" ca="1" si="360"/>
        <v>0</v>
      </c>
      <c r="AS213" s="8">
        <f t="shared" ca="1" si="360"/>
        <v>0</v>
      </c>
      <c r="AT213" s="8">
        <f t="shared" ref="AT213" ca="1" si="361">-AT99*AT62*AT$205/1000</f>
        <v>0</v>
      </c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</row>
    <row r="214" spans="1:69" ht="13.5" customHeight="1" x14ac:dyDescent="0.3">
      <c r="A214" s="7"/>
      <c r="B214" s="7"/>
      <c r="C214" s="5" t="s">
        <v>32</v>
      </c>
      <c r="D214" s="7"/>
      <c r="E214" s="7" t="s">
        <v>4</v>
      </c>
      <c r="F214" s="7"/>
      <c r="H214" s="7"/>
      <c r="I214" s="7"/>
      <c r="J214" s="12">
        <f t="shared" ref="J214:AG214" si="362">SUM(J206:J213)</f>
        <v>0</v>
      </c>
      <c r="K214" s="12">
        <f t="shared" si="362"/>
        <v>0</v>
      </c>
      <c r="L214" s="12">
        <f t="shared" si="362"/>
        <v>0</v>
      </c>
      <c r="M214" s="12">
        <f t="shared" si="362"/>
        <v>0</v>
      </c>
      <c r="N214" s="12">
        <f t="shared" si="362"/>
        <v>0</v>
      </c>
      <c r="O214" s="12">
        <f t="shared" si="362"/>
        <v>0</v>
      </c>
      <c r="P214" s="12">
        <f t="shared" si="362"/>
        <v>0</v>
      </c>
      <c r="Q214" s="12">
        <f t="shared" si="362"/>
        <v>0</v>
      </c>
      <c r="R214" s="12">
        <f t="shared" si="362"/>
        <v>0</v>
      </c>
      <c r="S214" s="12">
        <f t="shared" si="362"/>
        <v>0</v>
      </c>
      <c r="T214" s="12">
        <f t="shared" si="362"/>
        <v>0</v>
      </c>
      <c r="U214" s="12">
        <f t="shared" si="362"/>
        <v>0</v>
      </c>
      <c r="V214" s="12">
        <f t="shared" si="362"/>
        <v>0</v>
      </c>
      <c r="W214" s="12">
        <f t="shared" si="362"/>
        <v>0</v>
      </c>
      <c r="X214" s="12">
        <f t="shared" si="362"/>
        <v>0</v>
      </c>
      <c r="Y214" s="12">
        <f t="shared" si="362"/>
        <v>0</v>
      </c>
      <c r="Z214" s="12">
        <f t="shared" si="362"/>
        <v>0</v>
      </c>
      <c r="AA214" s="12">
        <f t="shared" si="362"/>
        <v>0</v>
      </c>
      <c r="AB214" s="12">
        <f t="shared" si="362"/>
        <v>0</v>
      </c>
      <c r="AC214" s="12">
        <f t="shared" si="362"/>
        <v>0</v>
      </c>
      <c r="AD214" s="12">
        <f t="shared" si="362"/>
        <v>0</v>
      </c>
      <c r="AE214" s="12">
        <f t="shared" si="362"/>
        <v>0</v>
      </c>
      <c r="AF214" s="12">
        <f t="shared" si="362"/>
        <v>0</v>
      </c>
      <c r="AG214" s="12">
        <f t="shared" si="362"/>
        <v>0</v>
      </c>
      <c r="AH214" s="7"/>
      <c r="AI214" s="12">
        <f t="shared" ref="AI214:AJ214" si="363">SUMIF($J$145:$AF$145,AI$145,$J214:$AF214)</f>
        <v>0</v>
      </c>
      <c r="AJ214" s="12">
        <f t="shared" si="363"/>
        <v>0</v>
      </c>
      <c r="AK214" s="12">
        <f t="shared" ref="AK214:AS214" ca="1" si="364">SUM(AK206:AK213)</f>
        <v>-4274.9300224751532</v>
      </c>
      <c r="AL214" s="12">
        <f t="shared" ca="1" si="364"/>
        <v>-1435.8057633749017</v>
      </c>
      <c r="AM214" s="12">
        <f t="shared" ca="1" si="364"/>
        <v>-1928.5061005914079</v>
      </c>
      <c r="AN214" s="12">
        <f t="shared" ca="1" si="364"/>
        <v>-2532.2762883260721</v>
      </c>
      <c r="AO214" s="12">
        <f t="shared" ca="1" si="364"/>
        <v>-2734.8583913921584</v>
      </c>
      <c r="AP214" s="12">
        <f t="shared" ca="1" si="364"/>
        <v>-2926.2984787896094</v>
      </c>
      <c r="AQ214" s="12">
        <f t="shared" ca="1" si="364"/>
        <v>-3116.5078799109342</v>
      </c>
      <c r="AR214" s="12">
        <f t="shared" ca="1" si="364"/>
        <v>-3303.4983527055902</v>
      </c>
      <c r="AS214" s="12">
        <f t="shared" ca="1" si="364"/>
        <v>-3468.6732703408702</v>
      </c>
      <c r="AT214" s="12">
        <f t="shared" ref="AT214" ca="1" si="365">SUM(AT206:AT213)</f>
        <v>-3642.1069338579136</v>
      </c>
      <c r="AU214" s="216">
        <f ca="1">AL214/$AL$247</f>
        <v>5.3386733208030807E-2</v>
      </c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</row>
    <row r="215" spans="1:69" ht="13.5" customHeight="1" x14ac:dyDescent="0.3">
      <c r="A215" s="7"/>
      <c r="B215" s="7"/>
      <c r="C215" s="7"/>
      <c r="D215" s="7"/>
      <c r="E215" s="7"/>
      <c r="F215" s="7"/>
      <c r="H215" s="7"/>
      <c r="I215" s="7"/>
      <c r="J215" s="7">
        <v>1</v>
      </c>
      <c r="K215" s="7">
        <v>1</v>
      </c>
      <c r="L215" s="7">
        <v>1</v>
      </c>
      <c r="M215" s="7">
        <v>1</v>
      </c>
      <c r="N215" s="7">
        <v>1</v>
      </c>
      <c r="O215" s="7">
        <v>1</v>
      </c>
      <c r="P215" s="7">
        <v>1</v>
      </c>
      <c r="Q215" s="7">
        <v>1</v>
      </c>
      <c r="R215" s="7">
        <v>1</v>
      </c>
      <c r="S215" s="7">
        <v>1</v>
      </c>
      <c r="T215" s="7">
        <v>1</v>
      </c>
      <c r="U215" s="7">
        <v>1</v>
      </c>
      <c r="V215" s="7">
        <v>1</v>
      </c>
      <c r="W215" s="7">
        <v>1</v>
      </c>
      <c r="X215" s="7">
        <v>1</v>
      </c>
      <c r="Y215" s="7">
        <v>1</v>
      </c>
      <c r="Z215" s="7">
        <v>1</v>
      </c>
      <c r="AA215" s="7">
        <v>1</v>
      </c>
      <c r="AB215" s="7">
        <v>1</v>
      </c>
      <c r="AC215" s="7">
        <v>1</v>
      </c>
      <c r="AD215" s="7">
        <v>1</v>
      </c>
      <c r="AE215" s="7">
        <v>1</v>
      </c>
      <c r="AF215" s="7">
        <v>1</v>
      </c>
      <c r="AG215" s="7">
        <v>1</v>
      </c>
      <c r="AH215" s="7"/>
      <c r="AI215" s="68"/>
      <c r="AJ215" s="68"/>
      <c r="AK215" s="68">
        <v>12</v>
      </c>
      <c r="AL215" s="68">
        <v>12</v>
      </c>
      <c r="AM215" s="68">
        <v>12</v>
      </c>
      <c r="AN215" s="68">
        <v>12</v>
      </c>
      <c r="AO215" s="68">
        <v>12</v>
      </c>
      <c r="AP215" s="68">
        <v>12</v>
      </c>
      <c r="AQ215" s="68">
        <v>12</v>
      </c>
      <c r="AR215" s="68">
        <v>12</v>
      </c>
      <c r="AS215" s="68">
        <v>12</v>
      </c>
      <c r="AT215" s="68">
        <v>12</v>
      </c>
      <c r="AU215" s="68">
        <f>AVERAGE(AK215:AR215)</f>
        <v>12</v>
      </c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</row>
    <row r="216" spans="1:69" ht="13.5" customHeight="1" x14ac:dyDescent="0.3">
      <c r="A216" s="7"/>
      <c r="B216" s="5" t="s">
        <v>457</v>
      </c>
      <c r="C216" s="7"/>
      <c r="D216" s="7"/>
      <c r="E216" s="5" t="s">
        <v>40</v>
      </c>
      <c r="F216" s="7"/>
      <c r="H216" s="7"/>
      <c r="I216" s="7"/>
      <c r="J216" s="12">
        <f t="shared" ref="J216:AG216" si="366">J159</f>
        <v>0</v>
      </c>
      <c r="K216" s="12">
        <f t="shared" si="366"/>
        <v>0</v>
      </c>
      <c r="L216" s="12">
        <f t="shared" si="366"/>
        <v>0</v>
      </c>
      <c r="M216" s="12">
        <f t="shared" si="366"/>
        <v>0</v>
      </c>
      <c r="N216" s="12">
        <f t="shared" si="366"/>
        <v>0</v>
      </c>
      <c r="O216" s="12">
        <f t="shared" si="366"/>
        <v>0</v>
      </c>
      <c r="P216" s="12">
        <f t="shared" si="366"/>
        <v>0</v>
      </c>
      <c r="Q216" s="12">
        <f t="shared" si="366"/>
        <v>0</v>
      </c>
      <c r="R216" s="12">
        <f t="shared" si="366"/>
        <v>196.77241425754903</v>
      </c>
      <c r="S216" s="12">
        <f t="shared" si="366"/>
        <v>196.03482554578261</v>
      </c>
      <c r="T216" s="12">
        <f t="shared" si="366"/>
        <v>195.54473848191816</v>
      </c>
      <c r="U216" s="12">
        <f t="shared" si="366"/>
        <v>195.05587663571336</v>
      </c>
      <c r="V216" s="12">
        <f t="shared" si="366"/>
        <v>194.56823694412407</v>
      </c>
      <c r="W216" s="12">
        <f t="shared" si="366"/>
        <v>194.08181635176376</v>
      </c>
      <c r="X216" s="12">
        <f t="shared" si="366"/>
        <v>193.59661181088435</v>
      </c>
      <c r="Y216" s="12">
        <f t="shared" si="366"/>
        <v>164.07312850972451</v>
      </c>
      <c r="Z216" s="12">
        <f t="shared" si="366"/>
        <v>163.66294568845021</v>
      </c>
      <c r="AA216" s="12">
        <f t="shared" si="366"/>
        <v>163.25378832422908</v>
      </c>
      <c r="AB216" s="12">
        <f t="shared" si="366"/>
        <v>162.8456538534185</v>
      </c>
      <c r="AC216" s="12">
        <f t="shared" si="366"/>
        <v>162.43853971878494</v>
      </c>
      <c r="AD216" s="12">
        <f t="shared" si="366"/>
        <v>162.03244336948796</v>
      </c>
      <c r="AE216" s="12">
        <f t="shared" si="366"/>
        <v>161.62736226106423</v>
      </c>
      <c r="AF216" s="12">
        <f t="shared" si="366"/>
        <v>161.22329385541158</v>
      </c>
      <c r="AG216" s="12">
        <f t="shared" si="366"/>
        <v>160.82023562077305</v>
      </c>
      <c r="AH216" s="7"/>
      <c r="AI216" s="12">
        <f t="shared" ref="AI216:AS216" si="367">AI162</f>
        <v>198.0074875078125</v>
      </c>
      <c r="AJ216" s="12">
        <f t="shared" si="367"/>
        <v>163.25378832422908</v>
      </c>
      <c r="AK216" s="12">
        <f t="shared" ca="1" si="367"/>
        <v>201.16948066253127</v>
      </c>
      <c r="AL216" s="12">
        <f t="shared" ca="1" si="367"/>
        <v>164.95897414327567</v>
      </c>
      <c r="AM216" s="12">
        <f t="shared" ca="1" si="367"/>
        <v>197.80689709774487</v>
      </c>
      <c r="AN216" s="12">
        <f t="shared" ca="1" si="367"/>
        <v>176.32499999999999</v>
      </c>
      <c r="AO216" s="12">
        <f t="shared" ca="1" si="367"/>
        <v>176.32499999999999</v>
      </c>
      <c r="AP216" s="12">
        <f t="shared" ca="1" si="367"/>
        <v>176.32499999999999</v>
      </c>
      <c r="AQ216" s="12">
        <f t="shared" ca="1" si="367"/>
        <v>176.32499999999999</v>
      </c>
      <c r="AR216" s="12">
        <f t="shared" ca="1" si="367"/>
        <v>176.32499999999999</v>
      </c>
      <c r="AS216" s="12">
        <f t="shared" ca="1" si="367"/>
        <v>176.32499999999999</v>
      </c>
      <c r="AT216" s="12">
        <f t="shared" ref="AT216" ca="1" si="368">AT162</f>
        <v>176.32499999999999</v>
      </c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</row>
    <row r="217" spans="1:69" ht="13.5" customHeight="1" x14ac:dyDescent="0.3">
      <c r="A217" s="7"/>
      <c r="B217" s="7"/>
      <c r="C217" s="7" t="s">
        <v>373</v>
      </c>
      <c r="D217" s="7"/>
      <c r="E217" s="7" t="s">
        <v>4</v>
      </c>
      <c r="F217" s="215"/>
      <c r="H217" s="7"/>
      <c r="I217" s="7"/>
      <c r="J217" s="8">
        <f t="shared" ref="J217:AG217" si="369">-J88*J8*J$4*J$216/1000</f>
        <v>0</v>
      </c>
      <c r="K217" s="8">
        <f t="shared" si="369"/>
        <v>0</v>
      </c>
      <c r="L217" s="8">
        <f t="shared" si="369"/>
        <v>0</v>
      </c>
      <c r="M217" s="8">
        <f t="shared" si="369"/>
        <v>0</v>
      </c>
      <c r="N217" s="8">
        <f t="shared" si="369"/>
        <v>0</v>
      </c>
      <c r="O217" s="8">
        <f t="shared" si="369"/>
        <v>0</v>
      </c>
      <c r="P217" s="8">
        <f t="shared" si="369"/>
        <v>0</v>
      </c>
      <c r="Q217" s="8">
        <f t="shared" si="369"/>
        <v>0</v>
      </c>
      <c r="R217" s="8">
        <f t="shared" si="369"/>
        <v>0</v>
      </c>
      <c r="S217" s="8">
        <f t="shared" si="369"/>
        <v>0</v>
      </c>
      <c r="T217" s="8">
        <f t="shared" si="369"/>
        <v>0</v>
      </c>
      <c r="U217" s="8">
        <f t="shared" si="369"/>
        <v>0</v>
      </c>
      <c r="V217" s="8">
        <f t="shared" si="369"/>
        <v>0</v>
      </c>
      <c r="W217" s="8">
        <f t="shared" si="369"/>
        <v>0</v>
      </c>
      <c r="X217" s="8">
        <f t="shared" si="369"/>
        <v>0</v>
      </c>
      <c r="Y217" s="8">
        <f t="shared" si="369"/>
        <v>0</v>
      </c>
      <c r="Z217" s="8">
        <f t="shared" si="369"/>
        <v>0</v>
      </c>
      <c r="AA217" s="8">
        <f t="shared" si="369"/>
        <v>0</v>
      </c>
      <c r="AB217" s="8">
        <f t="shared" si="369"/>
        <v>0</v>
      </c>
      <c r="AC217" s="8">
        <f t="shared" si="369"/>
        <v>0</v>
      </c>
      <c r="AD217" s="8">
        <f t="shared" si="369"/>
        <v>0</v>
      </c>
      <c r="AE217" s="8">
        <f t="shared" si="369"/>
        <v>0</v>
      </c>
      <c r="AF217" s="8">
        <f t="shared" si="369"/>
        <v>0</v>
      </c>
      <c r="AG217" s="8">
        <f t="shared" si="369"/>
        <v>0</v>
      </c>
      <c r="AH217" s="7"/>
      <c r="AI217" s="8">
        <f t="shared" ref="AI217:AJ217" si="370">SUMIF($J$145:$AF$145,AI$145,$J217:$AF217)</f>
        <v>0</v>
      </c>
      <c r="AJ217" s="8">
        <f t="shared" si="370"/>
        <v>0</v>
      </c>
      <c r="AK217" s="8">
        <f t="shared" ref="AK217:AS217" ca="1" si="371">-AK88*AK8*AK$216/1000</f>
        <v>0</v>
      </c>
      <c r="AL217" s="8">
        <f t="shared" ca="1" si="371"/>
        <v>0</v>
      </c>
      <c r="AM217" s="8">
        <f t="shared" ca="1" si="371"/>
        <v>0</v>
      </c>
      <c r="AN217" s="8">
        <f t="shared" ca="1" si="371"/>
        <v>0</v>
      </c>
      <c r="AO217" s="8">
        <f t="shared" ca="1" si="371"/>
        <v>0</v>
      </c>
      <c r="AP217" s="8">
        <f t="shared" ca="1" si="371"/>
        <v>0</v>
      </c>
      <c r="AQ217" s="8">
        <f t="shared" ca="1" si="371"/>
        <v>0</v>
      </c>
      <c r="AR217" s="8">
        <f t="shared" ca="1" si="371"/>
        <v>0</v>
      </c>
      <c r="AS217" s="8">
        <f t="shared" ca="1" si="371"/>
        <v>0</v>
      </c>
      <c r="AT217" s="8">
        <f t="shared" ref="AT217" ca="1" si="372">-AT88*AT8*AT$216/1000</f>
        <v>0</v>
      </c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</row>
    <row r="218" spans="1:69" ht="13.5" customHeight="1" x14ac:dyDescent="0.3">
      <c r="A218" s="7"/>
      <c r="B218" s="7"/>
      <c r="C218" s="7" t="s">
        <v>374</v>
      </c>
      <c r="D218" s="7"/>
      <c r="E218" s="7" t="s">
        <v>4</v>
      </c>
      <c r="F218" s="215"/>
      <c r="H218" s="7"/>
      <c r="I218" s="7"/>
      <c r="J218" s="8">
        <f t="shared" ref="J218:AG218" si="373">-J89*J9*J$4*J$216/1000</f>
        <v>0</v>
      </c>
      <c r="K218" s="8">
        <f t="shared" si="373"/>
        <v>0</v>
      </c>
      <c r="L218" s="8">
        <f t="shared" si="373"/>
        <v>0</v>
      </c>
      <c r="M218" s="8">
        <f t="shared" si="373"/>
        <v>0</v>
      </c>
      <c r="N218" s="8">
        <f t="shared" si="373"/>
        <v>0</v>
      </c>
      <c r="O218" s="8">
        <f t="shared" si="373"/>
        <v>0</v>
      </c>
      <c r="P218" s="8">
        <f t="shared" si="373"/>
        <v>0</v>
      </c>
      <c r="Q218" s="8">
        <f t="shared" si="373"/>
        <v>0</v>
      </c>
      <c r="R218" s="8">
        <f t="shared" si="373"/>
        <v>-1043.6808852220399</v>
      </c>
      <c r="S218" s="8">
        <f t="shared" si="373"/>
        <v>0</v>
      </c>
      <c r="T218" s="8">
        <f t="shared" si="373"/>
        <v>0</v>
      </c>
      <c r="U218" s="8">
        <f t="shared" si="373"/>
        <v>0</v>
      </c>
      <c r="V218" s="8">
        <f t="shared" si="373"/>
        <v>0</v>
      </c>
      <c r="W218" s="8">
        <f t="shared" si="373"/>
        <v>0</v>
      </c>
      <c r="X218" s="8">
        <f t="shared" si="373"/>
        <v>0</v>
      </c>
      <c r="Y218" s="8">
        <f t="shared" si="373"/>
        <v>-870.24387361557888</v>
      </c>
      <c r="Z218" s="8">
        <f t="shared" si="373"/>
        <v>-897.00387272925786</v>
      </c>
      <c r="AA218" s="8">
        <f t="shared" si="373"/>
        <v>-984.23749935217847</v>
      </c>
      <c r="AB218" s="8">
        <f t="shared" si="373"/>
        <v>-918.4364600809721</v>
      </c>
      <c r="AC218" s="8">
        <f t="shared" si="373"/>
        <v>-979.32246333978821</v>
      </c>
      <c r="AD218" s="8">
        <f t="shared" si="373"/>
        <v>-945.3620875949407</v>
      </c>
      <c r="AE218" s="8">
        <f t="shared" si="373"/>
        <v>0</v>
      </c>
      <c r="AF218" s="8">
        <f t="shared" si="373"/>
        <v>0</v>
      </c>
      <c r="AG218" s="8">
        <f t="shared" si="373"/>
        <v>0</v>
      </c>
      <c r="AH218" s="7"/>
      <c r="AI218" s="8">
        <f t="shared" ref="AI218:AJ218" si="374">SUMIF($J$145:$AF$145,AI$145,$J218:$AF218)</f>
        <v>0</v>
      </c>
      <c r="AJ218" s="8">
        <f t="shared" si="374"/>
        <v>-2810.9286315668769</v>
      </c>
      <c r="AK218" s="8">
        <f t="shared" ref="AK218:AS218" ca="1" si="375">-AK89*AK9*AK$216/1000</f>
        <v>-7081.3427484640852</v>
      </c>
      <c r="AL218" s="8">
        <f t="shared" ca="1" si="375"/>
        <v>-6358.3376538459024</v>
      </c>
      <c r="AM218" s="8">
        <f t="shared" ca="1" si="375"/>
        <v>-8310.6610168230582</v>
      </c>
      <c r="AN218" s="8">
        <f t="shared" ca="1" si="375"/>
        <v>-8037.8106018615399</v>
      </c>
      <c r="AO218" s="8">
        <f t="shared" ca="1" si="375"/>
        <v>-8680.8354500104633</v>
      </c>
      <c r="AP218" s="8">
        <f t="shared" ca="1" si="375"/>
        <v>-9288.4939315111951</v>
      </c>
      <c r="AQ218" s="8">
        <f t="shared" ca="1" si="375"/>
        <v>-9892.2460370594217</v>
      </c>
      <c r="AR218" s="8">
        <f t="shared" ca="1" si="375"/>
        <v>-10485.780799282989</v>
      </c>
      <c r="AS218" s="8">
        <f t="shared" ca="1" si="375"/>
        <v>-11010.069839247137</v>
      </c>
      <c r="AT218" s="8">
        <f t="shared" ref="AT218" ca="1" si="376">-AT89*AT9*AT$216/1000</f>
        <v>-11560.573331209496</v>
      </c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</row>
    <row r="219" spans="1:69" ht="13.5" customHeight="1" x14ac:dyDescent="0.3">
      <c r="A219" s="7"/>
      <c r="B219" s="7"/>
      <c r="C219" s="7" t="s">
        <v>375</v>
      </c>
      <c r="D219" s="7"/>
      <c r="E219" s="7" t="s">
        <v>4</v>
      </c>
      <c r="F219" s="215"/>
      <c r="H219" s="7"/>
      <c r="I219" s="7"/>
      <c r="J219" s="8">
        <f t="shared" ref="J219:AG219" si="377">-J90*J10*J$4*J$216/1000</f>
        <v>0</v>
      </c>
      <c r="K219" s="8">
        <f t="shared" si="377"/>
        <v>0</v>
      </c>
      <c r="L219" s="8">
        <f t="shared" si="377"/>
        <v>0</v>
      </c>
      <c r="M219" s="8">
        <f t="shared" si="377"/>
        <v>0</v>
      </c>
      <c r="N219" s="8">
        <f t="shared" si="377"/>
        <v>0</v>
      </c>
      <c r="O219" s="8">
        <f t="shared" si="377"/>
        <v>0</v>
      </c>
      <c r="P219" s="8">
        <f t="shared" si="377"/>
        <v>0</v>
      </c>
      <c r="Q219" s="8">
        <f t="shared" si="377"/>
        <v>0</v>
      </c>
      <c r="R219" s="8">
        <f t="shared" si="377"/>
        <v>-53.912640727251009</v>
      </c>
      <c r="S219" s="8">
        <f t="shared" si="377"/>
        <v>-48.685003880763183</v>
      </c>
      <c r="T219" s="8">
        <f t="shared" si="377"/>
        <v>-46.99673358489801</v>
      </c>
      <c r="U219" s="8">
        <f t="shared" si="377"/>
        <v>-48.441883142633628</v>
      </c>
      <c r="V219" s="8">
        <f t="shared" si="377"/>
        <v>-48.320778434777033</v>
      </c>
      <c r="W219" s="8">
        <f t="shared" si="377"/>
        <v>-46.64513853744203</v>
      </c>
      <c r="X219" s="8">
        <f t="shared" si="377"/>
        <v>-48.079476547468374</v>
      </c>
      <c r="Y219" s="8">
        <f t="shared" si="377"/>
        <v>-47.319510627847102</v>
      </c>
      <c r="Z219" s="8">
        <f t="shared" si="377"/>
        <v>-48.774585579653404</v>
      </c>
      <c r="AA219" s="8">
        <f t="shared" si="377"/>
        <v>-50.842018325910956</v>
      </c>
      <c r="AB219" s="8">
        <f t="shared" si="377"/>
        <v>-47.442983391057709</v>
      </c>
      <c r="AC219" s="8">
        <f t="shared" si="377"/>
        <v>-50.588125996895926</v>
      </c>
      <c r="AD219" s="8">
        <f t="shared" si="377"/>
        <v>-48.833860337326144</v>
      </c>
      <c r="AE219" s="8">
        <f t="shared" si="377"/>
        <v>-44.153948721665735</v>
      </c>
      <c r="AF219" s="8">
        <f t="shared" si="377"/>
        <v>-42.622803725672483</v>
      </c>
      <c r="AG219" s="8">
        <f t="shared" si="377"/>
        <v>-43.933454940236913</v>
      </c>
      <c r="AH219" s="7"/>
      <c r="AI219" s="8">
        <f t="shared" ref="AI219:AJ219" si="378">SUMIF($J$145:$AF$145,AI$145,$J219:$AF219)</f>
        <v>0</v>
      </c>
      <c r="AJ219" s="8">
        <f t="shared" si="378"/>
        <v>-437.17575106273375</v>
      </c>
      <c r="AK219" s="8">
        <f t="shared" ref="AK219:AS219" ca="1" si="379">-AK90*AK10*AK$216/1000</f>
        <v>-698.47567544846891</v>
      </c>
      <c r="AL219" s="8">
        <f t="shared" ca="1" si="379"/>
        <v>-627.16130898518031</v>
      </c>
      <c r="AM219" s="8">
        <f t="shared" ca="1" si="379"/>
        <v>-819.73077329264754</v>
      </c>
      <c r="AN219" s="8">
        <f t="shared" ca="1" si="379"/>
        <v>-792.81788619535541</v>
      </c>
      <c r="AO219" s="8">
        <f t="shared" ca="1" si="379"/>
        <v>-856.24331709098396</v>
      </c>
      <c r="AP219" s="8">
        <f t="shared" ca="1" si="379"/>
        <v>-916.1803492873529</v>
      </c>
      <c r="AQ219" s="8">
        <f t="shared" ca="1" si="379"/>
        <v>-975.73207199103069</v>
      </c>
      <c r="AR219" s="8">
        <f t="shared" ca="1" si="379"/>
        <v>-1034.2759963104927</v>
      </c>
      <c r="AS219" s="8">
        <f t="shared" ca="1" si="379"/>
        <v>-1085.9897961260174</v>
      </c>
      <c r="AT219" s="8">
        <f t="shared" ref="AT219" ca="1" si="380">-AT90*AT10*AT$216/1000</f>
        <v>-1140.2892859323183</v>
      </c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</row>
    <row r="220" spans="1:69" ht="13.5" customHeight="1" x14ac:dyDescent="0.3">
      <c r="A220" s="7"/>
      <c r="B220" s="7"/>
      <c r="C220" s="7" t="s">
        <v>376</v>
      </c>
      <c r="D220" s="7"/>
      <c r="E220" s="7" t="s">
        <v>4</v>
      </c>
      <c r="F220" s="215"/>
      <c r="H220" s="7"/>
      <c r="I220" s="7"/>
      <c r="J220" s="8">
        <f t="shared" ref="J220:AG220" si="381">-J91*J11*J$4*J$216/1000</f>
        <v>0</v>
      </c>
      <c r="K220" s="8">
        <f t="shared" si="381"/>
        <v>0</v>
      </c>
      <c r="L220" s="8">
        <f t="shared" si="381"/>
        <v>0</v>
      </c>
      <c r="M220" s="8">
        <f t="shared" si="381"/>
        <v>0</v>
      </c>
      <c r="N220" s="8">
        <f t="shared" si="381"/>
        <v>0</v>
      </c>
      <c r="O220" s="8">
        <f t="shared" si="381"/>
        <v>0</v>
      </c>
      <c r="P220" s="8">
        <f t="shared" si="381"/>
        <v>0</v>
      </c>
      <c r="Q220" s="8">
        <f t="shared" si="381"/>
        <v>0</v>
      </c>
      <c r="R220" s="8">
        <f t="shared" si="381"/>
        <v>-1095.8649294831421</v>
      </c>
      <c r="S220" s="8">
        <f t="shared" si="381"/>
        <v>0</v>
      </c>
      <c r="T220" s="8">
        <f t="shared" si="381"/>
        <v>0</v>
      </c>
      <c r="U220" s="8">
        <f t="shared" si="381"/>
        <v>0</v>
      </c>
      <c r="V220" s="8">
        <f t="shared" si="381"/>
        <v>0</v>
      </c>
      <c r="W220" s="8">
        <f t="shared" si="381"/>
        <v>0</v>
      </c>
      <c r="X220" s="8">
        <f t="shared" si="381"/>
        <v>0</v>
      </c>
      <c r="Y220" s="8">
        <f t="shared" si="381"/>
        <v>-1218.3414230618102</v>
      </c>
      <c r="Z220" s="8">
        <f t="shared" si="381"/>
        <v>-1255.8054218209609</v>
      </c>
      <c r="AA220" s="8">
        <f t="shared" si="381"/>
        <v>-1033.4493743197872</v>
      </c>
      <c r="AB220" s="8">
        <f t="shared" si="381"/>
        <v>-964.35828308502073</v>
      </c>
      <c r="AC220" s="8">
        <f t="shared" si="381"/>
        <v>-1028.2885865067776</v>
      </c>
      <c r="AD220" s="8">
        <f t="shared" si="381"/>
        <v>-992.63019197468759</v>
      </c>
      <c r="AE220" s="8">
        <f t="shared" si="381"/>
        <v>0</v>
      </c>
      <c r="AF220" s="8">
        <f t="shared" si="381"/>
        <v>0</v>
      </c>
      <c r="AG220" s="8">
        <f t="shared" si="381"/>
        <v>0</v>
      </c>
      <c r="AH220" s="7"/>
      <c r="AI220" s="8">
        <f t="shared" ref="AI220:AJ220" si="382">SUMIF($J$145:$AF$145,AI$145,$J220:$AF220)</f>
        <v>0</v>
      </c>
      <c r="AJ220" s="8">
        <f t="shared" si="382"/>
        <v>-3570.011774365913</v>
      </c>
      <c r="AK220" s="8">
        <f t="shared" ref="AK220:AS220" ca="1" si="383">-AK91*AK11*AK$216/1000</f>
        <v>-8270.6953426812561</v>
      </c>
      <c r="AL220" s="8">
        <f t="shared" ca="1" si="383"/>
        <v>-7426.2573481935005</v>
      </c>
      <c r="AM220" s="8">
        <f t="shared" ca="1" si="383"/>
        <v>-9706.4847456154403</v>
      </c>
      <c r="AN220" s="8">
        <f t="shared" ca="1" si="383"/>
        <v>-9387.8075206272333</v>
      </c>
      <c r="AO220" s="8">
        <f t="shared" ca="1" si="383"/>
        <v>-10138.832122277414</v>
      </c>
      <c r="AP220" s="8">
        <f t="shared" ca="1" si="383"/>
        <v>-10848.550370836836</v>
      </c>
      <c r="AQ220" s="8">
        <f t="shared" ca="1" si="383"/>
        <v>-11553.706144941227</v>
      </c>
      <c r="AR220" s="8">
        <f t="shared" ca="1" si="383"/>
        <v>-12246.9285136377</v>
      </c>
      <c r="AS220" s="8">
        <f t="shared" ca="1" si="383"/>
        <v>-12859.274939319586</v>
      </c>
      <c r="AT220" s="8">
        <f t="shared" ref="AT220" ca="1" si="384">-AT91*AT11*AT$216/1000</f>
        <v>-13502.238686285569</v>
      </c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</row>
    <row r="221" spans="1:69" ht="13.5" customHeight="1" x14ac:dyDescent="0.3">
      <c r="A221" s="7"/>
      <c r="B221" s="7"/>
      <c r="C221" s="7" t="s">
        <v>377</v>
      </c>
      <c r="D221" s="7"/>
      <c r="E221" s="7" t="s">
        <v>4</v>
      </c>
      <c r="F221" s="215"/>
      <c r="H221" s="7"/>
      <c r="I221" s="7"/>
      <c r="J221" s="8">
        <f t="shared" ref="J221:AG221" si="385">-J92*J12*J$4*J$216/1000</f>
        <v>0</v>
      </c>
      <c r="K221" s="8">
        <f t="shared" si="385"/>
        <v>0</v>
      </c>
      <c r="L221" s="8">
        <f t="shared" si="385"/>
        <v>0</v>
      </c>
      <c r="M221" s="8">
        <f t="shared" si="385"/>
        <v>0</v>
      </c>
      <c r="N221" s="8">
        <f t="shared" si="385"/>
        <v>0</v>
      </c>
      <c r="O221" s="8">
        <f t="shared" si="385"/>
        <v>0</v>
      </c>
      <c r="P221" s="8">
        <f t="shared" si="385"/>
        <v>0</v>
      </c>
      <c r="Q221" s="8">
        <f t="shared" si="385"/>
        <v>0</v>
      </c>
      <c r="R221" s="8">
        <f t="shared" si="385"/>
        <v>-195.69016597913253</v>
      </c>
      <c r="S221" s="8">
        <f t="shared" si="385"/>
        <v>0</v>
      </c>
      <c r="T221" s="8">
        <f t="shared" si="385"/>
        <v>0</v>
      </c>
      <c r="U221" s="8">
        <f t="shared" si="385"/>
        <v>0</v>
      </c>
      <c r="V221" s="8">
        <f t="shared" si="385"/>
        <v>0</v>
      </c>
      <c r="W221" s="8">
        <f t="shared" si="385"/>
        <v>0</v>
      </c>
      <c r="X221" s="8">
        <f t="shared" si="385"/>
        <v>0</v>
      </c>
      <c r="Y221" s="8">
        <f t="shared" si="385"/>
        <v>-163.17072630292103</v>
      </c>
      <c r="Z221" s="8">
        <f t="shared" si="385"/>
        <v>-168.18822613673584</v>
      </c>
      <c r="AA221" s="8">
        <f t="shared" si="385"/>
        <v>-184.54453112853344</v>
      </c>
      <c r="AB221" s="8">
        <f t="shared" si="385"/>
        <v>-172.20683626518226</v>
      </c>
      <c r="AC221" s="8">
        <f t="shared" si="385"/>
        <v>-183.62296187621033</v>
      </c>
      <c r="AD221" s="8">
        <f t="shared" si="385"/>
        <v>-177.25539142405137</v>
      </c>
      <c r="AE221" s="8">
        <f t="shared" si="385"/>
        <v>0</v>
      </c>
      <c r="AF221" s="8">
        <f t="shared" si="385"/>
        <v>0</v>
      </c>
      <c r="AG221" s="8">
        <f t="shared" si="385"/>
        <v>0</v>
      </c>
      <c r="AH221" s="7"/>
      <c r="AI221" s="8">
        <f t="shared" ref="AI221:AJ221" si="386">SUMIF($J$145:$AF$145,AI$145,$J221:$AF221)</f>
        <v>0</v>
      </c>
      <c r="AJ221" s="8">
        <f t="shared" si="386"/>
        <v>-527.04911841878936</v>
      </c>
      <c r="AK221" s="8">
        <f t="shared" ref="AK221:AS221" ca="1" si="387">-AK92*AK12*AK$216/1000</f>
        <v>-1327.751765337016</v>
      </c>
      <c r="AL221" s="8">
        <f t="shared" ca="1" si="387"/>
        <v>-1192.1883100961068</v>
      </c>
      <c r="AM221" s="8">
        <f t="shared" ca="1" si="387"/>
        <v>-1558.2489406543234</v>
      </c>
      <c r="AN221" s="8">
        <f t="shared" ca="1" si="387"/>
        <v>-1507.0894878490387</v>
      </c>
      <c r="AO221" s="8">
        <f t="shared" ca="1" si="387"/>
        <v>-1627.656646876962</v>
      </c>
      <c r="AP221" s="8">
        <f t="shared" ca="1" si="387"/>
        <v>-1741.5926121583495</v>
      </c>
      <c r="AQ221" s="8">
        <f t="shared" ca="1" si="387"/>
        <v>-1854.7961319486419</v>
      </c>
      <c r="AR221" s="8">
        <f t="shared" ca="1" si="387"/>
        <v>-1966.0838998655609</v>
      </c>
      <c r="AS221" s="8">
        <f t="shared" ca="1" si="387"/>
        <v>-2064.3880948588389</v>
      </c>
      <c r="AT221" s="8">
        <f t="shared" ref="AT221" ca="1" si="388">-AT92*AT12*AT$216/1000</f>
        <v>-2167.607499601781</v>
      </c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</row>
    <row r="222" spans="1:69" ht="13.5" customHeight="1" x14ac:dyDescent="0.3">
      <c r="A222" s="7"/>
      <c r="B222" s="7"/>
      <c r="C222" s="7" t="s">
        <v>378</v>
      </c>
      <c r="D222" s="7"/>
      <c r="E222" s="7" t="s">
        <v>4</v>
      </c>
      <c r="F222" s="215"/>
      <c r="H222" s="7"/>
      <c r="I222" s="7"/>
      <c r="J222" s="8">
        <f t="shared" ref="J222:AG222" si="389">-J93*J13*J$4*J$216/1000</f>
        <v>0</v>
      </c>
      <c r="K222" s="8">
        <f t="shared" si="389"/>
        <v>0</v>
      </c>
      <c r="L222" s="8">
        <f t="shared" si="389"/>
        <v>0</v>
      </c>
      <c r="M222" s="8">
        <f t="shared" si="389"/>
        <v>0</v>
      </c>
      <c r="N222" s="8">
        <f t="shared" si="389"/>
        <v>0</v>
      </c>
      <c r="O222" s="8">
        <f t="shared" si="389"/>
        <v>0</v>
      </c>
      <c r="P222" s="8">
        <f t="shared" si="389"/>
        <v>0</v>
      </c>
      <c r="Q222" s="8">
        <f t="shared" si="389"/>
        <v>0</v>
      </c>
      <c r="R222" s="8">
        <f t="shared" si="389"/>
        <v>-782.76066391653012</v>
      </c>
      <c r="S222" s="8">
        <f t="shared" si="389"/>
        <v>0</v>
      </c>
      <c r="T222" s="8">
        <f t="shared" si="389"/>
        <v>0</v>
      </c>
      <c r="U222" s="8">
        <f t="shared" si="389"/>
        <v>0</v>
      </c>
      <c r="V222" s="8">
        <f t="shared" si="389"/>
        <v>0</v>
      </c>
      <c r="W222" s="8">
        <f t="shared" si="389"/>
        <v>0</v>
      </c>
      <c r="X222" s="8">
        <f t="shared" si="389"/>
        <v>0</v>
      </c>
      <c r="Y222" s="8">
        <f t="shared" si="389"/>
        <v>-652.6829052116841</v>
      </c>
      <c r="Z222" s="8">
        <f t="shared" si="389"/>
        <v>-672.75290454694334</v>
      </c>
      <c r="AA222" s="8">
        <f t="shared" si="389"/>
        <v>-738.17812451413374</v>
      </c>
      <c r="AB222" s="8">
        <f t="shared" si="389"/>
        <v>-688.82734506072904</v>
      </c>
      <c r="AC222" s="8">
        <f t="shared" si="389"/>
        <v>-734.4918475048413</v>
      </c>
      <c r="AD222" s="8">
        <f t="shared" si="389"/>
        <v>-709.02156569620547</v>
      </c>
      <c r="AE222" s="8">
        <f t="shared" si="389"/>
        <v>0</v>
      </c>
      <c r="AF222" s="8">
        <f t="shared" si="389"/>
        <v>0</v>
      </c>
      <c r="AG222" s="8">
        <f t="shared" si="389"/>
        <v>0</v>
      </c>
      <c r="AH222" s="7"/>
      <c r="AI222" s="8">
        <f t="shared" ref="AI222:AJ222" si="390">SUMIF($J$145:$AF$145,AI$145,$J222:$AF222)</f>
        <v>0</v>
      </c>
      <c r="AJ222" s="8">
        <f t="shared" si="390"/>
        <v>-2108.1964736751574</v>
      </c>
      <c r="AK222" s="8">
        <f t="shared" ref="AK222:AS222" ca="1" si="391">-AK93*AK13*AK$216/1000</f>
        <v>-5311.0070613480639</v>
      </c>
      <c r="AL222" s="8">
        <f t="shared" ca="1" si="391"/>
        <v>-4768.753240384427</v>
      </c>
      <c r="AM222" s="8">
        <f t="shared" ca="1" si="391"/>
        <v>-6232.9957626172936</v>
      </c>
      <c r="AN222" s="8">
        <f t="shared" ca="1" si="391"/>
        <v>-6028.3579513961549</v>
      </c>
      <c r="AO222" s="8">
        <f t="shared" ca="1" si="391"/>
        <v>-6510.6265875078479</v>
      </c>
      <c r="AP222" s="8">
        <f t="shared" ca="1" si="391"/>
        <v>-6966.3704486333982</v>
      </c>
      <c r="AQ222" s="8">
        <f t="shared" ca="1" si="391"/>
        <v>-7419.1845277945677</v>
      </c>
      <c r="AR222" s="8">
        <f t="shared" ca="1" si="391"/>
        <v>-7864.3355994622434</v>
      </c>
      <c r="AS222" s="8">
        <f t="shared" ca="1" si="391"/>
        <v>-8257.5523794353558</v>
      </c>
      <c r="AT222" s="8">
        <f t="shared" ref="AT222" ca="1" si="392">-AT93*AT13*AT$216/1000</f>
        <v>-8670.429998407124</v>
      </c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</row>
    <row r="223" spans="1:69" ht="13.5" customHeight="1" x14ac:dyDescent="0.3">
      <c r="A223" s="7"/>
      <c r="B223" s="7"/>
      <c r="C223" s="7" t="s">
        <v>379</v>
      </c>
      <c r="D223" s="7"/>
      <c r="E223" s="7" t="s">
        <v>4</v>
      </c>
      <c r="F223" s="215"/>
      <c r="H223" s="7"/>
      <c r="I223" s="7"/>
      <c r="J223" s="8">
        <f t="shared" ref="J223:AG223" si="393">-J95*J14*J$4*J$216/1000</f>
        <v>0</v>
      </c>
      <c r="K223" s="8">
        <f t="shared" si="393"/>
        <v>0</v>
      </c>
      <c r="L223" s="8">
        <f t="shared" si="393"/>
        <v>0</v>
      </c>
      <c r="M223" s="8">
        <f t="shared" si="393"/>
        <v>0</v>
      </c>
      <c r="N223" s="8">
        <f t="shared" si="393"/>
        <v>0</v>
      </c>
      <c r="O223" s="8">
        <f t="shared" si="393"/>
        <v>0</v>
      </c>
      <c r="P223" s="8">
        <f t="shared" si="393"/>
        <v>0</v>
      </c>
      <c r="Q223" s="8">
        <f t="shared" si="393"/>
        <v>0</v>
      </c>
      <c r="R223" s="8">
        <f t="shared" si="393"/>
        <v>-28.375074066974214</v>
      </c>
      <c r="S223" s="8">
        <f t="shared" si="393"/>
        <v>0</v>
      </c>
      <c r="T223" s="8">
        <f t="shared" si="393"/>
        <v>0</v>
      </c>
      <c r="U223" s="8">
        <f t="shared" si="393"/>
        <v>0</v>
      </c>
      <c r="V223" s="8">
        <f t="shared" si="393"/>
        <v>0</v>
      </c>
      <c r="W223" s="8">
        <f t="shared" si="393"/>
        <v>0</v>
      </c>
      <c r="X223" s="8">
        <f t="shared" si="393"/>
        <v>0</v>
      </c>
      <c r="Y223" s="8">
        <f t="shared" si="393"/>
        <v>-31.546340418564732</v>
      </c>
      <c r="Z223" s="8">
        <f t="shared" si="393"/>
        <v>-32.516390386435603</v>
      </c>
      <c r="AA223" s="8">
        <f t="shared" si="393"/>
        <v>-26.758957013637339</v>
      </c>
      <c r="AB223" s="8">
        <f t="shared" si="393"/>
        <v>-24.969991258451422</v>
      </c>
      <c r="AC223" s="8">
        <f t="shared" si="393"/>
        <v>-26.625329472050485</v>
      </c>
      <c r="AD223" s="8">
        <f t="shared" si="393"/>
        <v>-25.702031756487447</v>
      </c>
      <c r="AE223" s="8">
        <f t="shared" si="393"/>
        <v>0</v>
      </c>
      <c r="AF223" s="8">
        <f t="shared" si="393"/>
        <v>0</v>
      </c>
      <c r="AG223" s="8">
        <f t="shared" si="393"/>
        <v>0</v>
      </c>
      <c r="AH223" s="7"/>
      <c r="AI223" s="8">
        <f t="shared" ref="AI223:AJ223" si="394">SUMIF($J$145:$AF$145,AI$145,$J223:$AF223)</f>
        <v>0</v>
      </c>
      <c r="AJ223" s="8">
        <f t="shared" si="394"/>
        <v>-92.437804871974549</v>
      </c>
      <c r="AK223" s="8">
        <f t="shared" ref="AK223:AS223" ca="1" si="395">-AK95*AK14*AK$216/1000</f>
        <v>-214.15193298013969</v>
      </c>
      <c r="AL223" s="8">
        <f t="shared" ca="1" si="395"/>
        <v>-192.28702062286746</v>
      </c>
      <c r="AM223" s="8">
        <f t="shared" ca="1" si="395"/>
        <v>-251.3286228775427</v>
      </c>
      <c r="AN223" s="8">
        <f t="shared" ca="1" si="395"/>
        <v>-243.0771590162409</v>
      </c>
      <c r="AO223" s="8">
        <f t="shared" ca="1" si="395"/>
        <v>-262.52333173754022</v>
      </c>
      <c r="AP223" s="8">
        <f t="shared" ca="1" si="395"/>
        <v>-280.89996495916807</v>
      </c>
      <c r="AQ223" s="8">
        <f t="shared" ca="1" si="395"/>
        <v>-299.15846268151392</v>
      </c>
      <c r="AR223" s="8">
        <f t="shared" ca="1" si="395"/>
        <v>-317.10797044240479</v>
      </c>
      <c r="AS223" s="8">
        <f t="shared" ca="1" si="395"/>
        <v>-332.96336896452505</v>
      </c>
      <c r="AT223" s="8">
        <f t="shared" ref="AT223" ca="1" si="396">-AT95*AT14*AT$216/1000</f>
        <v>-349.61153741275132</v>
      </c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</row>
    <row r="224" spans="1:69" ht="13.5" customHeight="1" x14ac:dyDescent="0.3">
      <c r="A224" s="7"/>
      <c r="B224" s="7"/>
      <c r="C224" s="7" t="s">
        <v>380</v>
      </c>
      <c r="D224" s="7"/>
      <c r="E224" s="7" t="s">
        <v>4</v>
      </c>
      <c r="F224" s="215"/>
      <c r="H224" s="7"/>
      <c r="I224" s="7"/>
      <c r="J224" s="8">
        <f t="shared" ref="J224:AG224" si="397">-J95*J15*J$4*J$216/1000</f>
        <v>0</v>
      </c>
      <c r="K224" s="8">
        <f t="shared" si="397"/>
        <v>0</v>
      </c>
      <c r="L224" s="8">
        <f t="shared" si="397"/>
        <v>0</v>
      </c>
      <c r="M224" s="8">
        <f t="shared" si="397"/>
        <v>0</v>
      </c>
      <c r="N224" s="8">
        <f t="shared" si="397"/>
        <v>0</v>
      </c>
      <c r="O224" s="8">
        <f t="shared" si="397"/>
        <v>0</v>
      </c>
      <c r="P224" s="8">
        <f t="shared" si="397"/>
        <v>0</v>
      </c>
      <c r="Q224" s="8">
        <f t="shared" si="397"/>
        <v>0</v>
      </c>
      <c r="R224" s="8">
        <f t="shared" si="397"/>
        <v>-52.020969122786056</v>
      </c>
      <c r="S224" s="8">
        <f t="shared" si="397"/>
        <v>0</v>
      </c>
      <c r="T224" s="8">
        <f t="shared" si="397"/>
        <v>0</v>
      </c>
      <c r="U224" s="8">
        <f t="shared" si="397"/>
        <v>0</v>
      </c>
      <c r="V224" s="8">
        <f t="shared" si="397"/>
        <v>0</v>
      </c>
      <c r="W224" s="8">
        <f t="shared" si="397"/>
        <v>0</v>
      </c>
      <c r="X224" s="8">
        <f t="shared" si="397"/>
        <v>0</v>
      </c>
      <c r="Y224" s="8">
        <f t="shared" si="397"/>
        <v>-35.489632970885324</v>
      </c>
      <c r="Z224" s="8">
        <f t="shared" si="397"/>
        <v>-36.580939184740046</v>
      </c>
      <c r="AA224" s="8">
        <f t="shared" si="397"/>
        <v>-49.058087858335135</v>
      </c>
      <c r="AB224" s="8">
        <f t="shared" si="397"/>
        <v>-45.778317307160947</v>
      </c>
      <c r="AC224" s="8">
        <f t="shared" si="397"/>
        <v>-48.813104032092575</v>
      </c>
      <c r="AD224" s="8">
        <f t="shared" si="397"/>
        <v>-47.120391553560324</v>
      </c>
      <c r="AE224" s="8">
        <f t="shared" si="397"/>
        <v>0</v>
      </c>
      <c r="AF224" s="8">
        <f t="shared" si="397"/>
        <v>0</v>
      </c>
      <c r="AG224" s="8">
        <f t="shared" si="397"/>
        <v>0</v>
      </c>
      <c r="AH224" s="7"/>
      <c r="AI224" s="8">
        <f t="shared" ref="AI224:AJ224" si="398">SUMIF($J$145:$AF$145,AI$145,$J224:$AF224)</f>
        <v>0</v>
      </c>
      <c r="AJ224" s="8">
        <f t="shared" si="398"/>
        <v>-124.09154127841143</v>
      </c>
      <c r="AK224" s="8">
        <f t="shared" ref="AK224:AS224" ca="1" si="399">-AK96*AK15*AK$216/1000</f>
        <v>-331.33275061248423</v>
      </c>
      <c r="AL224" s="8">
        <f t="shared" ca="1" si="399"/>
        <v>-297.50367677494967</v>
      </c>
      <c r="AM224" s="8">
        <f t="shared" ca="1" si="399"/>
        <v>-388.8519835746086</v>
      </c>
      <c r="AN224" s="8">
        <f t="shared" ca="1" si="399"/>
        <v>-376.08543890840582</v>
      </c>
      <c r="AO224" s="8">
        <f t="shared" ca="1" si="399"/>
        <v>-406.17227402107824</v>
      </c>
      <c r="AP224" s="8">
        <f t="shared" ca="1" si="399"/>
        <v>-434.60433320255385</v>
      </c>
      <c r="AQ224" s="8">
        <f t="shared" ca="1" si="399"/>
        <v>-462.85361486071974</v>
      </c>
      <c r="AR224" s="8">
        <f t="shared" ca="1" si="399"/>
        <v>-490.62483175236304</v>
      </c>
      <c r="AS224" s="8">
        <f t="shared" ca="1" si="399"/>
        <v>-515.15607333998116</v>
      </c>
      <c r="AT224" s="8">
        <f t="shared" ref="AT224" ca="1" si="400">-AT96*AT15*AT$216/1000</f>
        <v>-540.91387700698021</v>
      </c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</row>
    <row r="225" spans="1:69" ht="13.5" customHeight="1" x14ac:dyDescent="0.3">
      <c r="A225" s="7"/>
      <c r="B225" s="7"/>
      <c r="C225" s="5" t="s">
        <v>32</v>
      </c>
      <c r="D225" s="7"/>
      <c r="E225" s="7" t="s">
        <v>4</v>
      </c>
      <c r="F225" s="7"/>
      <c r="H225" s="7"/>
      <c r="I225" s="7"/>
      <c r="J225" s="12">
        <f t="shared" ref="J225:AG225" si="401">SUM(J217:J224)</f>
        <v>0</v>
      </c>
      <c r="K225" s="12">
        <f t="shared" si="401"/>
        <v>0</v>
      </c>
      <c r="L225" s="12">
        <f t="shared" si="401"/>
        <v>0</v>
      </c>
      <c r="M225" s="12">
        <f t="shared" si="401"/>
        <v>0</v>
      </c>
      <c r="N225" s="12">
        <f t="shared" si="401"/>
        <v>0</v>
      </c>
      <c r="O225" s="12">
        <f t="shared" si="401"/>
        <v>0</v>
      </c>
      <c r="P225" s="12">
        <f t="shared" si="401"/>
        <v>0</v>
      </c>
      <c r="Q225" s="12">
        <f t="shared" si="401"/>
        <v>0</v>
      </c>
      <c r="R225" s="12">
        <f t="shared" si="401"/>
        <v>-3252.3053285178557</v>
      </c>
      <c r="S225" s="12">
        <f t="shared" si="401"/>
        <v>-48.685003880763183</v>
      </c>
      <c r="T225" s="12">
        <f t="shared" si="401"/>
        <v>-46.99673358489801</v>
      </c>
      <c r="U225" s="12">
        <f t="shared" si="401"/>
        <v>-48.441883142633628</v>
      </c>
      <c r="V225" s="12">
        <f t="shared" si="401"/>
        <v>-48.320778434777033</v>
      </c>
      <c r="W225" s="12">
        <f t="shared" si="401"/>
        <v>-46.64513853744203</v>
      </c>
      <c r="X225" s="12">
        <f t="shared" si="401"/>
        <v>-48.079476547468374</v>
      </c>
      <c r="Y225" s="12">
        <f t="shared" si="401"/>
        <v>-3018.7944122092917</v>
      </c>
      <c r="Z225" s="12">
        <f t="shared" si="401"/>
        <v>-3111.6223403847271</v>
      </c>
      <c r="AA225" s="12">
        <f t="shared" si="401"/>
        <v>-3067.0685925125163</v>
      </c>
      <c r="AB225" s="12">
        <f t="shared" si="401"/>
        <v>-2862.0202164485745</v>
      </c>
      <c r="AC225" s="12">
        <f t="shared" si="401"/>
        <v>-3051.7524187286563</v>
      </c>
      <c r="AD225" s="12">
        <f t="shared" si="401"/>
        <v>-2945.9255203372591</v>
      </c>
      <c r="AE225" s="12">
        <f t="shared" si="401"/>
        <v>-44.153948721665735</v>
      </c>
      <c r="AF225" s="12">
        <f t="shared" si="401"/>
        <v>-42.622803725672483</v>
      </c>
      <c r="AG225" s="12">
        <f t="shared" si="401"/>
        <v>-43.933454940236913</v>
      </c>
      <c r="AH225" s="7"/>
      <c r="AI225" s="12">
        <f t="shared" ref="AI225:AJ225" si="402">SUMIF($J$145:$AF$145,AI$145,$J225:$AF225)</f>
        <v>0</v>
      </c>
      <c r="AJ225" s="12">
        <f t="shared" si="402"/>
        <v>-9669.8910952398564</v>
      </c>
      <c r="AK225" s="12">
        <f t="shared" ref="AK225:AS225" ca="1" si="403">SUM(AK217:AK224)</f>
        <v>-23234.757276871514</v>
      </c>
      <c r="AL225" s="12">
        <f t="shared" ca="1" si="403"/>
        <v>-20862.488558902933</v>
      </c>
      <c r="AM225" s="12">
        <f t="shared" ca="1" si="403"/>
        <v>-27268.301845454916</v>
      </c>
      <c r="AN225" s="12">
        <f t="shared" ca="1" si="403"/>
        <v>-26373.046045853967</v>
      </c>
      <c r="AO225" s="12">
        <f t="shared" ca="1" si="403"/>
        <v>-28482.889729522289</v>
      </c>
      <c r="AP225" s="12">
        <f t="shared" ca="1" si="403"/>
        <v>-30476.692010588857</v>
      </c>
      <c r="AQ225" s="12">
        <f t="shared" ca="1" si="403"/>
        <v>-32457.676991277123</v>
      </c>
      <c r="AR225" s="12">
        <f t="shared" ca="1" si="403"/>
        <v>-34405.137610753758</v>
      </c>
      <c r="AS225" s="12">
        <f t="shared" ca="1" si="403"/>
        <v>-36125.394491291445</v>
      </c>
      <c r="AT225" s="12">
        <f t="shared" ref="AT225" ca="1" si="404">SUM(AT217:AT224)</f>
        <v>-37931.664215856021</v>
      </c>
      <c r="AU225" s="216">
        <f ca="1">AL225/$AL$247</f>
        <v>0.77571781584980859</v>
      </c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</row>
    <row r="226" spans="1:69" ht="13.5" customHeight="1" x14ac:dyDescent="0.3">
      <c r="A226" s="7"/>
      <c r="B226" s="7"/>
      <c r="C226" s="7"/>
      <c r="D226" s="7"/>
      <c r="E226" s="7"/>
      <c r="F226" s="7"/>
      <c r="H226" s="7"/>
      <c r="I226" s="7"/>
      <c r="J226" s="7">
        <v>1</v>
      </c>
      <c r="K226" s="7">
        <v>1</v>
      </c>
      <c r="L226" s="7">
        <v>1</v>
      </c>
      <c r="M226" s="7">
        <v>1</v>
      </c>
      <c r="N226" s="7">
        <v>1</v>
      </c>
      <c r="O226" s="7">
        <v>1</v>
      </c>
      <c r="P226" s="7">
        <v>1</v>
      </c>
      <c r="Q226" s="7">
        <v>1</v>
      </c>
      <c r="R226" s="7">
        <v>1</v>
      </c>
      <c r="S226" s="7">
        <v>1</v>
      </c>
      <c r="T226" s="7">
        <v>1</v>
      </c>
      <c r="U226" s="7">
        <v>1</v>
      </c>
      <c r="V226" s="7">
        <v>1</v>
      </c>
      <c r="W226" s="7">
        <v>1</v>
      </c>
      <c r="X226" s="7">
        <v>1</v>
      </c>
      <c r="Y226" s="7">
        <v>1</v>
      </c>
      <c r="Z226" s="7">
        <v>1</v>
      </c>
      <c r="AA226" s="7">
        <v>1</v>
      </c>
      <c r="AB226" s="7">
        <v>1</v>
      </c>
      <c r="AC226" s="7">
        <v>1</v>
      </c>
      <c r="AD226" s="7">
        <v>1</v>
      </c>
      <c r="AE226" s="7">
        <v>1</v>
      </c>
      <c r="AF226" s="7">
        <v>1</v>
      </c>
      <c r="AG226" s="7">
        <v>1</v>
      </c>
      <c r="AH226" s="7"/>
      <c r="AI226" s="7"/>
      <c r="AJ226" s="7"/>
      <c r="AK226" s="7">
        <v>12</v>
      </c>
      <c r="AL226" s="7">
        <v>12</v>
      </c>
      <c r="AM226" s="7">
        <v>12</v>
      </c>
      <c r="AN226" s="7">
        <v>12</v>
      </c>
      <c r="AO226" s="7">
        <v>12</v>
      </c>
      <c r="AP226" s="7">
        <v>12</v>
      </c>
      <c r="AQ226" s="7">
        <v>12</v>
      </c>
      <c r="AR226" s="7">
        <v>12</v>
      </c>
      <c r="AS226" s="7">
        <v>12</v>
      </c>
      <c r="AT226" s="7">
        <v>12</v>
      </c>
      <c r="AU226" s="68">
        <f>AVERAGE(AK226:AR226)</f>
        <v>12</v>
      </c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</row>
    <row r="227" spans="1:69" ht="13.5" customHeight="1" x14ac:dyDescent="0.3">
      <c r="A227" s="7"/>
      <c r="B227" s="5" t="s">
        <v>455</v>
      </c>
      <c r="C227" s="7"/>
      <c r="D227" s="7"/>
      <c r="E227" s="5" t="s">
        <v>40</v>
      </c>
      <c r="F227" s="7"/>
      <c r="H227" s="7"/>
      <c r="I227" s="7"/>
      <c r="J227" s="12">
        <f t="shared" ref="J227:AG227" si="405">J170</f>
        <v>0</v>
      </c>
      <c r="K227" s="12">
        <f t="shared" si="405"/>
        <v>0</v>
      </c>
      <c r="L227" s="12">
        <f t="shared" si="405"/>
        <v>0</v>
      </c>
      <c r="M227" s="12">
        <f t="shared" si="405"/>
        <v>0</v>
      </c>
      <c r="N227" s="12">
        <f t="shared" si="405"/>
        <v>0</v>
      </c>
      <c r="O227" s="12">
        <f t="shared" si="405"/>
        <v>0</v>
      </c>
      <c r="P227" s="12">
        <f t="shared" si="405"/>
        <v>0</v>
      </c>
      <c r="Q227" s="12">
        <f t="shared" si="405"/>
        <v>0</v>
      </c>
      <c r="R227" s="12">
        <f t="shared" si="405"/>
        <v>0</v>
      </c>
      <c r="S227" s="12">
        <f t="shared" si="405"/>
        <v>0</v>
      </c>
      <c r="T227" s="12">
        <f t="shared" si="405"/>
        <v>0</v>
      </c>
      <c r="U227" s="12">
        <f t="shared" si="405"/>
        <v>0</v>
      </c>
      <c r="V227" s="12">
        <f t="shared" si="405"/>
        <v>0</v>
      </c>
      <c r="W227" s="12">
        <f t="shared" si="405"/>
        <v>0</v>
      </c>
      <c r="X227" s="12">
        <f t="shared" si="405"/>
        <v>0</v>
      </c>
      <c r="Y227" s="12">
        <f t="shared" si="405"/>
        <v>0</v>
      </c>
      <c r="Z227" s="12">
        <f t="shared" si="405"/>
        <v>0</v>
      </c>
      <c r="AA227" s="12">
        <f t="shared" si="405"/>
        <v>0</v>
      </c>
      <c r="AB227" s="12">
        <f t="shared" si="405"/>
        <v>0</v>
      </c>
      <c r="AC227" s="12">
        <f t="shared" si="405"/>
        <v>0</v>
      </c>
      <c r="AD227" s="12">
        <f t="shared" si="405"/>
        <v>0</v>
      </c>
      <c r="AE227" s="12">
        <f t="shared" si="405"/>
        <v>0</v>
      </c>
      <c r="AF227" s="12">
        <f t="shared" si="405"/>
        <v>0</v>
      </c>
      <c r="AG227" s="12">
        <f t="shared" si="405"/>
        <v>0</v>
      </c>
      <c r="AH227" s="7"/>
      <c r="AI227" s="12">
        <f t="shared" ref="AI227:AS227" si="406">AI159</f>
        <v>0</v>
      </c>
      <c r="AJ227" s="12">
        <f t="shared" si="406"/>
        <v>0</v>
      </c>
      <c r="AK227" s="12">
        <f t="shared" si="406"/>
        <v>0</v>
      </c>
      <c r="AL227" s="12">
        <f t="shared" ca="1" si="406"/>
        <v>82.932118403128513</v>
      </c>
      <c r="AM227" s="12">
        <f t="shared" ca="1" si="406"/>
        <v>102.19310290225512</v>
      </c>
      <c r="AN227" s="12">
        <f t="shared" ca="1" si="406"/>
        <v>123.675</v>
      </c>
      <c r="AO227" s="12">
        <f t="shared" ca="1" si="406"/>
        <v>123.675</v>
      </c>
      <c r="AP227" s="12">
        <f t="shared" ca="1" si="406"/>
        <v>123.675</v>
      </c>
      <c r="AQ227" s="12">
        <f t="shared" ca="1" si="406"/>
        <v>123.675</v>
      </c>
      <c r="AR227" s="12">
        <f t="shared" ca="1" si="406"/>
        <v>123.675</v>
      </c>
      <c r="AS227" s="12">
        <f t="shared" ca="1" si="406"/>
        <v>123.675</v>
      </c>
      <c r="AT227" s="12">
        <f t="shared" ref="AT227" ca="1" si="407">AT159</f>
        <v>123.675</v>
      </c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</row>
    <row r="228" spans="1:69" ht="13.5" customHeight="1" x14ac:dyDescent="0.3">
      <c r="A228" s="7"/>
      <c r="B228" s="7"/>
      <c r="C228" s="7" t="s">
        <v>373</v>
      </c>
      <c r="D228" s="7"/>
      <c r="E228" s="7" t="s">
        <v>4</v>
      </c>
      <c r="F228" s="215"/>
      <c r="H228" s="7"/>
      <c r="I228" s="7"/>
      <c r="J228" s="8">
        <f t="shared" ref="J228:AG228" si="408">-J99*J19*J$4*J$216/1000</f>
        <v>0</v>
      </c>
      <c r="K228" s="8">
        <f t="shared" si="408"/>
        <v>0</v>
      </c>
      <c r="L228" s="8">
        <f t="shared" si="408"/>
        <v>0</v>
      </c>
      <c r="M228" s="8">
        <f t="shared" si="408"/>
        <v>0</v>
      </c>
      <c r="N228" s="8">
        <f t="shared" si="408"/>
        <v>0</v>
      </c>
      <c r="O228" s="8">
        <f t="shared" si="408"/>
        <v>0</v>
      </c>
      <c r="P228" s="8">
        <f t="shared" si="408"/>
        <v>0</v>
      </c>
      <c r="Q228" s="8">
        <f>-Q99*Q19*Q$4*Q$216/1000</f>
        <v>0</v>
      </c>
      <c r="R228" s="8">
        <v>0</v>
      </c>
      <c r="S228" s="8">
        <f t="shared" si="408"/>
        <v>0</v>
      </c>
      <c r="T228" s="8">
        <f t="shared" si="408"/>
        <v>0</v>
      </c>
      <c r="U228" s="8">
        <f t="shared" si="408"/>
        <v>0</v>
      </c>
      <c r="V228" s="8">
        <f t="shared" si="408"/>
        <v>0</v>
      </c>
      <c r="W228" s="8">
        <f t="shared" si="408"/>
        <v>0</v>
      </c>
      <c r="X228" s="8">
        <f t="shared" si="408"/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f t="shared" si="408"/>
        <v>0</v>
      </c>
      <c r="AF228" s="8">
        <f t="shared" si="408"/>
        <v>0</v>
      </c>
      <c r="AG228" s="8">
        <f t="shared" si="408"/>
        <v>0</v>
      </c>
      <c r="AH228" s="7"/>
      <c r="AI228" s="8">
        <f t="shared" ref="AI228:AJ228" si="409">SUMIF($J$145:$AF$145,AI$145,$J228:$AF228)</f>
        <v>0</v>
      </c>
      <c r="AJ228" s="8">
        <f t="shared" si="409"/>
        <v>0</v>
      </c>
      <c r="AK228" s="8">
        <f t="shared" ref="AK228:AS228" si="410">-AK88*AK18*AK$227/1000</f>
        <v>0</v>
      </c>
      <c r="AL228" s="8">
        <f t="shared" ca="1" si="410"/>
        <v>0</v>
      </c>
      <c r="AM228" s="8">
        <f t="shared" ca="1" si="410"/>
        <v>0</v>
      </c>
      <c r="AN228" s="8">
        <f t="shared" ca="1" si="410"/>
        <v>0</v>
      </c>
      <c r="AO228" s="8">
        <f t="shared" ca="1" si="410"/>
        <v>0</v>
      </c>
      <c r="AP228" s="8">
        <f t="shared" ca="1" si="410"/>
        <v>0</v>
      </c>
      <c r="AQ228" s="8">
        <f t="shared" ca="1" si="410"/>
        <v>0</v>
      </c>
      <c r="AR228" s="8">
        <f t="shared" ca="1" si="410"/>
        <v>0</v>
      </c>
      <c r="AS228" s="8">
        <f t="shared" ca="1" si="410"/>
        <v>0</v>
      </c>
      <c r="AT228" s="8">
        <f t="shared" ref="AT228" ca="1" si="411">-AT88*AT18*AT$227/1000</f>
        <v>0</v>
      </c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</row>
    <row r="229" spans="1:69" ht="13.5" customHeight="1" x14ac:dyDescent="0.3">
      <c r="A229" s="7"/>
      <c r="B229" s="7"/>
      <c r="C229" s="7" t="s">
        <v>374</v>
      </c>
      <c r="D229" s="7"/>
      <c r="E229" s="7" t="s">
        <v>4</v>
      </c>
      <c r="F229" s="215"/>
      <c r="H229" s="7"/>
      <c r="I229" s="7"/>
      <c r="J229" s="8">
        <f t="shared" ref="J229:AG229" si="412">-J100*J20*J$4*J$216/1000</f>
        <v>0</v>
      </c>
      <c r="K229" s="8">
        <f t="shared" si="412"/>
        <v>0</v>
      </c>
      <c r="L229" s="8">
        <f t="shared" si="412"/>
        <v>0</v>
      </c>
      <c r="M229" s="8">
        <f t="shared" si="412"/>
        <v>0</v>
      </c>
      <c r="N229" s="8">
        <f t="shared" si="412"/>
        <v>0</v>
      </c>
      <c r="O229" s="8">
        <f t="shared" si="412"/>
        <v>0</v>
      </c>
      <c r="P229" s="8">
        <f t="shared" si="412"/>
        <v>0</v>
      </c>
      <c r="Q229" s="8">
        <f t="shared" si="412"/>
        <v>0</v>
      </c>
      <c r="R229" s="8">
        <f t="shared" si="412"/>
        <v>0</v>
      </c>
      <c r="S229" s="8">
        <f t="shared" si="412"/>
        <v>0</v>
      </c>
      <c r="T229" s="8">
        <f t="shared" si="412"/>
        <v>0</v>
      </c>
      <c r="U229" s="8">
        <f t="shared" si="412"/>
        <v>0</v>
      </c>
      <c r="V229" s="8">
        <f t="shared" si="412"/>
        <v>0</v>
      </c>
      <c r="W229" s="8">
        <f t="shared" si="412"/>
        <v>0</v>
      </c>
      <c r="X229" s="8">
        <f t="shared" si="412"/>
        <v>0</v>
      </c>
      <c r="Y229" s="8">
        <f t="shared" si="412"/>
        <v>0</v>
      </c>
      <c r="Z229" s="8">
        <f t="shared" si="412"/>
        <v>0</v>
      </c>
      <c r="AA229" s="8">
        <f t="shared" si="412"/>
        <v>0</v>
      </c>
      <c r="AB229" s="8">
        <f t="shared" si="412"/>
        <v>0</v>
      </c>
      <c r="AC229" s="8">
        <f t="shared" si="412"/>
        <v>0</v>
      </c>
      <c r="AD229" s="8">
        <f t="shared" si="412"/>
        <v>0</v>
      </c>
      <c r="AE229" s="8">
        <f t="shared" si="412"/>
        <v>0</v>
      </c>
      <c r="AF229" s="8">
        <f t="shared" si="412"/>
        <v>0</v>
      </c>
      <c r="AG229" s="8">
        <f t="shared" si="412"/>
        <v>0</v>
      </c>
      <c r="AH229" s="7"/>
      <c r="AI229" s="8">
        <f t="shared" ref="AI229:AJ229" si="413">SUMIF($J$145:$AF$145,AI$145,$J229:$AF229)</f>
        <v>0</v>
      </c>
      <c r="AJ229" s="8">
        <f t="shared" si="413"/>
        <v>0</v>
      </c>
      <c r="AK229" s="8">
        <f t="shared" ref="AK229:AS229" si="414">-AK89*AK19*AK$227/1000</f>
        <v>0</v>
      </c>
      <c r="AL229" s="8">
        <f ca="1">-AL89*AL19*AL$227/1000</f>
        <v>-1607.1381720766442</v>
      </c>
      <c r="AM229" s="8">
        <f t="shared" ca="1" si="414"/>
        <v>-2158.6316536701752</v>
      </c>
      <c r="AN229" s="8">
        <f t="shared" ca="1" si="414"/>
        <v>-2834.4487736610045</v>
      </c>
      <c r="AO229" s="8">
        <f t="shared" ca="1" si="414"/>
        <v>-3061.2046755538845</v>
      </c>
      <c r="AP229" s="8">
        <f t="shared" ca="1" si="414"/>
        <v>-3275.4890028426562</v>
      </c>
      <c r="AQ229" s="8">
        <f t="shared" ca="1" si="414"/>
        <v>-3488.3957880274293</v>
      </c>
      <c r="AR229" s="8">
        <f t="shared" ca="1" si="414"/>
        <v>-3697.6995353090747</v>
      </c>
      <c r="AS229" s="8">
        <f t="shared" ca="1" si="414"/>
        <v>-3882.5845120745284</v>
      </c>
      <c r="AT229" s="8">
        <f t="shared" ref="AT229" ca="1" si="415">-AT89*AT19*AT$227/1000</f>
        <v>-4076.7137376782548</v>
      </c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</row>
    <row r="230" spans="1:69" ht="13.5" customHeight="1" x14ac:dyDescent="0.3">
      <c r="A230" s="7"/>
      <c r="B230" s="7"/>
      <c r="C230" s="7" t="s">
        <v>375</v>
      </c>
      <c r="D230" s="7"/>
      <c r="E230" s="7" t="s">
        <v>4</v>
      </c>
      <c r="F230" s="215"/>
      <c r="H230" s="7"/>
      <c r="I230" s="7"/>
      <c r="J230" s="8">
        <f t="shared" ref="J230:AG230" si="416">-J101*J21*J$4*J$216/1000</f>
        <v>0</v>
      </c>
      <c r="K230" s="8">
        <f t="shared" si="416"/>
        <v>0</v>
      </c>
      <c r="L230" s="8">
        <f t="shared" si="416"/>
        <v>0</v>
      </c>
      <c r="M230" s="8">
        <f t="shared" si="416"/>
        <v>0</v>
      </c>
      <c r="N230" s="8">
        <f t="shared" si="416"/>
        <v>0</v>
      </c>
      <c r="O230" s="8">
        <f t="shared" si="416"/>
        <v>0</v>
      </c>
      <c r="P230" s="8">
        <f t="shared" si="416"/>
        <v>0</v>
      </c>
      <c r="Q230" s="8">
        <f t="shared" si="416"/>
        <v>0</v>
      </c>
      <c r="R230" s="8">
        <f t="shared" si="416"/>
        <v>0</v>
      </c>
      <c r="S230" s="8">
        <f t="shared" si="416"/>
        <v>0</v>
      </c>
      <c r="T230" s="8">
        <f t="shared" si="416"/>
        <v>0</v>
      </c>
      <c r="U230" s="8">
        <f t="shared" si="416"/>
        <v>0</v>
      </c>
      <c r="V230" s="8">
        <f t="shared" si="416"/>
        <v>0</v>
      </c>
      <c r="W230" s="8">
        <f t="shared" si="416"/>
        <v>0</v>
      </c>
      <c r="X230" s="8">
        <f t="shared" si="416"/>
        <v>0</v>
      </c>
      <c r="Y230" s="8">
        <f t="shared" si="416"/>
        <v>0</v>
      </c>
      <c r="Z230" s="8">
        <f t="shared" si="416"/>
        <v>0</v>
      </c>
      <c r="AA230" s="8">
        <f t="shared" si="416"/>
        <v>0</v>
      </c>
      <c r="AB230" s="8">
        <f t="shared" si="416"/>
        <v>0</v>
      </c>
      <c r="AC230" s="8">
        <f t="shared" si="416"/>
        <v>0</v>
      </c>
      <c r="AD230" s="8">
        <f t="shared" si="416"/>
        <v>0</v>
      </c>
      <c r="AE230" s="8">
        <f t="shared" si="416"/>
        <v>0</v>
      </c>
      <c r="AF230" s="8">
        <f t="shared" si="416"/>
        <v>0</v>
      </c>
      <c r="AG230" s="8">
        <f t="shared" si="416"/>
        <v>0</v>
      </c>
      <c r="AH230" s="7"/>
      <c r="AI230" s="8">
        <f t="shared" ref="AI230:AJ230" si="417">SUMIF($J$145:$AF$145,AI$145,$J230:$AF230)</f>
        <v>0</v>
      </c>
      <c r="AJ230" s="8">
        <f t="shared" si="417"/>
        <v>0</v>
      </c>
      <c r="AK230" s="8">
        <f t="shared" ref="AK230:AS230" si="418">-AK90*AK20*AK$227/1000</f>
        <v>0</v>
      </c>
      <c r="AL230" s="8">
        <f t="shared" ca="1" si="418"/>
        <v>-233.1950864861073</v>
      </c>
      <c r="AM230" s="8">
        <f t="shared" ca="1" si="418"/>
        <v>-313.21656340153123</v>
      </c>
      <c r="AN230" s="8">
        <f t="shared" ca="1" si="418"/>
        <v>-411.27734901613468</v>
      </c>
      <c r="AO230" s="8">
        <f t="shared" ca="1" si="418"/>
        <v>-444.1795369374255</v>
      </c>
      <c r="AP230" s="8">
        <f t="shared" ca="1" si="418"/>
        <v>-475.27210452304536</v>
      </c>
      <c r="AQ230" s="8">
        <f t="shared" ca="1" si="418"/>
        <v>-506.16479131704318</v>
      </c>
      <c r="AR230" s="8">
        <f t="shared" ca="1" si="418"/>
        <v>-536.53467879606592</v>
      </c>
      <c r="AS230" s="8">
        <f t="shared" ca="1" si="418"/>
        <v>-563.36141273586918</v>
      </c>
      <c r="AT230" s="8">
        <f t="shared" ref="AT230" ca="1" si="419">-AT90*AT20*AT$227/1000</f>
        <v>-591.52948337266264</v>
      </c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</row>
    <row r="231" spans="1:69" ht="13.5" customHeight="1" x14ac:dyDescent="0.3">
      <c r="A231" s="7"/>
      <c r="B231" s="7"/>
      <c r="C231" s="7" t="s">
        <v>376</v>
      </c>
      <c r="D231" s="7"/>
      <c r="E231" s="7" t="s">
        <v>4</v>
      </c>
      <c r="F231" s="215"/>
      <c r="H231" s="7"/>
      <c r="I231" s="7"/>
      <c r="J231" s="8">
        <f t="shared" ref="J231:AG231" si="420">-J102*J22*J$4*J$216/1000</f>
        <v>0</v>
      </c>
      <c r="K231" s="8">
        <f t="shared" si="420"/>
        <v>0</v>
      </c>
      <c r="L231" s="8">
        <f t="shared" si="420"/>
        <v>0</v>
      </c>
      <c r="M231" s="8">
        <f t="shared" si="420"/>
        <v>0</v>
      </c>
      <c r="N231" s="8">
        <f t="shared" si="420"/>
        <v>0</v>
      </c>
      <c r="O231" s="8">
        <f t="shared" si="420"/>
        <v>0</v>
      </c>
      <c r="P231" s="8">
        <f t="shared" si="420"/>
        <v>0</v>
      </c>
      <c r="Q231" s="8">
        <f t="shared" si="420"/>
        <v>0</v>
      </c>
      <c r="R231" s="8">
        <f t="shared" si="420"/>
        <v>0</v>
      </c>
      <c r="S231" s="8">
        <f t="shared" si="420"/>
        <v>0</v>
      </c>
      <c r="T231" s="8">
        <f t="shared" si="420"/>
        <v>0</v>
      </c>
      <c r="U231" s="8">
        <f t="shared" si="420"/>
        <v>0</v>
      </c>
      <c r="V231" s="8">
        <f t="shared" si="420"/>
        <v>0</v>
      </c>
      <c r="W231" s="8">
        <f t="shared" si="420"/>
        <v>0</v>
      </c>
      <c r="X231" s="8">
        <f t="shared" si="420"/>
        <v>0</v>
      </c>
      <c r="Y231" s="8">
        <f t="shared" si="420"/>
        <v>0</v>
      </c>
      <c r="Z231" s="8">
        <f t="shared" si="420"/>
        <v>0</v>
      </c>
      <c r="AA231" s="8">
        <f t="shared" si="420"/>
        <v>0</v>
      </c>
      <c r="AB231" s="8">
        <f t="shared" si="420"/>
        <v>0</v>
      </c>
      <c r="AC231" s="8">
        <f t="shared" si="420"/>
        <v>0</v>
      </c>
      <c r="AD231" s="8">
        <f t="shared" si="420"/>
        <v>0</v>
      </c>
      <c r="AE231" s="8">
        <f t="shared" si="420"/>
        <v>0</v>
      </c>
      <c r="AF231" s="8">
        <f t="shared" si="420"/>
        <v>0</v>
      </c>
      <c r="AG231" s="8">
        <f t="shared" si="420"/>
        <v>0</v>
      </c>
      <c r="AH231" s="7"/>
      <c r="AI231" s="8">
        <f t="shared" ref="AI231:AJ231" si="421">SUMIF($J$145:$AF$145,AI$145,$J231:$AF231)</f>
        <v>0</v>
      </c>
      <c r="AJ231" s="8">
        <f t="shared" si="421"/>
        <v>0</v>
      </c>
      <c r="AK231" s="8">
        <f t="shared" ref="AK231:AS231" si="422">-AK91*AK21*AK$227/1000</f>
        <v>0</v>
      </c>
      <c r="AL231" s="8">
        <f t="shared" ca="1" si="422"/>
        <v>-2157.2739309798026</v>
      </c>
      <c r="AM231" s="8">
        <f t="shared" ca="1" si="422"/>
        <v>-2897.5478735803499</v>
      </c>
      <c r="AN231" s="8">
        <f t="shared" ca="1" si="422"/>
        <v>-3804.7023923372708</v>
      </c>
      <c r="AO231" s="8">
        <f t="shared" ca="1" si="422"/>
        <v>-4109.0785837242529</v>
      </c>
      <c r="AP231" s="8">
        <f t="shared" ca="1" si="422"/>
        <v>-4396.7140845849517</v>
      </c>
      <c r="AQ231" s="8">
        <f t="shared" ca="1" si="422"/>
        <v>-4682.5005000829724</v>
      </c>
      <c r="AR231" s="8">
        <f t="shared" ca="1" si="422"/>
        <v>-4963.4505300879518</v>
      </c>
      <c r="AS231" s="8">
        <f t="shared" ca="1" si="422"/>
        <v>-5211.6230565923488</v>
      </c>
      <c r="AT231" s="8">
        <f t="shared" ref="AT231" ca="1" si="423">-AT91*AT21*AT$227/1000</f>
        <v>-5472.2042094219669</v>
      </c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</row>
    <row r="232" spans="1:69" ht="13.5" customHeight="1" x14ac:dyDescent="0.3">
      <c r="A232" s="7"/>
      <c r="B232" s="7"/>
      <c r="C232" s="7" t="s">
        <v>377</v>
      </c>
      <c r="D232" s="7"/>
      <c r="E232" s="7" t="s">
        <v>4</v>
      </c>
      <c r="F232" s="215"/>
      <c r="H232" s="7"/>
      <c r="I232" s="7"/>
      <c r="J232" s="8">
        <f t="shared" ref="J232:AG232" si="424">-J103*J23*J$4*J$216/1000</f>
        <v>0</v>
      </c>
      <c r="K232" s="8">
        <f t="shared" si="424"/>
        <v>0</v>
      </c>
      <c r="L232" s="8">
        <f t="shared" si="424"/>
        <v>0</v>
      </c>
      <c r="M232" s="8">
        <f t="shared" si="424"/>
        <v>0</v>
      </c>
      <c r="N232" s="8">
        <f t="shared" si="424"/>
        <v>0</v>
      </c>
      <c r="O232" s="8">
        <f t="shared" si="424"/>
        <v>0</v>
      </c>
      <c r="P232" s="8">
        <f t="shared" si="424"/>
        <v>0</v>
      </c>
      <c r="Q232" s="8">
        <f t="shared" si="424"/>
        <v>0</v>
      </c>
      <c r="R232" s="8">
        <f t="shared" si="424"/>
        <v>0</v>
      </c>
      <c r="S232" s="8">
        <f t="shared" si="424"/>
        <v>0</v>
      </c>
      <c r="T232" s="8">
        <f t="shared" si="424"/>
        <v>0</v>
      </c>
      <c r="U232" s="8">
        <f t="shared" si="424"/>
        <v>0</v>
      </c>
      <c r="V232" s="8">
        <f t="shared" si="424"/>
        <v>0</v>
      </c>
      <c r="W232" s="8">
        <f t="shared" si="424"/>
        <v>0</v>
      </c>
      <c r="X232" s="8">
        <f t="shared" si="424"/>
        <v>0</v>
      </c>
      <c r="Y232" s="8">
        <f t="shared" si="424"/>
        <v>0</v>
      </c>
      <c r="Z232" s="8">
        <f t="shared" si="424"/>
        <v>0</v>
      </c>
      <c r="AA232" s="8">
        <f t="shared" si="424"/>
        <v>0</v>
      </c>
      <c r="AB232" s="8">
        <f t="shared" si="424"/>
        <v>0</v>
      </c>
      <c r="AC232" s="8">
        <f t="shared" si="424"/>
        <v>0</v>
      </c>
      <c r="AD232" s="8">
        <f t="shared" si="424"/>
        <v>0</v>
      </c>
      <c r="AE232" s="8">
        <f t="shared" si="424"/>
        <v>0</v>
      </c>
      <c r="AF232" s="8">
        <f t="shared" si="424"/>
        <v>0</v>
      </c>
      <c r="AG232" s="8">
        <f t="shared" si="424"/>
        <v>0</v>
      </c>
      <c r="AH232" s="7"/>
      <c r="AI232" s="8">
        <f t="shared" ref="AI232:AJ232" si="425">SUMIF($J$145:$AF$145,AI$145,$J232:$AF232)</f>
        <v>0</v>
      </c>
      <c r="AJ232" s="8">
        <f t="shared" si="425"/>
        <v>0</v>
      </c>
      <c r="AK232" s="8">
        <f t="shared" ref="AK232:AS232" si="426">-AK92*AK22*AK$227/1000</f>
        <v>0</v>
      </c>
      <c r="AL232" s="8">
        <f t="shared" ca="1" si="426"/>
        <v>-301.33840726437074</v>
      </c>
      <c r="AM232" s="8">
        <f t="shared" ca="1" si="426"/>
        <v>-404.74343506315779</v>
      </c>
      <c r="AN232" s="8">
        <f t="shared" ca="1" si="426"/>
        <v>-531.45914506143845</v>
      </c>
      <c r="AO232" s="8">
        <f t="shared" ca="1" si="426"/>
        <v>-573.97587666635343</v>
      </c>
      <c r="AP232" s="8">
        <f t="shared" ca="1" si="426"/>
        <v>-614.15418803299826</v>
      </c>
      <c r="AQ232" s="8">
        <f t="shared" ca="1" si="426"/>
        <v>-654.07421025514316</v>
      </c>
      <c r="AR232" s="8">
        <f t="shared" ca="1" si="426"/>
        <v>-693.3186628704517</v>
      </c>
      <c r="AS232" s="8">
        <f t="shared" ca="1" si="426"/>
        <v>-727.9845960139744</v>
      </c>
      <c r="AT232" s="8">
        <f t="shared" ref="AT232" ca="1" si="427">-AT92*AT22*AT$227/1000</f>
        <v>-764.38382581467306</v>
      </c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</row>
    <row r="233" spans="1:69" ht="13.5" customHeight="1" x14ac:dyDescent="0.3">
      <c r="A233" s="7"/>
      <c r="B233" s="7"/>
      <c r="C233" s="7" t="s">
        <v>378</v>
      </c>
      <c r="D233" s="7"/>
      <c r="E233" s="7" t="s">
        <v>4</v>
      </c>
      <c r="F233" s="215"/>
      <c r="H233" s="7"/>
      <c r="I233" s="7"/>
      <c r="J233" s="8">
        <f t="shared" ref="J233:AG233" si="428">-J104*J24*J$4*J$216/1000</f>
        <v>0</v>
      </c>
      <c r="K233" s="8">
        <f t="shared" si="428"/>
        <v>0</v>
      </c>
      <c r="L233" s="8">
        <f t="shared" si="428"/>
        <v>0</v>
      </c>
      <c r="M233" s="8">
        <f t="shared" si="428"/>
        <v>0</v>
      </c>
      <c r="N233" s="8">
        <f t="shared" si="428"/>
        <v>0</v>
      </c>
      <c r="O233" s="8">
        <f t="shared" si="428"/>
        <v>0</v>
      </c>
      <c r="P233" s="8">
        <f t="shared" si="428"/>
        <v>0</v>
      </c>
      <c r="Q233" s="8">
        <f t="shared" si="428"/>
        <v>0</v>
      </c>
      <c r="R233" s="8">
        <f t="shared" si="428"/>
        <v>0</v>
      </c>
      <c r="S233" s="8">
        <f t="shared" si="428"/>
        <v>0</v>
      </c>
      <c r="T233" s="8">
        <f t="shared" si="428"/>
        <v>0</v>
      </c>
      <c r="U233" s="8">
        <f t="shared" si="428"/>
        <v>0</v>
      </c>
      <c r="V233" s="8">
        <f t="shared" si="428"/>
        <v>0</v>
      </c>
      <c r="W233" s="8">
        <f t="shared" si="428"/>
        <v>0</v>
      </c>
      <c r="X233" s="8">
        <f t="shared" si="428"/>
        <v>0</v>
      </c>
      <c r="Y233" s="8">
        <f t="shared" si="428"/>
        <v>0</v>
      </c>
      <c r="Z233" s="8">
        <f t="shared" si="428"/>
        <v>0</v>
      </c>
      <c r="AA233" s="8">
        <f t="shared" si="428"/>
        <v>0</v>
      </c>
      <c r="AB233" s="8">
        <f t="shared" si="428"/>
        <v>0</v>
      </c>
      <c r="AC233" s="8">
        <f t="shared" si="428"/>
        <v>0</v>
      </c>
      <c r="AD233" s="8">
        <f t="shared" si="428"/>
        <v>0</v>
      </c>
      <c r="AE233" s="8">
        <f t="shared" si="428"/>
        <v>0</v>
      </c>
      <c r="AF233" s="8">
        <f t="shared" si="428"/>
        <v>0</v>
      </c>
      <c r="AG233" s="8">
        <f t="shared" si="428"/>
        <v>0</v>
      </c>
      <c r="AH233" s="7"/>
      <c r="AI233" s="8">
        <f t="shared" ref="AI233:AJ233" si="429">SUMIF($J$145:$AF$145,AI$145,$J233:$AF233)</f>
        <v>0</v>
      </c>
      <c r="AJ233" s="8">
        <f t="shared" si="429"/>
        <v>0</v>
      </c>
      <c r="AK233" s="8">
        <f t="shared" ref="AK233:AS233" si="430">-AK93*AK23*AK$227/1000</f>
        <v>0</v>
      </c>
      <c r="AL233" s="8">
        <f t="shared" ca="1" si="430"/>
        <v>-1205.353629057483</v>
      </c>
      <c r="AM233" s="8">
        <f t="shared" ca="1" si="430"/>
        <v>-1618.9737402526312</v>
      </c>
      <c r="AN233" s="8">
        <f t="shared" ca="1" si="430"/>
        <v>-2125.8365802457538</v>
      </c>
      <c r="AO233" s="8">
        <f t="shared" ca="1" si="430"/>
        <v>-2295.9035066654137</v>
      </c>
      <c r="AP233" s="8">
        <f t="shared" ca="1" si="430"/>
        <v>-2456.6167521319931</v>
      </c>
      <c r="AQ233" s="8">
        <f t="shared" ca="1" si="430"/>
        <v>-2616.2968410205726</v>
      </c>
      <c r="AR233" s="8">
        <f t="shared" ca="1" si="430"/>
        <v>-2773.2746514818068</v>
      </c>
      <c r="AS233" s="8">
        <f t="shared" ca="1" si="430"/>
        <v>-2911.9383840558976</v>
      </c>
      <c r="AT233" s="8">
        <f t="shared" ref="AT233" ca="1" si="431">-AT93*AT23*AT$227/1000</f>
        <v>-3057.5353032586922</v>
      </c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</row>
    <row r="234" spans="1:69" ht="13.5" customHeight="1" x14ac:dyDescent="0.3">
      <c r="A234" s="7"/>
      <c r="B234" s="7"/>
      <c r="C234" s="7" t="s">
        <v>379</v>
      </c>
      <c r="D234" s="7"/>
      <c r="E234" s="7" t="s">
        <v>4</v>
      </c>
      <c r="F234" s="215"/>
      <c r="H234" s="7"/>
      <c r="I234" s="7"/>
      <c r="J234" s="8">
        <f t="shared" ref="J234:AG234" si="432">-J106*J25*J$4*J$216/1000</f>
        <v>0</v>
      </c>
      <c r="K234" s="8">
        <f t="shared" si="432"/>
        <v>0</v>
      </c>
      <c r="L234" s="8">
        <f t="shared" si="432"/>
        <v>0</v>
      </c>
      <c r="M234" s="8">
        <f t="shared" si="432"/>
        <v>0</v>
      </c>
      <c r="N234" s="8">
        <f t="shared" si="432"/>
        <v>0</v>
      </c>
      <c r="O234" s="8">
        <f t="shared" si="432"/>
        <v>0</v>
      </c>
      <c r="P234" s="8">
        <f t="shared" si="432"/>
        <v>0</v>
      </c>
      <c r="Q234" s="8">
        <f t="shared" si="432"/>
        <v>0</v>
      </c>
      <c r="R234" s="8">
        <f t="shared" si="432"/>
        <v>0</v>
      </c>
      <c r="S234" s="8">
        <f t="shared" si="432"/>
        <v>0</v>
      </c>
      <c r="T234" s="8">
        <f t="shared" si="432"/>
        <v>0</v>
      </c>
      <c r="U234" s="8">
        <f t="shared" si="432"/>
        <v>0</v>
      </c>
      <c r="V234" s="8">
        <f t="shared" si="432"/>
        <v>0</v>
      </c>
      <c r="W234" s="8">
        <f t="shared" si="432"/>
        <v>0</v>
      </c>
      <c r="X234" s="8">
        <f t="shared" si="432"/>
        <v>0</v>
      </c>
      <c r="Y234" s="8">
        <f t="shared" si="432"/>
        <v>0</v>
      </c>
      <c r="Z234" s="8">
        <f t="shared" si="432"/>
        <v>0</v>
      </c>
      <c r="AA234" s="8">
        <f t="shared" si="432"/>
        <v>0</v>
      </c>
      <c r="AB234" s="8">
        <f t="shared" si="432"/>
        <v>0</v>
      </c>
      <c r="AC234" s="8">
        <f t="shared" si="432"/>
        <v>0</v>
      </c>
      <c r="AD234" s="8">
        <f t="shared" si="432"/>
        <v>0</v>
      </c>
      <c r="AE234" s="8">
        <f t="shared" si="432"/>
        <v>0</v>
      </c>
      <c r="AF234" s="8">
        <f t="shared" si="432"/>
        <v>0</v>
      </c>
      <c r="AG234" s="8">
        <f t="shared" si="432"/>
        <v>0</v>
      </c>
      <c r="AH234" s="7"/>
      <c r="AI234" s="8">
        <f t="shared" ref="AI234:AJ234" si="433">SUMIF($J$145:$AF$145,AI$145,$J234:$AF234)</f>
        <v>0</v>
      </c>
      <c r="AJ234" s="8">
        <f t="shared" si="433"/>
        <v>0</v>
      </c>
      <c r="AK234" s="8">
        <f t="shared" ref="AK234:AS234" si="434">-AK95*AK24*AK$227/1000</f>
        <v>0</v>
      </c>
      <c r="AL234" s="8">
        <f t="shared" ca="1" si="434"/>
        <v>-53.457212687961444</v>
      </c>
      <c r="AM234" s="8">
        <f t="shared" ca="1" si="434"/>
        <v>-71.801188864867157</v>
      </c>
      <c r="AN234" s="8">
        <f t="shared" ca="1" si="434"/>
        <v>-94.280462986540158</v>
      </c>
      <c r="AO234" s="8">
        <f t="shared" ca="1" si="434"/>
        <v>-101.82290002546335</v>
      </c>
      <c r="AP234" s="8">
        <f t="shared" ca="1" si="434"/>
        <v>-108.9505030272458</v>
      </c>
      <c r="AQ234" s="8">
        <f t="shared" ca="1" si="434"/>
        <v>-116.03228572401676</v>
      </c>
      <c r="AR234" s="8">
        <f t="shared" ca="1" si="434"/>
        <v>-122.99422286745778</v>
      </c>
      <c r="AS234" s="8">
        <f t="shared" ca="1" si="434"/>
        <v>-129.14393401083069</v>
      </c>
      <c r="AT234" s="8">
        <f t="shared" ref="AT234" ca="1" si="435">-AT95*AT24*AT$227/1000</f>
        <v>-135.60113071137221</v>
      </c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</row>
    <row r="235" spans="1:69" ht="13.5" customHeight="1" x14ac:dyDescent="0.3">
      <c r="A235" s="7"/>
      <c r="B235" s="7"/>
      <c r="C235" s="7" t="s">
        <v>380</v>
      </c>
      <c r="D235" s="7"/>
      <c r="E235" s="7" t="s">
        <v>4</v>
      </c>
      <c r="F235" s="215"/>
      <c r="H235" s="7"/>
      <c r="I235" s="7"/>
      <c r="J235" s="8">
        <f t="shared" ref="J235:AG235" si="436">-J106*J26*J$4*J$216/1000</f>
        <v>0</v>
      </c>
      <c r="K235" s="8">
        <f t="shared" si="436"/>
        <v>0</v>
      </c>
      <c r="L235" s="8">
        <f t="shared" si="436"/>
        <v>0</v>
      </c>
      <c r="M235" s="8">
        <f t="shared" si="436"/>
        <v>0</v>
      </c>
      <c r="N235" s="8">
        <f t="shared" si="436"/>
        <v>0</v>
      </c>
      <c r="O235" s="8">
        <f t="shared" si="436"/>
        <v>0</v>
      </c>
      <c r="P235" s="8">
        <f t="shared" si="436"/>
        <v>0</v>
      </c>
      <c r="Q235" s="8">
        <f t="shared" si="436"/>
        <v>0</v>
      </c>
      <c r="R235" s="8">
        <f t="shared" si="436"/>
        <v>0</v>
      </c>
      <c r="S235" s="8">
        <f t="shared" si="436"/>
        <v>0</v>
      </c>
      <c r="T235" s="8">
        <f t="shared" si="436"/>
        <v>0</v>
      </c>
      <c r="U235" s="8">
        <f t="shared" si="436"/>
        <v>0</v>
      </c>
      <c r="V235" s="8">
        <f t="shared" si="436"/>
        <v>0</v>
      </c>
      <c r="W235" s="8">
        <f t="shared" si="436"/>
        <v>0</v>
      </c>
      <c r="X235" s="8">
        <f t="shared" si="436"/>
        <v>0</v>
      </c>
      <c r="Y235" s="8">
        <f t="shared" si="436"/>
        <v>0</v>
      </c>
      <c r="Z235" s="8">
        <f t="shared" si="436"/>
        <v>0</v>
      </c>
      <c r="AA235" s="8">
        <f t="shared" si="436"/>
        <v>0</v>
      </c>
      <c r="AB235" s="8">
        <f t="shared" si="436"/>
        <v>0</v>
      </c>
      <c r="AC235" s="8">
        <f t="shared" si="436"/>
        <v>0</v>
      </c>
      <c r="AD235" s="8">
        <f t="shared" si="436"/>
        <v>0</v>
      </c>
      <c r="AE235" s="8">
        <f t="shared" si="436"/>
        <v>0</v>
      </c>
      <c r="AF235" s="8">
        <f t="shared" si="436"/>
        <v>0</v>
      </c>
      <c r="AG235" s="8">
        <f t="shared" si="436"/>
        <v>0</v>
      </c>
      <c r="AH235" s="7"/>
      <c r="AI235" s="8">
        <f t="shared" ref="AI235:AJ235" si="437">SUMIF($J$145:$AF$145,AI$145,$J235:$AF235)</f>
        <v>0</v>
      </c>
      <c r="AJ235" s="8">
        <f t="shared" si="437"/>
        <v>0</v>
      </c>
      <c r="AK235" s="8">
        <f t="shared" ref="AK235:AS235" si="438">-AK96*AK25*AK$227/1000</f>
        <v>0</v>
      </c>
      <c r="AL235" s="8">
        <f t="shared" ca="1" si="438"/>
        <v>-70.342649629817529</v>
      </c>
      <c r="AM235" s="8">
        <f t="shared" ca="1" si="438"/>
        <v>-94.480905706913504</v>
      </c>
      <c r="AN235" s="8">
        <f t="shared" ca="1" si="438"/>
        <v>-124.06066910953409</v>
      </c>
      <c r="AO235" s="8">
        <f t="shared" ca="1" si="438"/>
        <v>-133.98552263829683</v>
      </c>
      <c r="AP235" s="8">
        <f t="shared" ca="1" si="438"/>
        <v>-143.36450922297763</v>
      </c>
      <c r="AQ235" s="8">
        <f t="shared" ca="1" si="438"/>
        <v>-152.68320232247115</v>
      </c>
      <c r="AR235" s="8">
        <f t="shared" ca="1" si="438"/>
        <v>-161.84419446181946</v>
      </c>
      <c r="AS235" s="8">
        <f t="shared" ca="1" si="438"/>
        <v>-169.9364041849104</v>
      </c>
      <c r="AT235" s="8">
        <f t="shared" ref="AT235" ca="1" si="439">-AT96*AT25*AT$227/1000</f>
        <v>-178.43322439415596</v>
      </c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</row>
    <row r="236" spans="1:69" ht="13.5" customHeight="1" x14ac:dyDescent="0.3">
      <c r="A236" s="7"/>
      <c r="B236" s="7"/>
      <c r="C236" s="5" t="s">
        <v>32</v>
      </c>
      <c r="D236" s="7"/>
      <c r="E236" s="7" t="s">
        <v>4</v>
      </c>
      <c r="F236" s="7"/>
      <c r="H236" s="7"/>
      <c r="I236" s="7"/>
      <c r="J236" s="12">
        <f t="shared" ref="J236:AG236" si="440">SUM(J228:J235)</f>
        <v>0</v>
      </c>
      <c r="K236" s="12">
        <f t="shared" si="440"/>
        <v>0</v>
      </c>
      <c r="L236" s="12">
        <f t="shared" si="440"/>
        <v>0</v>
      </c>
      <c r="M236" s="12">
        <f t="shared" si="440"/>
        <v>0</v>
      </c>
      <c r="N236" s="12">
        <f t="shared" si="440"/>
        <v>0</v>
      </c>
      <c r="O236" s="12">
        <f t="shared" si="440"/>
        <v>0</v>
      </c>
      <c r="P236" s="12">
        <f t="shared" si="440"/>
        <v>0</v>
      </c>
      <c r="Q236" s="12">
        <f t="shared" si="440"/>
        <v>0</v>
      </c>
      <c r="R236" s="12">
        <f t="shared" si="440"/>
        <v>0</v>
      </c>
      <c r="S236" s="12">
        <f t="shared" si="440"/>
        <v>0</v>
      </c>
      <c r="T236" s="12">
        <f t="shared" si="440"/>
        <v>0</v>
      </c>
      <c r="U236" s="12">
        <f t="shared" si="440"/>
        <v>0</v>
      </c>
      <c r="V236" s="12">
        <f t="shared" si="440"/>
        <v>0</v>
      </c>
      <c r="W236" s="12">
        <f t="shared" si="440"/>
        <v>0</v>
      </c>
      <c r="X236" s="12">
        <f t="shared" si="440"/>
        <v>0</v>
      </c>
      <c r="Y236" s="12">
        <f t="shared" si="440"/>
        <v>0</v>
      </c>
      <c r="Z236" s="12">
        <f t="shared" si="440"/>
        <v>0</v>
      </c>
      <c r="AA236" s="12">
        <f t="shared" si="440"/>
        <v>0</v>
      </c>
      <c r="AB236" s="12">
        <f t="shared" si="440"/>
        <v>0</v>
      </c>
      <c r="AC236" s="12">
        <f t="shared" si="440"/>
        <v>0</v>
      </c>
      <c r="AD236" s="12">
        <f t="shared" si="440"/>
        <v>0</v>
      </c>
      <c r="AE236" s="12">
        <f t="shared" si="440"/>
        <v>0</v>
      </c>
      <c r="AF236" s="12">
        <f t="shared" si="440"/>
        <v>0</v>
      </c>
      <c r="AG236" s="12">
        <f t="shared" si="440"/>
        <v>0</v>
      </c>
      <c r="AH236" s="7"/>
      <c r="AI236" s="12">
        <f t="shared" ref="AI236:AJ236" si="441">SUMIF($J$145:$AF$145,AI$145,$J236:$AF236)</f>
        <v>0</v>
      </c>
      <c r="AJ236" s="12">
        <f t="shared" si="441"/>
        <v>0</v>
      </c>
      <c r="AK236" s="12">
        <f t="shared" ref="AK236:AS236" si="442">SUM(AK228:AK235)</f>
        <v>0</v>
      </c>
      <c r="AL236" s="12">
        <f t="shared" ca="1" si="442"/>
        <v>-5628.0990881821872</v>
      </c>
      <c r="AM236" s="12">
        <f t="shared" ca="1" si="442"/>
        <v>-7559.3953605396264</v>
      </c>
      <c r="AN236" s="12">
        <f t="shared" ca="1" si="442"/>
        <v>-9926.0653724176773</v>
      </c>
      <c r="AO236" s="12">
        <f t="shared" ca="1" si="442"/>
        <v>-10720.15060221109</v>
      </c>
      <c r="AP236" s="12">
        <f t="shared" ca="1" si="442"/>
        <v>-11470.561144365869</v>
      </c>
      <c r="AQ236" s="12">
        <f t="shared" ca="1" si="442"/>
        <v>-12216.147618749648</v>
      </c>
      <c r="AR236" s="12">
        <f t="shared" ca="1" si="442"/>
        <v>-12949.116475874625</v>
      </c>
      <c r="AS236" s="12">
        <f t="shared" ca="1" si="442"/>
        <v>-13596.572299668358</v>
      </c>
      <c r="AT236" s="12">
        <f t="shared" ref="AT236" ca="1" si="443">SUM(AT228:AT235)</f>
        <v>-14276.400914651776</v>
      </c>
      <c r="AU236" s="216">
        <f ca="1">AL236/$AL$247</f>
        <v>0.20926634517951126</v>
      </c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</row>
    <row r="237" spans="1:69" ht="13.5" customHeight="1" x14ac:dyDescent="0.3">
      <c r="A237" s="7"/>
      <c r="B237" s="7"/>
      <c r="C237" s="7"/>
      <c r="D237" s="7"/>
      <c r="E237" s="7"/>
      <c r="F237" s="7"/>
      <c r="H237" s="7"/>
      <c r="I237" s="7"/>
      <c r="J237" s="7">
        <v>1</v>
      </c>
      <c r="K237" s="7">
        <v>1</v>
      </c>
      <c r="L237" s="7">
        <v>1</v>
      </c>
      <c r="M237" s="7">
        <v>1</v>
      </c>
      <c r="N237" s="7">
        <v>1</v>
      </c>
      <c r="O237" s="7">
        <v>1</v>
      </c>
      <c r="P237" s="7">
        <v>1</v>
      </c>
      <c r="Q237" s="7">
        <v>1</v>
      </c>
      <c r="R237" s="7">
        <v>1</v>
      </c>
      <c r="S237" s="7">
        <v>1</v>
      </c>
      <c r="T237" s="7">
        <v>1</v>
      </c>
      <c r="U237" s="7">
        <v>1</v>
      </c>
      <c r="V237" s="7">
        <v>1</v>
      </c>
      <c r="W237" s="7">
        <v>1</v>
      </c>
      <c r="X237" s="7">
        <v>1</v>
      </c>
      <c r="Y237" s="7">
        <v>1</v>
      </c>
      <c r="Z237" s="7">
        <v>1</v>
      </c>
      <c r="AA237" s="7">
        <v>1</v>
      </c>
      <c r="AB237" s="7">
        <v>1</v>
      </c>
      <c r="AC237" s="7">
        <v>1</v>
      </c>
      <c r="AD237" s="7">
        <v>1</v>
      </c>
      <c r="AE237" s="7">
        <v>1</v>
      </c>
      <c r="AF237" s="7">
        <v>1</v>
      </c>
      <c r="AG237" s="7">
        <v>1</v>
      </c>
      <c r="AH237" s="7"/>
      <c r="AI237" s="7"/>
      <c r="AJ237" s="7"/>
      <c r="AK237" s="7">
        <v>12</v>
      </c>
      <c r="AL237" s="7">
        <v>12</v>
      </c>
      <c r="AM237" s="7">
        <v>12</v>
      </c>
      <c r="AN237" s="7">
        <v>12</v>
      </c>
      <c r="AO237" s="7">
        <v>12</v>
      </c>
      <c r="AP237" s="7">
        <v>12</v>
      </c>
      <c r="AQ237" s="7">
        <v>12</v>
      </c>
      <c r="AR237" s="7">
        <v>12</v>
      </c>
      <c r="AS237" s="7">
        <v>12</v>
      </c>
      <c r="AT237" s="7">
        <v>12</v>
      </c>
      <c r="AU237" s="68">
        <f>AVERAGE(AK237:AR237)</f>
        <v>12</v>
      </c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</row>
    <row r="238" spans="1:69" ht="13.5" customHeight="1" x14ac:dyDescent="0.3">
      <c r="A238" s="7"/>
      <c r="B238" s="5" t="s">
        <v>57</v>
      </c>
      <c r="C238" s="7"/>
      <c r="D238" s="7"/>
      <c r="E238" s="5" t="s">
        <v>40</v>
      </c>
      <c r="F238" s="7"/>
      <c r="H238" s="7"/>
      <c r="I238" s="7"/>
      <c r="J238" s="12">
        <f t="shared" ref="J238:AG238" si="444">J169</f>
        <v>14</v>
      </c>
      <c r="K238" s="12">
        <f t="shared" si="444"/>
        <v>14</v>
      </c>
      <c r="L238" s="12">
        <f t="shared" si="444"/>
        <v>14</v>
      </c>
      <c r="M238" s="12">
        <f t="shared" si="444"/>
        <v>14</v>
      </c>
      <c r="N238" s="12">
        <f t="shared" si="444"/>
        <v>14</v>
      </c>
      <c r="O238" s="12">
        <f t="shared" si="444"/>
        <v>14</v>
      </c>
      <c r="P238" s="12">
        <f t="shared" si="444"/>
        <v>14</v>
      </c>
      <c r="Q238" s="12">
        <f t="shared" si="444"/>
        <v>14</v>
      </c>
      <c r="R238" s="12">
        <f t="shared" si="444"/>
        <v>14</v>
      </c>
      <c r="S238" s="12">
        <f t="shared" si="444"/>
        <v>14</v>
      </c>
      <c r="T238" s="12">
        <f t="shared" si="444"/>
        <v>14</v>
      </c>
      <c r="U238" s="12">
        <f t="shared" si="444"/>
        <v>14</v>
      </c>
      <c r="V238" s="12">
        <f t="shared" si="444"/>
        <v>14</v>
      </c>
      <c r="W238" s="12">
        <f t="shared" si="444"/>
        <v>14</v>
      </c>
      <c r="X238" s="12">
        <f t="shared" si="444"/>
        <v>14</v>
      </c>
      <c r="Y238" s="12">
        <f t="shared" si="444"/>
        <v>14</v>
      </c>
      <c r="Z238" s="12">
        <f t="shared" si="444"/>
        <v>14</v>
      </c>
      <c r="AA238" s="12">
        <f t="shared" si="444"/>
        <v>13.965</v>
      </c>
      <c r="AB238" s="12">
        <f t="shared" si="444"/>
        <v>13.930087499999999</v>
      </c>
      <c r="AC238" s="12">
        <f t="shared" si="444"/>
        <v>13.895262281249998</v>
      </c>
      <c r="AD238" s="12">
        <f t="shared" si="444"/>
        <v>13.860524125546874</v>
      </c>
      <c r="AE238" s="12">
        <f t="shared" si="444"/>
        <v>13.825872815233007</v>
      </c>
      <c r="AF238" s="12">
        <f t="shared" si="444"/>
        <v>13.791308133194924</v>
      </c>
      <c r="AG238" s="12">
        <f t="shared" si="444"/>
        <v>13.756829862861936</v>
      </c>
      <c r="AH238" s="7"/>
      <c r="AI238" s="12">
        <f t="shared" ref="AI238:AS238" si="445">AI169</f>
        <v>14</v>
      </c>
      <c r="AJ238" s="12">
        <f t="shared" si="445"/>
        <v>14</v>
      </c>
      <c r="AK238" s="12">
        <f t="shared" si="445"/>
        <v>10.883585888281942</v>
      </c>
      <c r="AL238" s="12">
        <f t="shared" ca="1" si="445"/>
        <v>13.411298710835423</v>
      </c>
      <c r="AM238" s="12">
        <f t="shared" ca="1" si="445"/>
        <v>16.526072836426952</v>
      </c>
      <c r="AN238" s="12">
        <f t="shared" ca="1" si="445"/>
        <v>20.000000000000007</v>
      </c>
      <c r="AO238" s="12">
        <f t="shared" ca="1" si="445"/>
        <v>20.000000000000007</v>
      </c>
      <c r="AP238" s="12">
        <f t="shared" ca="1" si="445"/>
        <v>20.000000000000007</v>
      </c>
      <c r="AQ238" s="12">
        <f t="shared" ca="1" si="445"/>
        <v>20.000000000000007</v>
      </c>
      <c r="AR238" s="12">
        <f t="shared" ca="1" si="445"/>
        <v>20.000000000000007</v>
      </c>
      <c r="AS238" s="12">
        <f t="shared" ca="1" si="445"/>
        <v>20.000000000000007</v>
      </c>
      <c r="AT238" s="12">
        <f t="shared" ref="AT238" ca="1" si="446">AT169</f>
        <v>20.000000000000007</v>
      </c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</row>
    <row r="239" spans="1:69" ht="13.5" customHeight="1" x14ac:dyDescent="0.3">
      <c r="A239" s="7"/>
      <c r="B239" s="7"/>
      <c r="C239" s="7" t="s">
        <v>373</v>
      </c>
      <c r="D239" s="7"/>
      <c r="E239" s="7" t="s">
        <v>4</v>
      </c>
      <c r="F239" s="215"/>
      <c r="H239" s="7"/>
      <c r="I239" s="7"/>
      <c r="J239" s="8">
        <f t="shared" ref="J239:AG239" si="447">-J88*J28*J$4*J$238/1000</f>
        <v>0</v>
      </c>
      <c r="K239" s="8">
        <f t="shared" si="447"/>
        <v>0</v>
      </c>
      <c r="L239" s="8">
        <f t="shared" si="447"/>
        <v>0</v>
      </c>
      <c r="M239" s="8">
        <f t="shared" si="447"/>
        <v>0</v>
      </c>
      <c r="N239" s="8">
        <f t="shared" si="447"/>
        <v>0</v>
      </c>
      <c r="O239" s="8">
        <f t="shared" si="447"/>
        <v>0</v>
      </c>
      <c r="P239" s="8">
        <f t="shared" si="447"/>
        <v>0</v>
      </c>
      <c r="Q239" s="8">
        <f t="shared" si="447"/>
        <v>0</v>
      </c>
      <c r="R239" s="8">
        <f t="shared" si="447"/>
        <v>0</v>
      </c>
      <c r="S239" s="8">
        <f t="shared" si="447"/>
        <v>0</v>
      </c>
      <c r="T239" s="8">
        <f t="shared" si="447"/>
        <v>0</v>
      </c>
      <c r="U239" s="8">
        <f t="shared" si="447"/>
        <v>0</v>
      </c>
      <c r="V239" s="8">
        <f t="shared" si="447"/>
        <v>0</v>
      </c>
      <c r="W239" s="8">
        <f t="shared" si="447"/>
        <v>0</v>
      </c>
      <c r="X239" s="8">
        <f t="shared" si="447"/>
        <v>0</v>
      </c>
      <c r="Y239" s="8">
        <f t="shared" si="447"/>
        <v>0</v>
      </c>
      <c r="Z239" s="8">
        <f t="shared" si="447"/>
        <v>0</v>
      </c>
      <c r="AA239" s="8">
        <f t="shared" si="447"/>
        <v>0</v>
      </c>
      <c r="AB239" s="8">
        <f t="shared" si="447"/>
        <v>0</v>
      </c>
      <c r="AC239" s="8">
        <f t="shared" si="447"/>
        <v>0</v>
      </c>
      <c r="AD239" s="8">
        <f t="shared" si="447"/>
        <v>0</v>
      </c>
      <c r="AE239" s="8">
        <f t="shared" si="447"/>
        <v>0</v>
      </c>
      <c r="AF239" s="8">
        <f t="shared" si="447"/>
        <v>0</v>
      </c>
      <c r="AG239" s="8">
        <f t="shared" si="447"/>
        <v>0</v>
      </c>
      <c r="AH239" s="7"/>
      <c r="AI239" s="8">
        <f t="shared" ref="AI239:AJ239" si="448">SUMIF($J$145:$AF$145,AI$145,$J239:$AF239)</f>
        <v>0</v>
      </c>
      <c r="AJ239" s="8">
        <f t="shared" si="448"/>
        <v>0</v>
      </c>
      <c r="AK239" s="8">
        <f t="shared" ref="AK239:AS239" si="449">-AK88*AK28*AK$238/1000</f>
        <v>0</v>
      </c>
      <c r="AL239" s="8">
        <f t="shared" ca="1" si="449"/>
        <v>0</v>
      </c>
      <c r="AM239" s="8">
        <f t="shared" ca="1" si="449"/>
        <v>0</v>
      </c>
      <c r="AN239" s="8">
        <f t="shared" ca="1" si="449"/>
        <v>0</v>
      </c>
      <c r="AO239" s="8">
        <f t="shared" ca="1" si="449"/>
        <v>0</v>
      </c>
      <c r="AP239" s="8">
        <f t="shared" ca="1" si="449"/>
        <v>0</v>
      </c>
      <c r="AQ239" s="8">
        <f t="shared" ca="1" si="449"/>
        <v>0</v>
      </c>
      <c r="AR239" s="8">
        <f t="shared" ca="1" si="449"/>
        <v>0</v>
      </c>
      <c r="AS239" s="8">
        <f t="shared" ca="1" si="449"/>
        <v>0</v>
      </c>
      <c r="AT239" s="8">
        <f t="shared" ref="AT239" ca="1" si="450">-AT88*AT28*AT$238/1000</f>
        <v>0</v>
      </c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</row>
    <row r="240" spans="1:69" ht="13.5" customHeight="1" x14ac:dyDescent="0.3">
      <c r="A240" s="7"/>
      <c r="B240" s="7"/>
      <c r="C240" s="7" t="s">
        <v>376</v>
      </c>
      <c r="D240" s="7"/>
      <c r="E240" s="7" t="s">
        <v>4</v>
      </c>
      <c r="F240" s="215"/>
      <c r="H240" s="7"/>
      <c r="I240" s="7"/>
      <c r="J240" s="8">
        <f t="shared" ref="J240:AG240" si="451">-J91*J29*J$4*J$238/1000</f>
        <v>0</v>
      </c>
      <c r="K240" s="8">
        <f t="shared" si="451"/>
        <v>0</v>
      </c>
      <c r="L240" s="8">
        <f t="shared" si="451"/>
        <v>0</v>
      </c>
      <c r="M240" s="8">
        <f t="shared" si="451"/>
        <v>-94.08</v>
      </c>
      <c r="N240" s="8">
        <f t="shared" si="451"/>
        <v>-97.215999999999994</v>
      </c>
      <c r="O240" s="8">
        <f t="shared" si="451"/>
        <v>-107.42367999999999</v>
      </c>
      <c r="P240" s="8">
        <f t="shared" si="451"/>
        <v>-97.027839999999998</v>
      </c>
      <c r="Q240" s="8">
        <f t="shared" si="451"/>
        <v>-107.42367999999999</v>
      </c>
      <c r="R240" s="8">
        <f t="shared" si="451"/>
        <v>-103.9584</v>
      </c>
      <c r="S240" s="8">
        <f t="shared" si="451"/>
        <v>0</v>
      </c>
      <c r="T240" s="8">
        <f t="shared" si="451"/>
        <v>0</v>
      </c>
      <c r="U240" s="8">
        <f t="shared" si="451"/>
        <v>0</v>
      </c>
      <c r="V240" s="8">
        <f t="shared" si="451"/>
        <v>0</v>
      </c>
      <c r="W240" s="8">
        <f t="shared" si="451"/>
        <v>0</v>
      </c>
      <c r="X240" s="8">
        <f t="shared" si="451"/>
        <v>0</v>
      </c>
      <c r="Y240" s="8">
        <f t="shared" si="451"/>
        <v>-103.9584</v>
      </c>
      <c r="Z240" s="8">
        <f t="shared" si="451"/>
        <v>-107.42367999999999</v>
      </c>
      <c r="AA240" s="8">
        <f t="shared" si="451"/>
        <v>-117.87063287999999</v>
      </c>
      <c r="AB240" s="8">
        <f t="shared" si="451"/>
        <v>-109.9904107302</v>
      </c>
      <c r="AC240" s="8">
        <f t="shared" si="451"/>
        <v>-117.28201640705548</v>
      </c>
      <c r="AD240" s="8">
        <f t="shared" si="451"/>
        <v>-113.21497874132695</v>
      </c>
      <c r="AE240" s="8">
        <f t="shared" si="451"/>
        <v>0</v>
      </c>
      <c r="AF240" s="8">
        <f t="shared" si="451"/>
        <v>0</v>
      </c>
      <c r="AG240" s="8">
        <f t="shared" si="451"/>
        <v>0</v>
      </c>
      <c r="AH240" s="7"/>
      <c r="AI240" s="8">
        <f t="shared" ref="AI240:AJ240" si="452">SUMIF($J$145:$AF$145,AI$145,$J240:$AF240)</f>
        <v>-191.29599999999999</v>
      </c>
      <c r="AJ240" s="8">
        <f t="shared" si="452"/>
        <v>-627.21567999999991</v>
      </c>
      <c r="AK240" s="8">
        <f t="shared" ref="AK240:AS240" si="453">-AK91*AK29*AK$238/1000</f>
        <v>-536.35652115234848</v>
      </c>
      <c r="AL240" s="8">
        <f t="shared" ca="1" si="453"/>
        <v>-723.71322889302962</v>
      </c>
      <c r="AM240" s="8">
        <f t="shared" ca="1" si="453"/>
        <v>-972.05723267074507</v>
      </c>
      <c r="AN240" s="8">
        <f t="shared" ca="1" si="453"/>
        <v>-1276.3856336431204</v>
      </c>
      <c r="AO240" s="8">
        <f t="shared" ca="1" si="453"/>
        <v>-1378.4964843345701</v>
      </c>
      <c r="AP240" s="8">
        <f t="shared" ca="1" si="453"/>
        <v>-1474.99123823799</v>
      </c>
      <c r="AQ240" s="8">
        <f t="shared" ca="1" si="453"/>
        <v>-1570.8656687234595</v>
      </c>
      <c r="AR240" s="8">
        <f t="shared" ca="1" si="453"/>
        <v>-1665.1176088468669</v>
      </c>
      <c r="AS240" s="8">
        <f t="shared" ca="1" si="453"/>
        <v>-1748.3734892892105</v>
      </c>
      <c r="AT240" s="8">
        <f t="shared" ref="AT240" ca="1" si="454">-AT91*AT29*AT$238/1000</f>
        <v>-1835.792163753671</v>
      </c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</row>
    <row r="241" spans="1:69" ht="13.5" customHeight="1" x14ac:dyDescent="0.3">
      <c r="A241" s="7"/>
      <c r="B241" s="7"/>
      <c r="C241" s="7" t="s">
        <v>378</v>
      </c>
      <c r="D241" s="7"/>
      <c r="E241" s="7" t="s">
        <v>4</v>
      </c>
      <c r="F241" s="215"/>
      <c r="H241" s="7"/>
      <c r="I241" s="7"/>
      <c r="J241" s="8">
        <f t="shared" ref="J241:AG241" si="455">-J93*J30*J$4*J$238/1000</f>
        <v>0</v>
      </c>
      <c r="K241" s="8">
        <f t="shared" si="455"/>
        <v>0</v>
      </c>
      <c r="L241" s="8">
        <f t="shared" si="455"/>
        <v>0</v>
      </c>
      <c r="M241" s="8">
        <f t="shared" si="455"/>
        <v>-50.4</v>
      </c>
      <c r="N241" s="8">
        <f t="shared" si="455"/>
        <v>-52.08</v>
      </c>
      <c r="O241" s="8">
        <f t="shared" si="455"/>
        <v>-57.548399999999994</v>
      </c>
      <c r="P241" s="8">
        <f t="shared" si="455"/>
        <v>-51.979199999999999</v>
      </c>
      <c r="Q241" s="8">
        <f t="shared" si="455"/>
        <v>-57.548399999999994</v>
      </c>
      <c r="R241" s="8">
        <f t="shared" si="455"/>
        <v>-55.692</v>
      </c>
      <c r="S241" s="8">
        <f t="shared" si="455"/>
        <v>0</v>
      </c>
      <c r="T241" s="8">
        <f t="shared" si="455"/>
        <v>0</v>
      </c>
      <c r="U241" s="8">
        <f t="shared" si="455"/>
        <v>0</v>
      </c>
      <c r="V241" s="8">
        <f t="shared" si="455"/>
        <v>0</v>
      </c>
      <c r="W241" s="8">
        <f t="shared" si="455"/>
        <v>0</v>
      </c>
      <c r="X241" s="8">
        <f t="shared" si="455"/>
        <v>0</v>
      </c>
      <c r="Y241" s="8">
        <f t="shared" si="455"/>
        <v>-55.692</v>
      </c>
      <c r="Z241" s="8">
        <f t="shared" si="455"/>
        <v>-57.548399999999994</v>
      </c>
      <c r="AA241" s="8">
        <f t="shared" si="455"/>
        <v>-63.144981900000012</v>
      </c>
      <c r="AB241" s="8">
        <f t="shared" si="455"/>
        <v>-58.923434319750008</v>
      </c>
      <c r="AC241" s="8">
        <f t="shared" si="455"/>
        <v>-62.829651646636876</v>
      </c>
      <c r="AD241" s="8">
        <f t="shared" si="455"/>
        <v>-60.650881468568009</v>
      </c>
      <c r="AE241" s="8">
        <f t="shared" si="455"/>
        <v>0</v>
      </c>
      <c r="AF241" s="8">
        <f t="shared" si="455"/>
        <v>0</v>
      </c>
      <c r="AG241" s="8">
        <f t="shared" si="455"/>
        <v>0</v>
      </c>
      <c r="AH241" s="7"/>
      <c r="AI241" s="8">
        <f t="shared" ref="AI241:AJ241" si="456">SUMIF($J$145:$AF$145,AI$145,$J241:$AF241)</f>
        <v>-102.47999999999999</v>
      </c>
      <c r="AJ241" s="8">
        <f t="shared" si="456"/>
        <v>-336.00839999999999</v>
      </c>
      <c r="AK241" s="8">
        <f t="shared" ref="AK241:AS241" si="457">-AK93*AK30*AK$238/1000</f>
        <v>-287.33385061732957</v>
      </c>
      <c r="AL241" s="8">
        <f t="shared" ca="1" si="457"/>
        <v>-387.7035154784088</v>
      </c>
      <c r="AM241" s="8">
        <f t="shared" ca="1" si="457"/>
        <v>-520.74494607361351</v>
      </c>
      <c r="AN241" s="8">
        <f t="shared" ca="1" si="457"/>
        <v>-683.77801802310023</v>
      </c>
      <c r="AO241" s="8">
        <f t="shared" ca="1" si="457"/>
        <v>-738.48025946494829</v>
      </c>
      <c r="AP241" s="8">
        <f t="shared" ca="1" si="457"/>
        <v>-790.17387762749479</v>
      </c>
      <c r="AQ241" s="8">
        <f t="shared" ca="1" si="457"/>
        <v>-841.53517967328185</v>
      </c>
      <c r="AR241" s="8">
        <f t="shared" ca="1" si="457"/>
        <v>-892.02729045367892</v>
      </c>
      <c r="AS241" s="8">
        <f t="shared" ca="1" si="457"/>
        <v>-936.6286549763629</v>
      </c>
      <c r="AT241" s="8">
        <f t="shared" ref="AT241" ca="1" si="458">-AT93*AT30*AT$238/1000</f>
        <v>-983.46008772518098</v>
      </c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</row>
    <row r="242" spans="1:69" ht="13.5" customHeight="1" x14ac:dyDescent="0.3">
      <c r="A242" s="7"/>
      <c r="B242" s="7"/>
      <c r="C242" s="7" t="s">
        <v>374</v>
      </c>
      <c r="D242" s="7"/>
      <c r="E242" s="7" t="s">
        <v>4</v>
      </c>
      <c r="F242" s="215"/>
      <c r="H242" s="7"/>
      <c r="I242" s="7"/>
      <c r="J242" s="8">
        <f t="shared" ref="J242:AG242" si="459">-J89*J31*J$4*J$238/1000</f>
        <v>0</v>
      </c>
      <c r="K242" s="8">
        <f t="shared" si="459"/>
        <v>0</v>
      </c>
      <c r="L242" s="8">
        <f t="shared" si="459"/>
        <v>0</v>
      </c>
      <c r="M242" s="8">
        <f t="shared" si="459"/>
        <v>-93.408000000000015</v>
      </c>
      <c r="N242" s="8">
        <f t="shared" si="459"/>
        <v>-96.521600000000021</v>
      </c>
      <c r="O242" s="8">
        <f t="shared" si="459"/>
        <v>-106.65636800000001</v>
      </c>
      <c r="P242" s="8">
        <f t="shared" si="459"/>
        <v>-96.334784000000013</v>
      </c>
      <c r="Q242" s="8">
        <f t="shared" si="459"/>
        <v>-106.65636800000001</v>
      </c>
      <c r="R242" s="8">
        <f t="shared" si="459"/>
        <v>-103.21584000000003</v>
      </c>
      <c r="S242" s="8">
        <f t="shared" si="459"/>
        <v>0</v>
      </c>
      <c r="T242" s="8">
        <f t="shared" si="459"/>
        <v>0</v>
      </c>
      <c r="U242" s="8">
        <f t="shared" si="459"/>
        <v>0</v>
      </c>
      <c r="V242" s="8">
        <f t="shared" si="459"/>
        <v>0</v>
      </c>
      <c r="W242" s="8">
        <f t="shared" si="459"/>
        <v>0</v>
      </c>
      <c r="X242" s="8">
        <f t="shared" si="459"/>
        <v>0</v>
      </c>
      <c r="Y242" s="8">
        <f t="shared" si="459"/>
        <v>-103.21584000000003</v>
      </c>
      <c r="Z242" s="8">
        <f t="shared" si="459"/>
        <v>-106.65636800000001</v>
      </c>
      <c r="AA242" s="8">
        <f t="shared" si="459"/>
        <v>-117.02869978800003</v>
      </c>
      <c r="AB242" s="8">
        <f t="shared" si="459"/>
        <v>-109.20476493927002</v>
      </c>
      <c r="AC242" s="8">
        <f t="shared" si="459"/>
        <v>-116.4442877184337</v>
      </c>
      <c r="AD242" s="8">
        <f t="shared" si="459"/>
        <v>-112.40630032174606</v>
      </c>
      <c r="AE242" s="8">
        <f t="shared" si="459"/>
        <v>0</v>
      </c>
      <c r="AF242" s="8">
        <f t="shared" si="459"/>
        <v>0</v>
      </c>
      <c r="AG242" s="8">
        <f t="shared" si="459"/>
        <v>0</v>
      </c>
      <c r="AH242" s="7"/>
      <c r="AI242" s="8">
        <f t="shared" ref="AI242:AJ242" si="460">SUMIF($J$145:$AF$145,AI$145,$J242:$AF242)</f>
        <v>-189.92960000000005</v>
      </c>
      <c r="AJ242" s="8">
        <f t="shared" si="460"/>
        <v>-622.73556800000017</v>
      </c>
      <c r="AK242" s="8">
        <f t="shared" ref="AK242:AS242" si="461">-AK89*AK31*AK$238/1000</f>
        <v>-532.52540314411749</v>
      </c>
      <c r="AL242" s="8">
        <f t="shared" ca="1" si="461"/>
        <v>-718.5438486866509</v>
      </c>
      <c r="AM242" s="8">
        <f t="shared" ca="1" si="461"/>
        <v>-965.11396672309706</v>
      </c>
      <c r="AN242" s="8">
        <f t="shared" ca="1" si="461"/>
        <v>-1267.2685934028125</v>
      </c>
      <c r="AO242" s="8">
        <f t="shared" ca="1" si="461"/>
        <v>-1368.6500808750375</v>
      </c>
      <c r="AP242" s="8">
        <f t="shared" ca="1" si="461"/>
        <v>-1464.45558653629</v>
      </c>
      <c r="AQ242" s="8">
        <f t="shared" ca="1" si="461"/>
        <v>-1559.645199661149</v>
      </c>
      <c r="AR242" s="8">
        <f t="shared" ca="1" si="461"/>
        <v>-1653.2239116408177</v>
      </c>
      <c r="AS242" s="8">
        <f t="shared" ca="1" si="461"/>
        <v>-1735.8851072228586</v>
      </c>
      <c r="AT242" s="8">
        <f t="shared" ref="AT242" ca="1" si="462">-AT89*AT31*AT$238/1000</f>
        <v>-1822.6793625840016</v>
      </c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</row>
    <row r="243" spans="1:69" ht="13.5" customHeight="1" x14ac:dyDescent="0.3">
      <c r="A243" s="7"/>
      <c r="B243" s="7"/>
      <c r="C243" s="7" t="s">
        <v>382</v>
      </c>
      <c r="D243" s="7"/>
      <c r="E243" s="7" t="s">
        <v>4</v>
      </c>
      <c r="F243" s="215"/>
      <c r="H243" s="7"/>
      <c r="I243" s="7"/>
      <c r="J243" s="8">
        <f t="shared" ref="J243:AG243" si="463">-J97*J32*J$4*J$238/1000</f>
        <v>0</v>
      </c>
      <c r="K243" s="8">
        <f t="shared" si="463"/>
        <v>0</v>
      </c>
      <c r="L243" s="8">
        <f t="shared" si="463"/>
        <v>0</v>
      </c>
      <c r="M243" s="8">
        <f t="shared" si="463"/>
        <v>-43.847999999999992</v>
      </c>
      <c r="N243" s="8">
        <f t="shared" si="463"/>
        <v>-45.309599999999989</v>
      </c>
      <c r="O243" s="8">
        <f t="shared" si="463"/>
        <v>-50.06710799999999</v>
      </c>
      <c r="P243" s="8">
        <f t="shared" si="463"/>
        <v>-45.221904000000002</v>
      </c>
      <c r="Q243" s="8">
        <f t="shared" si="463"/>
        <v>-50.06710799999999</v>
      </c>
      <c r="R243" s="8">
        <f t="shared" si="463"/>
        <v>-48.452039999999997</v>
      </c>
      <c r="S243" s="8">
        <f t="shared" si="463"/>
        <v>0</v>
      </c>
      <c r="T243" s="8">
        <f t="shared" si="463"/>
        <v>0</v>
      </c>
      <c r="U243" s="8">
        <f t="shared" si="463"/>
        <v>0</v>
      </c>
      <c r="V243" s="8">
        <f t="shared" si="463"/>
        <v>0</v>
      </c>
      <c r="W243" s="8">
        <f t="shared" si="463"/>
        <v>0</v>
      </c>
      <c r="X243" s="8">
        <f t="shared" si="463"/>
        <v>0</v>
      </c>
      <c r="Y243" s="8">
        <f t="shared" si="463"/>
        <v>-48.452039999999997</v>
      </c>
      <c r="Z243" s="8">
        <f t="shared" si="463"/>
        <v>-50.06710799999999</v>
      </c>
      <c r="AA243" s="8">
        <f t="shared" si="463"/>
        <v>-54.936134252999999</v>
      </c>
      <c r="AB243" s="8">
        <f t="shared" si="463"/>
        <v>-51.263387858182497</v>
      </c>
      <c r="AC243" s="8">
        <f t="shared" si="463"/>
        <v>-54.66179693257407</v>
      </c>
      <c r="AD243" s="8">
        <f t="shared" si="463"/>
        <v>-52.766266877654168</v>
      </c>
      <c r="AE243" s="8">
        <f t="shared" si="463"/>
        <v>0</v>
      </c>
      <c r="AF243" s="8">
        <f t="shared" si="463"/>
        <v>0</v>
      </c>
      <c r="AG243" s="8">
        <f t="shared" si="463"/>
        <v>0</v>
      </c>
      <c r="AH243" s="7"/>
      <c r="AI243" s="8">
        <f t="shared" ref="AI243:AJ243" si="464">SUMIF($J$145:$AF$145,AI$145,$J243:$AF243)</f>
        <v>-89.157599999999974</v>
      </c>
      <c r="AJ243" s="8">
        <f t="shared" si="464"/>
        <v>-292.32730800000002</v>
      </c>
      <c r="AK243" s="8">
        <f t="shared" ref="AK243:AS243" si="465">-AK97*AK32*AK$238/1000</f>
        <v>-249.98045003707668</v>
      </c>
      <c r="AL243" s="8">
        <f t="shared" ca="1" si="465"/>
        <v>-337.30205846621556</v>
      </c>
      <c r="AM243" s="8">
        <f t="shared" ca="1" si="465"/>
        <v>-453.0481030840437</v>
      </c>
      <c r="AN243" s="8">
        <f t="shared" ca="1" si="465"/>
        <v>-594.88687568009732</v>
      </c>
      <c r="AO243" s="8">
        <f t="shared" ca="1" si="465"/>
        <v>-642.47782573450513</v>
      </c>
      <c r="AP243" s="8">
        <f t="shared" ca="1" si="465"/>
        <v>-687.45127353592045</v>
      </c>
      <c r="AQ243" s="8">
        <f t="shared" ca="1" si="465"/>
        <v>-732.13560631575501</v>
      </c>
      <c r="AR243" s="8">
        <f t="shared" ca="1" si="465"/>
        <v>-776.06374269470064</v>
      </c>
      <c r="AS243" s="8">
        <f t="shared" ca="1" si="465"/>
        <v>-814.86692982943566</v>
      </c>
      <c r="AT243" s="8">
        <f t="shared" ref="AT243" ca="1" si="466">-AT97*AT32*AT$238/1000</f>
        <v>-855.61027632090736</v>
      </c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</row>
    <row r="244" spans="1:69" ht="13.5" customHeight="1" x14ac:dyDescent="0.3">
      <c r="A244" s="7"/>
      <c r="B244" s="7"/>
      <c r="C244" s="7" t="s">
        <v>375</v>
      </c>
      <c r="D244" s="7"/>
      <c r="E244" s="7" t="s">
        <v>4</v>
      </c>
      <c r="F244" s="215"/>
      <c r="H244" s="7"/>
      <c r="I244" s="7"/>
      <c r="J244" s="8">
        <f t="shared" ref="J244:AG244" si="467">-J90*J33*J$4*J$238/1000</f>
        <v>-3.0449999999999999</v>
      </c>
      <c r="K244" s="8">
        <f t="shared" si="467"/>
        <v>-3.0449999999999999</v>
      </c>
      <c r="L244" s="8">
        <f t="shared" si="467"/>
        <v>-3.1465000000000001</v>
      </c>
      <c r="M244" s="8">
        <f t="shared" si="467"/>
        <v>-2.7404999999999995</v>
      </c>
      <c r="N244" s="8">
        <f t="shared" si="467"/>
        <v>-2.8318499999999993</v>
      </c>
      <c r="O244" s="8">
        <f t="shared" si="467"/>
        <v>-3.1291942499999994</v>
      </c>
      <c r="P244" s="8">
        <f t="shared" si="467"/>
        <v>-2.8263690000000001</v>
      </c>
      <c r="Q244" s="8">
        <f t="shared" si="467"/>
        <v>-3.1291942499999994</v>
      </c>
      <c r="R244" s="8">
        <f t="shared" si="467"/>
        <v>-3.0282524999999998</v>
      </c>
      <c r="S244" s="8">
        <f t="shared" si="467"/>
        <v>-3.4768825000000003</v>
      </c>
      <c r="T244" s="8">
        <f t="shared" si="467"/>
        <v>-3.364725</v>
      </c>
      <c r="U244" s="8">
        <f t="shared" si="467"/>
        <v>-3.4768825000000003</v>
      </c>
      <c r="V244" s="8">
        <f t="shared" si="467"/>
        <v>-3.4768825000000003</v>
      </c>
      <c r="W244" s="8">
        <f t="shared" si="467"/>
        <v>-3.364725</v>
      </c>
      <c r="X244" s="8">
        <f t="shared" si="467"/>
        <v>-3.4768825000000003</v>
      </c>
      <c r="Y244" s="8">
        <f t="shared" si="467"/>
        <v>-3.0282524999999998</v>
      </c>
      <c r="Z244" s="8">
        <f t="shared" si="467"/>
        <v>-3.1291942499999994</v>
      </c>
      <c r="AA244" s="8">
        <f t="shared" si="467"/>
        <v>-3.4335083908124999</v>
      </c>
      <c r="AB244" s="8">
        <f t="shared" si="467"/>
        <v>-3.2039617411364061</v>
      </c>
      <c r="AC244" s="8">
        <f t="shared" si="467"/>
        <v>-3.4163623082858794</v>
      </c>
      <c r="AD244" s="8">
        <f t="shared" si="467"/>
        <v>-3.2978916798533855</v>
      </c>
      <c r="AE244" s="8">
        <f t="shared" si="467"/>
        <v>-3.777002054454309</v>
      </c>
      <c r="AF244" s="8">
        <f t="shared" si="467"/>
        <v>-3.6460253703079091</v>
      </c>
      <c r="AG244" s="8">
        <f t="shared" si="467"/>
        <v>-3.7581406504448776</v>
      </c>
      <c r="AH244" s="7"/>
      <c r="AI244" s="8">
        <f t="shared" ref="AI244:AJ244" si="468">SUMIF($J$145:$AF$145,AI$145,$J244:$AF244)</f>
        <v>-14.808849999999998</v>
      </c>
      <c r="AJ244" s="8">
        <f t="shared" si="468"/>
        <v>-38.907436750000002</v>
      </c>
      <c r="AK244" s="8">
        <f t="shared" ref="AK244:AS244" si="469">-AK90*AK33*AK$238/1000</f>
        <v>-33.271262322691037</v>
      </c>
      <c r="AL244" s="8">
        <f t="shared" ca="1" si="469"/>
        <v>-44.893371731863951</v>
      </c>
      <c r="AM244" s="8">
        <f t="shared" ca="1" si="469"/>
        <v>-60.298644475082412</v>
      </c>
      <c r="AN244" s="8">
        <f t="shared" ca="1" si="469"/>
        <v>-79.176740781701099</v>
      </c>
      <c r="AO244" s="8">
        <f t="shared" ca="1" si="469"/>
        <v>-85.510880044237197</v>
      </c>
      <c r="AP244" s="8">
        <f t="shared" ca="1" si="469"/>
        <v>-91.496641647333817</v>
      </c>
      <c r="AQ244" s="8">
        <f t="shared" ca="1" si="469"/>
        <v>-97.443923354410487</v>
      </c>
      <c r="AR244" s="8">
        <f t="shared" ca="1" si="469"/>
        <v>-103.29055875567514</v>
      </c>
      <c r="AS244" s="8">
        <f t="shared" ca="1" si="469"/>
        <v>-108.45508669345891</v>
      </c>
      <c r="AT244" s="8">
        <f t="shared" ref="AT244" ca="1" si="470">-AT90*AT33*AT$238/1000</f>
        <v>-113.87784102813185</v>
      </c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</row>
    <row r="245" spans="1:69" ht="13.5" customHeight="1" x14ac:dyDescent="0.3">
      <c r="A245" s="7"/>
      <c r="B245" s="7"/>
      <c r="C245" s="217" t="s">
        <v>32</v>
      </c>
      <c r="D245" s="7"/>
      <c r="E245" s="7" t="s">
        <v>4</v>
      </c>
      <c r="F245" s="7"/>
      <c r="H245" s="7"/>
      <c r="I245" s="7"/>
      <c r="J245" s="12">
        <f t="shared" ref="J245:AG245" si="471">SUM(J239:J244)</f>
        <v>-3.0449999999999999</v>
      </c>
      <c r="K245" s="12">
        <f t="shared" si="471"/>
        <v>-3.0449999999999999</v>
      </c>
      <c r="L245" s="12">
        <f t="shared" si="471"/>
        <v>-3.1465000000000001</v>
      </c>
      <c r="M245" s="12">
        <f t="shared" si="471"/>
        <v>-284.47649999999999</v>
      </c>
      <c r="N245" s="12">
        <f t="shared" si="471"/>
        <v>-293.95904999999999</v>
      </c>
      <c r="O245" s="12">
        <f t="shared" si="471"/>
        <v>-324.82475025000002</v>
      </c>
      <c r="P245" s="12">
        <f t="shared" si="471"/>
        <v>-293.39009700000003</v>
      </c>
      <c r="Q245" s="12">
        <f t="shared" si="471"/>
        <v>-324.82475025000002</v>
      </c>
      <c r="R245" s="12">
        <f t="shared" si="471"/>
        <v>-314.34653250000002</v>
      </c>
      <c r="S245" s="12">
        <f t="shared" si="471"/>
        <v>-3.4768825000000003</v>
      </c>
      <c r="T245" s="12">
        <f t="shared" si="471"/>
        <v>-3.364725</v>
      </c>
      <c r="U245" s="12">
        <f t="shared" si="471"/>
        <v>-3.4768825000000003</v>
      </c>
      <c r="V245" s="12">
        <f t="shared" si="471"/>
        <v>-3.4768825000000003</v>
      </c>
      <c r="W245" s="12">
        <f t="shared" si="471"/>
        <v>-3.364725</v>
      </c>
      <c r="X245" s="12">
        <f t="shared" si="471"/>
        <v>-3.4768825000000003</v>
      </c>
      <c r="Y245" s="12">
        <f t="shared" si="471"/>
        <v>-314.34653250000002</v>
      </c>
      <c r="Z245" s="12">
        <f t="shared" si="471"/>
        <v>-324.82475025000002</v>
      </c>
      <c r="AA245" s="12">
        <f t="shared" si="471"/>
        <v>-356.41395721181249</v>
      </c>
      <c r="AB245" s="12">
        <f t="shared" si="471"/>
        <v>-332.58595958853897</v>
      </c>
      <c r="AC245" s="12">
        <f t="shared" si="471"/>
        <v>-354.63411501298606</v>
      </c>
      <c r="AD245" s="12">
        <f t="shared" si="471"/>
        <v>-342.33631908914856</v>
      </c>
      <c r="AE245" s="12">
        <f t="shared" si="471"/>
        <v>-3.777002054454309</v>
      </c>
      <c r="AF245" s="12">
        <f t="shared" si="471"/>
        <v>-3.6460253703079091</v>
      </c>
      <c r="AG245" s="12">
        <f t="shared" si="471"/>
        <v>-3.7581406504448776</v>
      </c>
      <c r="AH245" s="7"/>
      <c r="AI245" s="12">
        <f t="shared" ref="AI245:AJ245" si="472">SUMIF($J$145:$AF$145,AI$145,$J245:$AF245)</f>
        <v>-587.6720499999999</v>
      </c>
      <c r="AJ245" s="12">
        <f t="shared" si="472"/>
        <v>-1917.1943927500004</v>
      </c>
      <c r="AK245" s="12">
        <f t="shared" ref="AK245:AS245" si="473">SUM(AK239:AK244)</f>
        <v>-1639.4674872735632</v>
      </c>
      <c r="AL245" s="12">
        <f t="shared" ca="1" si="473"/>
        <v>-2212.1560232561687</v>
      </c>
      <c r="AM245" s="12">
        <f t="shared" ca="1" si="473"/>
        <v>-2971.2628930265819</v>
      </c>
      <c r="AN245" s="12">
        <f t="shared" ca="1" si="473"/>
        <v>-3901.4958615308319</v>
      </c>
      <c r="AO245" s="12">
        <f t="shared" ca="1" si="473"/>
        <v>-4213.6155304532986</v>
      </c>
      <c r="AP245" s="12">
        <f t="shared" ca="1" si="473"/>
        <v>-4508.5686175850287</v>
      </c>
      <c r="AQ245" s="12">
        <f t="shared" ca="1" si="473"/>
        <v>-4801.6255777280567</v>
      </c>
      <c r="AR245" s="12">
        <f t="shared" ca="1" si="473"/>
        <v>-5089.7231123917391</v>
      </c>
      <c r="AS245" s="12">
        <f t="shared" ca="1" si="473"/>
        <v>-5344.2092680113255</v>
      </c>
      <c r="AT245" s="12">
        <f t="shared" ref="AT245" ca="1" si="474">SUM(AT239:AT244)</f>
        <v>-5611.4197314118928</v>
      </c>
      <c r="AU245" s="216">
        <f ca="1">AL245/$AL$247</f>
        <v>8.2253314787174708E-2</v>
      </c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</row>
    <row r="246" spans="1:69" ht="13.5" customHeight="1" x14ac:dyDescent="0.3">
      <c r="A246" s="7"/>
      <c r="B246" s="7"/>
      <c r="C246" s="7"/>
      <c r="D246" s="7"/>
      <c r="E246" s="7"/>
      <c r="F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178">
        <f t="shared" ref="AI246:AO246" ca="1" si="475">(AI247+AI257)/20</f>
        <v>-155.76889823520833</v>
      </c>
      <c r="AJ246" s="178">
        <f t="shared" ca="1" si="475"/>
        <v>-771.31742293451998</v>
      </c>
      <c r="AK246" s="178">
        <f t="shared" ca="1" si="475"/>
        <v>-1318.9815862461389</v>
      </c>
      <c r="AL246" s="178">
        <f t="shared" ca="1" si="475"/>
        <v>-1352.0666732938935</v>
      </c>
      <c r="AM246" s="178">
        <f t="shared" ca="1" si="475"/>
        <v>-1778.3716414685289</v>
      </c>
      <c r="AN246" s="178">
        <f t="shared" ca="1" si="475"/>
        <v>-1863.5459486940217</v>
      </c>
      <c r="AO246" s="178">
        <f t="shared" ca="1" si="475"/>
        <v>-2012.9329685718753</v>
      </c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</row>
    <row r="247" spans="1:69" ht="13.5" customHeight="1" x14ac:dyDescent="0.3">
      <c r="A247" s="7"/>
      <c r="B247" s="7"/>
      <c r="C247" s="217" t="s">
        <v>465</v>
      </c>
      <c r="D247" s="7"/>
      <c r="E247" s="7"/>
      <c r="F247" s="7"/>
      <c r="H247" s="7"/>
      <c r="I247" s="7"/>
      <c r="J247" s="12">
        <f t="shared" ref="J247:AG247" si="476">SUM(J192,J203,J225,J245)</f>
        <v>-55.245000000000005</v>
      </c>
      <c r="K247" s="12">
        <f t="shared" ca="1" si="476"/>
        <v>-55.179749999999999</v>
      </c>
      <c r="L247" s="12">
        <f t="shared" ca="1" si="476"/>
        <v>-56.884393562500001</v>
      </c>
      <c r="M247" s="12">
        <f t="shared" ca="1" si="476"/>
        <v>-1451.3524183265624</v>
      </c>
      <c r="N247" s="12">
        <f t="shared" ca="1" si="476"/>
        <v>-1496.7164028151042</v>
      </c>
      <c r="O247" s="12">
        <f t="shared" ca="1" si="476"/>
        <v>-1650.5490079235385</v>
      </c>
      <c r="P247" s="12">
        <f t="shared" ca="1" si="476"/>
        <v>-1487.8248878652234</v>
      </c>
      <c r="Q247" s="12">
        <f t="shared" ca="1" si="476"/>
        <v>-1643.9286724117812</v>
      </c>
      <c r="R247" s="12">
        <f t="shared" ca="1" si="476"/>
        <v>-3566.6518610178559</v>
      </c>
      <c r="S247" s="12">
        <f t="shared" ca="1" si="476"/>
        <v>-52.161886380763185</v>
      </c>
      <c r="T247" s="12">
        <f t="shared" ca="1" si="476"/>
        <v>-50.36145858489801</v>
      </c>
      <c r="U247" s="12">
        <f t="shared" ca="1" si="476"/>
        <v>-51.91876564263363</v>
      </c>
      <c r="V247" s="12">
        <f t="shared" ca="1" si="476"/>
        <v>-51.797660934777035</v>
      </c>
      <c r="W247" s="12">
        <f t="shared" ca="1" si="476"/>
        <v>-50.00986353744203</v>
      </c>
      <c r="X247" s="12">
        <f t="shared" ca="1" si="476"/>
        <v>-51.556359047468376</v>
      </c>
      <c r="Y247" s="12">
        <f t="shared" ca="1" si="476"/>
        <v>-3333.1409447092919</v>
      </c>
      <c r="Z247" s="12">
        <f t="shared" ca="1" si="476"/>
        <v>-3436.4470906347269</v>
      </c>
      <c r="AA247" s="12">
        <f t="shared" ca="1" si="476"/>
        <v>-3564.7114036548096</v>
      </c>
      <c r="AB247" s="12">
        <f t="shared" ca="1" si="476"/>
        <v>-3441.6885447103973</v>
      </c>
      <c r="AC247" s="12">
        <f t="shared" ca="1" si="476"/>
        <v>-3836.4896577269878</v>
      </c>
      <c r="AD247" s="12">
        <f t="shared" ca="1" si="476"/>
        <v>-3773.2089563104223</v>
      </c>
      <c r="AE247" s="12">
        <f t="shared" ca="1" si="476"/>
        <v>-94.469212728755721</v>
      </c>
      <c r="AF247" s="12">
        <f t="shared" ca="1" si="476"/>
        <v>-87.570325906157024</v>
      </c>
      <c r="AG247" s="12">
        <f t="shared" ca="1" si="476"/>
        <v>-90.263113427771358</v>
      </c>
      <c r="AH247" s="7"/>
      <c r="AI247" s="12">
        <f t="shared" ref="AI247:AS247" ca="1" si="477">SUM(AI192,AI203,AI225,AI245)</f>
        <v>-3115.3779647041665</v>
      </c>
      <c r="AJ247" s="12">
        <f t="shared" ca="1" si="477"/>
        <v>-15426.3484586904</v>
      </c>
      <c r="AK247" s="12">
        <f t="shared" ca="1" si="477"/>
        <v>-26264.306246435775</v>
      </c>
      <c r="AL247" s="12">
        <f t="shared" ca="1" si="477"/>
        <v>-26894.430078349837</v>
      </c>
      <c r="AM247" s="12">
        <f t="shared" ca="1" si="477"/>
        <v>-35370.119177153829</v>
      </c>
      <c r="AN247" s="12">
        <f t="shared" ca="1" si="477"/>
        <v>-37011.353031307</v>
      </c>
      <c r="AO247" s="12">
        <f t="shared" ca="1" si="477"/>
        <v>-39972.261273811571</v>
      </c>
      <c r="AP247" s="12">
        <f t="shared" ca="1" si="477"/>
        <v>-42770.31956297838</v>
      </c>
      <c r="AQ247" s="12">
        <f t="shared" ca="1" si="477"/>
        <v>-45550.390334571974</v>
      </c>
      <c r="AR247" s="12">
        <f t="shared" ca="1" si="477"/>
        <v>-48283.413754646295</v>
      </c>
      <c r="AS247" s="12">
        <f t="shared" ca="1" si="477"/>
        <v>-50697.584442378604</v>
      </c>
      <c r="AT247" s="12">
        <f t="shared" ref="AT247" ca="1" si="478">SUM(AT192,AT203,AT225,AT245)</f>
        <v>-53232.46366449754</v>
      </c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</row>
    <row r="248" spans="1:69" ht="13.5" customHeight="1" x14ac:dyDescent="0.3">
      <c r="A248" s="7"/>
      <c r="B248" s="7"/>
      <c r="C248" s="7"/>
      <c r="D248" s="7"/>
      <c r="E248" s="7"/>
      <c r="F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49"/>
      <c r="AJ248" s="49"/>
      <c r="AK248" s="49">
        <f t="shared" ref="AK248:AT248" ca="1" si="479">AK247/AJ247-1</f>
        <v>0.70256145300800821</v>
      </c>
      <c r="AL248" s="49">
        <f t="shared" ca="1" si="479"/>
        <v>2.3991641964636878E-2</v>
      </c>
      <c r="AM248" s="49">
        <f t="shared" ca="1" si="479"/>
        <v>0.31514663348925054</v>
      </c>
      <c r="AN248" s="49">
        <f t="shared" ca="1" si="479"/>
        <v>4.6401705516821545E-2</v>
      </c>
      <c r="AO248" s="49">
        <f t="shared" ca="1" si="479"/>
        <v>8.0000000000000293E-2</v>
      </c>
      <c r="AP248" s="49">
        <f t="shared" ca="1" si="479"/>
        <v>7.0000000000000062E-2</v>
      </c>
      <c r="AQ248" s="49">
        <f t="shared" ca="1" si="479"/>
        <v>6.4999999999999947E-2</v>
      </c>
      <c r="AR248" s="49">
        <f t="shared" ca="1" si="479"/>
        <v>6.0000000000000053E-2</v>
      </c>
      <c r="AS248" s="49">
        <f t="shared" ca="1" si="479"/>
        <v>4.9999999999999822E-2</v>
      </c>
      <c r="AT248" s="49">
        <f t="shared" ca="1" si="479"/>
        <v>5.0000000000000044E-2</v>
      </c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</row>
    <row r="249" spans="1:69" ht="13.5" customHeight="1" x14ac:dyDescent="0.3">
      <c r="A249" s="80" t="s">
        <v>412</v>
      </c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</row>
    <row r="250" spans="1:69" ht="13.5" customHeight="1" x14ac:dyDescent="0.3">
      <c r="A250" s="7"/>
      <c r="B250" s="7"/>
      <c r="C250" s="7"/>
      <c r="D250" s="7"/>
      <c r="E250" s="7"/>
      <c r="F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>
        <v>1</v>
      </c>
      <c r="AL250" s="7">
        <v>1</v>
      </c>
      <c r="AM250" s="7">
        <v>1</v>
      </c>
      <c r="AN250" s="7">
        <v>1</v>
      </c>
      <c r="AO250" s="7">
        <v>1</v>
      </c>
      <c r="AP250" s="7">
        <v>1</v>
      </c>
      <c r="AQ250" s="7">
        <v>1</v>
      </c>
      <c r="AR250" s="7">
        <v>1</v>
      </c>
      <c r="AS250" s="7">
        <v>1</v>
      </c>
      <c r="AT250" s="7">
        <v>1</v>
      </c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</row>
    <row r="251" spans="1:69" ht="13.5" customHeight="1" x14ac:dyDescent="0.3">
      <c r="A251" s="7"/>
      <c r="B251" s="7"/>
      <c r="C251" s="7"/>
      <c r="D251" s="7"/>
      <c r="E251" s="7"/>
      <c r="F251" s="7"/>
      <c r="H251" s="7"/>
      <c r="I251" s="7"/>
      <c r="J251" s="7">
        <v>1</v>
      </c>
      <c r="K251" s="7">
        <v>1</v>
      </c>
      <c r="L251" s="7">
        <v>1</v>
      </c>
      <c r="M251" s="7">
        <v>1</v>
      </c>
      <c r="N251" s="7">
        <v>1</v>
      </c>
      <c r="O251" s="7">
        <v>1</v>
      </c>
      <c r="P251" s="7">
        <v>1</v>
      </c>
      <c r="Q251" s="7">
        <v>1</v>
      </c>
      <c r="R251" s="7">
        <v>1</v>
      </c>
      <c r="S251" s="7">
        <v>1</v>
      </c>
      <c r="T251" s="7">
        <v>1</v>
      </c>
      <c r="U251" s="7">
        <v>1</v>
      </c>
      <c r="V251" s="7">
        <v>1</v>
      </c>
      <c r="W251" s="7">
        <v>1</v>
      </c>
      <c r="X251" s="7">
        <v>1</v>
      </c>
      <c r="Y251" s="7">
        <v>1</v>
      </c>
      <c r="Z251" s="7">
        <v>1</v>
      </c>
      <c r="AA251" s="7">
        <v>1</v>
      </c>
      <c r="AB251" s="7">
        <v>1</v>
      </c>
      <c r="AC251" s="7">
        <v>1</v>
      </c>
      <c r="AD251" s="7">
        <v>1</v>
      </c>
      <c r="AE251" s="7">
        <v>1</v>
      </c>
      <c r="AF251" s="7">
        <v>1</v>
      </c>
      <c r="AG251" s="7">
        <v>1</v>
      </c>
      <c r="AH251" s="7"/>
      <c r="AI251" s="7"/>
      <c r="AJ251" s="7"/>
      <c r="AK251" s="15">
        <v>4</v>
      </c>
      <c r="AL251" s="15">
        <v>4</v>
      </c>
      <c r="AM251" s="15">
        <v>4</v>
      </c>
      <c r="AN251" s="15">
        <v>4</v>
      </c>
      <c r="AO251" s="15">
        <v>4</v>
      </c>
      <c r="AP251" s="15">
        <v>4</v>
      </c>
      <c r="AQ251" s="15">
        <v>4</v>
      </c>
      <c r="AR251" s="15">
        <v>4</v>
      </c>
      <c r="AS251" s="15">
        <v>4</v>
      </c>
      <c r="AT251" s="15">
        <v>4</v>
      </c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</row>
    <row r="252" spans="1:69" ht="13.5" customHeight="1" x14ac:dyDescent="0.3">
      <c r="A252" s="7"/>
      <c r="B252" s="14" t="s">
        <v>675</v>
      </c>
      <c r="C252" s="7"/>
      <c r="D252" s="7"/>
      <c r="E252" s="5" t="s">
        <v>40</v>
      </c>
      <c r="F252" s="7"/>
      <c r="H252" s="7"/>
      <c r="I252" s="7"/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0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7"/>
      <c r="AI252" s="12">
        <f t="shared" ref="AI252:AS252" si="480">AI176</f>
        <v>0</v>
      </c>
      <c r="AJ252" s="12">
        <f t="shared" si="480"/>
        <v>0</v>
      </c>
      <c r="AK252" s="12">
        <f t="shared" si="480"/>
        <v>66.497788348381491</v>
      </c>
      <c r="AL252" s="12">
        <f t="shared" ca="1" si="480"/>
        <v>77.357001531856085</v>
      </c>
      <c r="AM252" s="12">
        <f t="shared" ca="1" si="480"/>
        <v>95.323165137629672</v>
      </c>
      <c r="AN252" s="12">
        <f t="shared" ca="1" si="480"/>
        <v>115.57377244222739</v>
      </c>
      <c r="AO252" s="12">
        <f t="shared" ca="1" si="480"/>
        <v>118.075</v>
      </c>
      <c r="AP252" s="12">
        <f t="shared" ca="1" si="480"/>
        <v>118.075</v>
      </c>
      <c r="AQ252" s="12">
        <f t="shared" ca="1" si="480"/>
        <v>118.075</v>
      </c>
      <c r="AR252" s="12">
        <f t="shared" ca="1" si="480"/>
        <v>118.075</v>
      </c>
      <c r="AS252" s="12">
        <f t="shared" ca="1" si="480"/>
        <v>118.075</v>
      </c>
      <c r="AT252" s="12">
        <f t="shared" ref="AT252" ca="1" si="481">AT176</f>
        <v>118.075</v>
      </c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</row>
    <row r="253" spans="1:69" ht="13.5" customHeight="1" x14ac:dyDescent="0.3">
      <c r="A253" s="7"/>
      <c r="B253" s="7"/>
      <c r="C253" s="343" t="s">
        <v>373</v>
      </c>
      <c r="D253" s="7"/>
      <c r="E253" s="7" t="s">
        <v>4</v>
      </c>
      <c r="F253" s="215"/>
      <c r="H253" s="7"/>
      <c r="I253" s="7"/>
      <c r="J253" s="8">
        <f t="shared" ref="J253:AF253" si="482">-J88*J65*J$4*J$252/1000</f>
        <v>0</v>
      </c>
      <c r="K253" s="8">
        <f t="shared" si="482"/>
        <v>0</v>
      </c>
      <c r="L253" s="8">
        <f t="shared" si="482"/>
        <v>0</v>
      </c>
      <c r="M253" s="8">
        <f t="shared" si="482"/>
        <v>0</v>
      </c>
      <c r="N253" s="8">
        <f t="shared" si="482"/>
        <v>0</v>
      </c>
      <c r="O253" s="8">
        <f t="shared" si="482"/>
        <v>0</v>
      </c>
      <c r="P253" s="8">
        <f t="shared" si="482"/>
        <v>0</v>
      </c>
      <c r="Q253" s="8">
        <f t="shared" si="482"/>
        <v>0</v>
      </c>
      <c r="R253" s="8">
        <f t="shared" si="482"/>
        <v>0</v>
      </c>
      <c r="S253" s="8">
        <f t="shared" si="482"/>
        <v>0</v>
      </c>
      <c r="T253" s="8">
        <f t="shared" si="482"/>
        <v>0</v>
      </c>
      <c r="U253" s="8">
        <f t="shared" si="482"/>
        <v>0</v>
      </c>
      <c r="V253" s="8">
        <f t="shared" si="482"/>
        <v>0</v>
      </c>
      <c r="W253" s="8">
        <f t="shared" si="482"/>
        <v>0</v>
      </c>
      <c r="X253" s="8">
        <f t="shared" si="482"/>
        <v>0</v>
      </c>
      <c r="Y253" s="8">
        <f t="shared" si="482"/>
        <v>0</v>
      </c>
      <c r="Z253" s="8">
        <f t="shared" si="482"/>
        <v>0</v>
      </c>
      <c r="AA253" s="8">
        <f t="shared" si="482"/>
        <v>0</v>
      </c>
      <c r="AB253" s="8">
        <f t="shared" si="482"/>
        <v>0</v>
      </c>
      <c r="AC253" s="8">
        <f t="shared" si="482"/>
        <v>0</v>
      </c>
      <c r="AD253" s="8">
        <f t="shared" si="482"/>
        <v>0</v>
      </c>
      <c r="AE253" s="8">
        <f t="shared" si="482"/>
        <v>0</v>
      </c>
      <c r="AF253" s="8">
        <f t="shared" si="482"/>
        <v>0</v>
      </c>
      <c r="AG253" s="8">
        <f>-AG88*AG65*AG$4*AG$252/1000</f>
        <v>0</v>
      </c>
      <c r="AH253" s="7"/>
      <c r="AI253" s="8">
        <f t="shared" ref="AI253:AJ253" si="483">SUMIF($J$145:$AF$145,AI$145,$J253:$AF253)</f>
        <v>0</v>
      </c>
      <c r="AJ253" s="8">
        <f t="shared" si="483"/>
        <v>0</v>
      </c>
      <c r="AK253" s="8">
        <f>-AK88*AK65*AK$252/1000</f>
        <v>0</v>
      </c>
      <c r="AL253" s="8">
        <f t="shared" ref="AL253:AS253" ca="1" si="484">-AL88*AL65*AL$252/1000</f>
        <v>0</v>
      </c>
      <c r="AM253" s="8">
        <f t="shared" ca="1" si="484"/>
        <v>0</v>
      </c>
      <c r="AN253" s="8">
        <f t="shared" ca="1" si="484"/>
        <v>0</v>
      </c>
      <c r="AO253" s="8">
        <f t="shared" ca="1" si="484"/>
        <v>0</v>
      </c>
      <c r="AP253" s="8">
        <f t="shared" ca="1" si="484"/>
        <v>0</v>
      </c>
      <c r="AQ253" s="8">
        <f t="shared" ca="1" si="484"/>
        <v>0</v>
      </c>
      <c r="AR253" s="8">
        <f t="shared" ca="1" si="484"/>
        <v>0</v>
      </c>
      <c r="AS253" s="8">
        <f t="shared" ca="1" si="484"/>
        <v>0</v>
      </c>
      <c r="AT253" s="8">
        <f t="shared" ref="AT253" ca="1" si="485">-AT88*AT65*AT$252/1000</f>
        <v>0</v>
      </c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</row>
    <row r="254" spans="1:69" ht="13.5" customHeight="1" x14ac:dyDescent="0.3">
      <c r="A254" s="7"/>
      <c r="B254" s="7"/>
      <c r="C254" s="343" t="s">
        <v>374</v>
      </c>
      <c r="D254" s="7"/>
      <c r="E254" s="7" t="s">
        <v>4</v>
      </c>
      <c r="F254" s="215"/>
      <c r="H254" s="7"/>
      <c r="I254" s="7"/>
      <c r="J254" s="8">
        <f t="shared" ref="J254:AF254" si="486">-J89*J66*J$4*J$252/1000</f>
        <v>0</v>
      </c>
      <c r="K254" s="8">
        <f t="shared" si="486"/>
        <v>0</v>
      </c>
      <c r="L254" s="8">
        <f t="shared" si="486"/>
        <v>0</v>
      </c>
      <c r="M254" s="8">
        <f t="shared" si="486"/>
        <v>0</v>
      </c>
      <c r="N254" s="8">
        <f t="shared" si="486"/>
        <v>0</v>
      </c>
      <c r="O254" s="8">
        <f t="shared" si="486"/>
        <v>0</v>
      </c>
      <c r="P254" s="8">
        <f t="shared" si="486"/>
        <v>0</v>
      </c>
      <c r="Q254" s="8">
        <f t="shared" si="486"/>
        <v>0</v>
      </c>
      <c r="R254" s="8">
        <f t="shared" si="486"/>
        <v>0</v>
      </c>
      <c r="S254" s="8">
        <f t="shared" si="486"/>
        <v>0</v>
      </c>
      <c r="T254" s="8">
        <f t="shared" si="486"/>
        <v>0</v>
      </c>
      <c r="U254" s="8">
        <f t="shared" si="486"/>
        <v>0</v>
      </c>
      <c r="V254" s="8">
        <f t="shared" si="486"/>
        <v>0</v>
      </c>
      <c r="W254" s="8">
        <f t="shared" si="486"/>
        <v>0</v>
      </c>
      <c r="X254" s="8">
        <f t="shared" si="486"/>
        <v>0</v>
      </c>
      <c r="Y254" s="8">
        <f t="shared" si="486"/>
        <v>0</v>
      </c>
      <c r="Z254" s="8">
        <f t="shared" si="486"/>
        <v>0</v>
      </c>
      <c r="AA254" s="8">
        <f t="shared" si="486"/>
        <v>0</v>
      </c>
      <c r="AB254" s="8">
        <f t="shared" si="486"/>
        <v>0</v>
      </c>
      <c r="AC254" s="8">
        <f t="shared" si="486"/>
        <v>0</v>
      </c>
      <c r="AD254" s="8">
        <f t="shared" si="486"/>
        <v>0</v>
      </c>
      <c r="AE254" s="8">
        <f t="shared" si="486"/>
        <v>0</v>
      </c>
      <c r="AF254" s="8">
        <f t="shared" si="486"/>
        <v>0</v>
      </c>
      <c r="AG254" s="8">
        <f>-AG89*AG66*AG$4*AG$252/1000</f>
        <v>0</v>
      </c>
      <c r="AH254" s="7"/>
      <c r="AI254" s="8">
        <f t="shared" ref="AI254:AJ254" si="487">SUMIF($J$145:$AF$145,AI$145,$J254:$AF254)</f>
        <v>0</v>
      </c>
      <c r="AJ254" s="8">
        <f t="shared" si="487"/>
        <v>0</v>
      </c>
      <c r="AK254" s="8">
        <f>-AK89*AK66*AK$252/1000</f>
        <v>0</v>
      </c>
      <c r="AL254" s="8">
        <f t="shared" ref="AL254:AS254" ca="1" si="488">-AL89*AL66*AL$252/1000</f>
        <v>0</v>
      </c>
      <c r="AM254" s="8">
        <f t="shared" ca="1" si="488"/>
        <v>0</v>
      </c>
      <c r="AN254" s="8">
        <f t="shared" ca="1" si="488"/>
        <v>0</v>
      </c>
      <c r="AO254" s="8">
        <f t="shared" ca="1" si="488"/>
        <v>0</v>
      </c>
      <c r="AP254" s="8">
        <f t="shared" ca="1" si="488"/>
        <v>0</v>
      </c>
      <c r="AQ254" s="8">
        <f t="shared" ca="1" si="488"/>
        <v>0</v>
      </c>
      <c r="AR254" s="8">
        <f t="shared" ca="1" si="488"/>
        <v>0</v>
      </c>
      <c r="AS254" s="8">
        <f t="shared" ca="1" si="488"/>
        <v>0</v>
      </c>
      <c r="AT254" s="8">
        <f t="shared" ref="AT254" ca="1" si="489">-AT89*AT66*AT$252/1000</f>
        <v>0</v>
      </c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</row>
    <row r="255" spans="1:69" ht="13.5" customHeight="1" x14ac:dyDescent="0.3">
      <c r="A255" s="7"/>
      <c r="B255" s="7"/>
      <c r="C255" s="343" t="s">
        <v>375</v>
      </c>
      <c r="D255" s="7"/>
      <c r="E255" s="7" t="s">
        <v>4</v>
      </c>
      <c r="F255" s="215"/>
      <c r="H255" s="7"/>
      <c r="I255" s="7"/>
      <c r="J255" s="8">
        <f t="shared" ref="J255:AF255" si="490">-J90*J67*J$4*J$252/1000</f>
        <v>0</v>
      </c>
      <c r="K255" s="8">
        <f t="shared" si="490"/>
        <v>0</v>
      </c>
      <c r="L255" s="8">
        <f t="shared" si="490"/>
        <v>0</v>
      </c>
      <c r="M255" s="8">
        <f t="shared" si="490"/>
        <v>0</v>
      </c>
      <c r="N255" s="8">
        <f t="shared" si="490"/>
        <v>0</v>
      </c>
      <c r="O255" s="8">
        <f t="shared" si="490"/>
        <v>0</v>
      </c>
      <c r="P255" s="8">
        <f t="shared" si="490"/>
        <v>0</v>
      </c>
      <c r="Q255" s="8">
        <f t="shared" si="490"/>
        <v>0</v>
      </c>
      <c r="R255" s="8">
        <f t="shared" si="490"/>
        <v>0</v>
      </c>
      <c r="S255" s="8">
        <f t="shared" si="490"/>
        <v>0</v>
      </c>
      <c r="T255" s="8">
        <f t="shared" si="490"/>
        <v>0</v>
      </c>
      <c r="U255" s="8">
        <f t="shared" si="490"/>
        <v>0</v>
      </c>
      <c r="V255" s="8">
        <f t="shared" si="490"/>
        <v>0</v>
      </c>
      <c r="W255" s="8">
        <f t="shared" si="490"/>
        <v>0</v>
      </c>
      <c r="X255" s="8">
        <f t="shared" si="490"/>
        <v>0</v>
      </c>
      <c r="Y255" s="8">
        <f t="shared" si="490"/>
        <v>0</v>
      </c>
      <c r="Z255" s="8">
        <f t="shared" si="490"/>
        <v>0</v>
      </c>
      <c r="AA255" s="8">
        <f t="shared" si="490"/>
        <v>0</v>
      </c>
      <c r="AB255" s="8">
        <f t="shared" si="490"/>
        <v>0</v>
      </c>
      <c r="AC255" s="8">
        <f t="shared" si="490"/>
        <v>0</v>
      </c>
      <c r="AD255" s="8">
        <f t="shared" si="490"/>
        <v>0</v>
      </c>
      <c r="AE255" s="8">
        <f t="shared" si="490"/>
        <v>0</v>
      </c>
      <c r="AF255" s="8">
        <f t="shared" si="490"/>
        <v>0</v>
      </c>
      <c r="AG255" s="8">
        <f>-AG90*AG67*AG$4*AG$252/1000</f>
        <v>0</v>
      </c>
      <c r="AH255" s="7"/>
      <c r="AI255" s="8">
        <f t="shared" ref="AI255:AJ255" si="491">SUMIF($J$145:$AF$145,AI$145,$J255:$AF255)</f>
        <v>0</v>
      </c>
      <c r="AJ255" s="8">
        <f t="shared" si="491"/>
        <v>0</v>
      </c>
      <c r="AK255" s="8">
        <f>-AK90*AK67*AK$252/1000</f>
        <v>-57.662739243502322</v>
      </c>
      <c r="AL255" s="8">
        <f t="shared" ref="AL255:AT255" ca="1" si="492">-AL90*AL67*AL$252/1000</f>
        <v>-73.451693764017023</v>
      </c>
      <c r="AM255" s="8">
        <f t="shared" ca="1" si="492"/>
        <v>-98.656826108373906</v>
      </c>
      <c r="AN255" s="8">
        <f t="shared" ca="1" si="492"/>
        <v>-129.78297128671664</v>
      </c>
      <c r="AO255" s="8">
        <f t="shared" ca="1" si="492"/>
        <v>-143.19904881296813</v>
      </c>
      <c r="AP255" s="8">
        <f t="shared" ca="1" si="492"/>
        <v>-153.22298222987592</v>
      </c>
      <c r="AQ255" s="8">
        <f t="shared" ca="1" si="492"/>
        <v>-163.18247607481786</v>
      </c>
      <c r="AR255" s="8">
        <f t="shared" ca="1" si="492"/>
        <v>-172.97342463930693</v>
      </c>
      <c r="AS255" s="8">
        <f t="shared" ca="1" si="492"/>
        <v>-181.62209587127228</v>
      </c>
      <c r="AT255" s="8">
        <f t="shared" ca="1" si="492"/>
        <v>-190.70320066483592</v>
      </c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</row>
    <row r="256" spans="1:69" ht="13.5" customHeight="1" x14ac:dyDescent="0.3">
      <c r="A256" s="7"/>
      <c r="B256" s="7"/>
      <c r="C256" s="343" t="s">
        <v>385</v>
      </c>
      <c r="D256" s="7"/>
      <c r="E256" s="7" t="s">
        <v>4</v>
      </c>
      <c r="F256" s="215"/>
      <c r="H256" s="7"/>
      <c r="I256" s="7"/>
      <c r="J256" s="8">
        <f t="shared" ref="J256:AF256" si="493">-J94*J68*J$4*J$252/1000</f>
        <v>0</v>
      </c>
      <c r="K256" s="8">
        <f t="shared" si="493"/>
        <v>0</v>
      </c>
      <c r="L256" s="8">
        <f t="shared" si="493"/>
        <v>0</v>
      </c>
      <c r="M256" s="8">
        <f t="shared" si="493"/>
        <v>0</v>
      </c>
      <c r="N256" s="8">
        <f t="shared" si="493"/>
        <v>0</v>
      </c>
      <c r="O256" s="8">
        <f t="shared" si="493"/>
        <v>0</v>
      </c>
      <c r="P256" s="8">
        <f t="shared" si="493"/>
        <v>0</v>
      </c>
      <c r="Q256" s="8">
        <f t="shared" si="493"/>
        <v>0</v>
      </c>
      <c r="R256" s="8">
        <f t="shared" si="493"/>
        <v>0</v>
      </c>
      <c r="S256" s="8">
        <f t="shared" si="493"/>
        <v>0</v>
      </c>
      <c r="T256" s="8">
        <f t="shared" si="493"/>
        <v>0</v>
      </c>
      <c r="U256" s="8">
        <f t="shared" si="493"/>
        <v>0</v>
      </c>
      <c r="V256" s="8">
        <f t="shared" si="493"/>
        <v>0</v>
      </c>
      <c r="W256" s="8">
        <f t="shared" si="493"/>
        <v>0</v>
      </c>
      <c r="X256" s="8">
        <f t="shared" si="493"/>
        <v>0</v>
      </c>
      <c r="Y256" s="8">
        <f t="shared" si="493"/>
        <v>0</v>
      </c>
      <c r="Z256" s="8">
        <f t="shared" si="493"/>
        <v>0</v>
      </c>
      <c r="AA256" s="8">
        <f t="shared" si="493"/>
        <v>0</v>
      </c>
      <c r="AB256" s="8">
        <f t="shared" si="493"/>
        <v>0</v>
      </c>
      <c r="AC256" s="8">
        <f t="shared" si="493"/>
        <v>0</v>
      </c>
      <c r="AD256" s="8">
        <f t="shared" si="493"/>
        <v>0</v>
      </c>
      <c r="AE256" s="8">
        <f t="shared" si="493"/>
        <v>0</v>
      </c>
      <c r="AF256" s="8">
        <f t="shared" si="493"/>
        <v>0</v>
      </c>
      <c r="AG256" s="8">
        <f>-AG94*AG68*AG$4*AG$252/1000</f>
        <v>0</v>
      </c>
      <c r="AH256" s="7"/>
      <c r="AI256" s="8">
        <f t="shared" ref="AI256:AJ256" si="494">SUMIF($J$145:$AF$145,AI$145,$J256:$AF256)</f>
        <v>0</v>
      </c>
      <c r="AJ256" s="8">
        <f t="shared" si="494"/>
        <v>0</v>
      </c>
      <c r="AK256" s="8">
        <f>-AK94*AK68*AK$252/1000</f>
        <v>-57.662739243502322</v>
      </c>
      <c r="AL256" s="8">
        <f t="shared" ref="AL256:AS256" ca="1" si="495">-AL94*AL68*AL$252/1000</f>
        <v>-73.451693764017023</v>
      </c>
      <c r="AM256" s="8">
        <f t="shared" ca="1" si="495"/>
        <v>-98.656826108373906</v>
      </c>
      <c r="AN256" s="8">
        <f t="shared" ca="1" si="495"/>
        <v>-129.78297128671664</v>
      </c>
      <c r="AO256" s="8">
        <f t="shared" ca="1" si="495"/>
        <v>-143.19904881296813</v>
      </c>
      <c r="AP256" s="8">
        <f t="shared" ca="1" si="495"/>
        <v>-153.22298222987592</v>
      </c>
      <c r="AQ256" s="8">
        <f t="shared" ca="1" si="495"/>
        <v>-163.18247607481786</v>
      </c>
      <c r="AR256" s="8">
        <f t="shared" ca="1" si="495"/>
        <v>-172.97342463930693</v>
      </c>
      <c r="AS256" s="8">
        <f t="shared" ca="1" si="495"/>
        <v>-181.62209587127228</v>
      </c>
      <c r="AT256" s="8">
        <f t="shared" ref="AT256" ca="1" si="496">-AT94*AT68*AT$252/1000</f>
        <v>-190.70320066483592</v>
      </c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</row>
    <row r="257" spans="1:69" ht="13.5" customHeight="1" x14ac:dyDescent="0.3">
      <c r="A257" s="7"/>
      <c r="B257" s="7"/>
      <c r="C257" s="353" t="s">
        <v>32</v>
      </c>
      <c r="D257" s="7"/>
      <c r="E257" s="7" t="s">
        <v>4</v>
      </c>
      <c r="F257" s="7"/>
      <c r="H257" s="7"/>
      <c r="I257" s="7"/>
      <c r="J257" s="12">
        <f t="shared" ref="J257:AG257" si="497">SUM(J253:J256)</f>
        <v>0</v>
      </c>
      <c r="K257" s="12">
        <f t="shared" si="497"/>
        <v>0</v>
      </c>
      <c r="L257" s="12">
        <f t="shared" si="497"/>
        <v>0</v>
      </c>
      <c r="M257" s="12">
        <f t="shared" si="497"/>
        <v>0</v>
      </c>
      <c r="N257" s="12">
        <f t="shared" si="497"/>
        <v>0</v>
      </c>
      <c r="O257" s="12">
        <f t="shared" si="497"/>
        <v>0</v>
      </c>
      <c r="P257" s="12">
        <f t="shared" si="497"/>
        <v>0</v>
      </c>
      <c r="Q257" s="12">
        <f t="shared" si="497"/>
        <v>0</v>
      </c>
      <c r="R257" s="12">
        <f t="shared" si="497"/>
        <v>0</v>
      </c>
      <c r="S257" s="12">
        <f t="shared" si="497"/>
        <v>0</v>
      </c>
      <c r="T257" s="12">
        <f t="shared" si="497"/>
        <v>0</v>
      </c>
      <c r="U257" s="12">
        <f t="shared" si="497"/>
        <v>0</v>
      </c>
      <c r="V257" s="12">
        <f t="shared" si="497"/>
        <v>0</v>
      </c>
      <c r="W257" s="12">
        <f t="shared" si="497"/>
        <v>0</v>
      </c>
      <c r="X257" s="12">
        <f t="shared" si="497"/>
        <v>0</v>
      </c>
      <c r="Y257" s="12">
        <f t="shared" si="497"/>
        <v>0</v>
      </c>
      <c r="Z257" s="12">
        <f t="shared" si="497"/>
        <v>0</v>
      </c>
      <c r="AA257" s="12">
        <f t="shared" si="497"/>
        <v>0</v>
      </c>
      <c r="AB257" s="12">
        <f t="shared" si="497"/>
        <v>0</v>
      </c>
      <c r="AC257" s="12">
        <f t="shared" si="497"/>
        <v>0</v>
      </c>
      <c r="AD257" s="12">
        <f t="shared" si="497"/>
        <v>0</v>
      </c>
      <c r="AE257" s="12">
        <f t="shared" si="497"/>
        <v>0</v>
      </c>
      <c r="AF257" s="12">
        <f t="shared" si="497"/>
        <v>0</v>
      </c>
      <c r="AG257" s="12">
        <f t="shared" si="497"/>
        <v>0</v>
      </c>
      <c r="AH257" s="7"/>
      <c r="AI257" s="12">
        <f t="shared" ref="AI257:AJ257" si="498">SUMIF($J$145:$AF$145,AI$145,$J257:$AF257)</f>
        <v>0</v>
      </c>
      <c r="AJ257" s="12">
        <f t="shared" si="498"/>
        <v>0</v>
      </c>
      <c r="AK257" s="12">
        <f t="shared" ref="AK257:AS257" si="499">SUM(AK253:AK256)</f>
        <v>-115.32547848700464</v>
      </c>
      <c r="AL257" s="12">
        <f t="shared" ca="1" si="499"/>
        <v>-146.90338752803405</v>
      </c>
      <c r="AM257" s="12">
        <f t="shared" ca="1" si="499"/>
        <v>-197.31365221674781</v>
      </c>
      <c r="AN257" s="12">
        <f t="shared" ca="1" si="499"/>
        <v>-259.56594257343329</v>
      </c>
      <c r="AO257" s="12">
        <f t="shared" ca="1" si="499"/>
        <v>-286.39809762593626</v>
      </c>
      <c r="AP257" s="12">
        <f t="shared" ca="1" si="499"/>
        <v>-306.44596445975185</v>
      </c>
      <c r="AQ257" s="12">
        <f t="shared" ca="1" si="499"/>
        <v>-326.36495214963571</v>
      </c>
      <c r="AR257" s="12">
        <f t="shared" ca="1" si="499"/>
        <v>-345.94684927861385</v>
      </c>
      <c r="AS257" s="12">
        <f t="shared" ca="1" si="499"/>
        <v>-363.24419174254456</v>
      </c>
      <c r="AT257" s="12">
        <f t="shared" ref="AT257" ca="1" si="500">SUM(AT253:AT256)</f>
        <v>-381.40640132967184</v>
      </c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</row>
    <row r="258" spans="1:69" ht="13.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</row>
    <row r="259" spans="1:69" ht="13.5" customHeight="1" x14ac:dyDescent="0.3">
      <c r="A259" s="7"/>
      <c r="B259" s="5" t="s">
        <v>676</v>
      </c>
      <c r="C259" s="7"/>
      <c r="D259" s="7"/>
      <c r="E259" s="5" t="s">
        <v>40</v>
      </c>
      <c r="F259" s="7"/>
      <c r="G259" s="7"/>
      <c r="H259" s="7"/>
      <c r="I259" s="7"/>
      <c r="J259" s="12">
        <f t="shared" ref="J259:AF259" si="501">J177</f>
        <v>0</v>
      </c>
      <c r="K259" s="12">
        <f t="shared" ca="1" si="501"/>
        <v>0</v>
      </c>
      <c r="L259" s="12">
        <f t="shared" ca="1" si="501"/>
        <v>0</v>
      </c>
      <c r="M259" s="12">
        <f t="shared" ca="1" si="501"/>
        <v>0</v>
      </c>
      <c r="N259" s="12">
        <f t="shared" ca="1" si="501"/>
        <v>0</v>
      </c>
      <c r="O259" s="12">
        <f t="shared" ca="1" si="501"/>
        <v>0</v>
      </c>
      <c r="P259" s="12">
        <f t="shared" ca="1" si="501"/>
        <v>0</v>
      </c>
      <c r="Q259" s="12">
        <f t="shared" ca="1" si="501"/>
        <v>0</v>
      </c>
      <c r="R259" s="12">
        <f t="shared" ca="1" si="501"/>
        <v>0</v>
      </c>
      <c r="S259" s="12">
        <f t="shared" ca="1" si="501"/>
        <v>0</v>
      </c>
      <c r="T259" s="12">
        <f t="shared" ca="1" si="501"/>
        <v>0</v>
      </c>
      <c r="U259" s="12">
        <f t="shared" ca="1" si="501"/>
        <v>0</v>
      </c>
      <c r="V259" s="12">
        <f t="shared" ca="1" si="501"/>
        <v>0</v>
      </c>
      <c r="W259" s="12">
        <f t="shared" ca="1" si="501"/>
        <v>0</v>
      </c>
      <c r="X259" s="12">
        <f t="shared" ca="1" si="501"/>
        <v>0</v>
      </c>
      <c r="Y259" s="12">
        <f t="shared" ca="1" si="501"/>
        <v>0</v>
      </c>
      <c r="Z259" s="12">
        <f t="shared" ca="1" si="501"/>
        <v>0</v>
      </c>
      <c r="AA259" s="12">
        <f t="shared" ca="1" si="501"/>
        <v>0</v>
      </c>
      <c r="AB259" s="12">
        <f t="shared" ca="1" si="501"/>
        <v>0</v>
      </c>
      <c r="AC259" s="12">
        <f t="shared" ca="1" si="501"/>
        <v>0</v>
      </c>
      <c r="AD259" s="12">
        <f t="shared" ca="1" si="501"/>
        <v>0</v>
      </c>
      <c r="AE259" s="12">
        <f t="shared" ca="1" si="501"/>
        <v>0</v>
      </c>
      <c r="AF259" s="12">
        <f t="shared" ca="1" si="501"/>
        <v>0</v>
      </c>
      <c r="AG259" s="12">
        <f t="shared" ref="AG259" ca="1" si="502">AG177</f>
        <v>0</v>
      </c>
      <c r="AH259" s="7"/>
      <c r="AI259" s="12">
        <f>AI177</f>
        <v>0</v>
      </c>
      <c r="AJ259" s="12">
        <f t="shared" ref="AJ259:AS259" si="503">AJ177</f>
        <v>0</v>
      </c>
      <c r="AK259" s="12">
        <f t="shared" si="503"/>
        <v>0</v>
      </c>
      <c r="AL259" s="12">
        <f t="shared" si="503"/>
        <v>0</v>
      </c>
      <c r="AM259" s="12">
        <f t="shared" si="503"/>
        <v>0</v>
      </c>
      <c r="AN259" s="12">
        <f t="shared" si="503"/>
        <v>0</v>
      </c>
      <c r="AO259" s="12">
        <f t="shared" si="503"/>
        <v>0</v>
      </c>
      <c r="AP259" s="12">
        <f t="shared" si="503"/>
        <v>0</v>
      </c>
      <c r="AQ259" s="12">
        <f t="shared" si="503"/>
        <v>0</v>
      </c>
      <c r="AR259" s="12">
        <f t="shared" si="503"/>
        <v>0</v>
      </c>
      <c r="AS259" s="12">
        <f t="shared" si="503"/>
        <v>0</v>
      </c>
      <c r="AT259" s="12">
        <f t="shared" ref="AT259" si="504">AT177</f>
        <v>0</v>
      </c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</row>
    <row r="260" spans="1:69" ht="13.5" customHeight="1" x14ac:dyDescent="0.3">
      <c r="A260" s="7"/>
      <c r="B260" s="7"/>
      <c r="C260" s="343" t="s">
        <v>373</v>
      </c>
      <c r="D260" s="7"/>
      <c r="E260" s="7" t="s">
        <v>4</v>
      </c>
      <c r="F260" s="7"/>
      <c r="G260" s="7"/>
      <c r="H260" s="7"/>
      <c r="I260" s="7"/>
      <c r="J260" s="12">
        <f t="shared" ref="J260:AF260" si="505">-J88*J74*J$4*J$259/1000</f>
        <v>0</v>
      </c>
      <c r="K260" s="12">
        <f t="shared" ca="1" si="505"/>
        <v>0</v>
      </c>
      <c r="L260" s="12">
        <f t="shared" ca="1" si="505"/>
        <v>0</v>
      </c>
      <c r="M260" s="12">
        <f t="shared" ca="1" si="505"/>
        <v>0</v>
      </c>
      <c r="N260" s="12">
        <f t="shared" ca="1" si="505"/>
        <v>0</v>
      </c>
      <c r="O260" s="12">
        <f t="shared" ca="1" si="505"/>
        <v>0</v>
      </c>
      <c r="P260" s="12">
        <f t="shared" ca="1" si="505"/>
        <v>0</v>
      </c>
      <c r="Q260" s="12">
        <f t="shared" ca="1" si="505"/>
        <v>0</v>
      </c>
      <c r="R260" s="12">
        <f t="shared" ca="1" si="505"/>
        <v>0</v>
      </c>
      <c r="S260" s="12">
        <f t="shared" ca="1" si="505"/>
        <v>0</v>
      </c>
      <c r="T260" s="12">
        <f t="shared" ca="1" si="505"/>
        <v>0</v>
      </c>
      <c r="U260" s="12">
        <f t="shared" ca="1" si="505"/>
        <v>0</v>
      </c>
      <c r="V260" s="12">
        <f t="shared" ca="1" si="505"/>
        <v>0</v>
      </c>
      <c r="W260" s="12">
        <f t="shared" ca="1" si="505"/>
        <v>0</v>
      </c>
      <c r="X260" s="12">
        <f t="shared" ca="1" si="505"/>
        <v>0</v>
      </c>
      <c r="Y260" s="12">
        <f t="shared" ca="1" si="505"/>
        <v>0</v>
      </c>
      <c r="Z260" s="12">
        <f t="shared" ca="1" si="505"/>
        <v>0</v>
      </c>
      <c r="AA260" s="12">
        <f t="shared" ca="1" si="505"/>
        <v>0</v>
      </c>
      <c r="AB260" s="12">
        <f t="shared" ca="1" si="505"/>
        <v>0</v>
      </c>
      <c r="AC260" s="12">
        <f t="shared" ca="1" si="505"/>
        <v>0</v>
      </c>
      <c r="AD260" s="12">
        <f t="shared" ca="1" si="505"/>
        <v>0</v>
      </c>
      <c r="AE260" s="12">
        <f t="shared" ca="1" si="505"/>
        <v>0</v>
      </c>
      <c r="AF260" s="12">
        <f t="shared" ca="1" si="505"/>
        <v>0</v>
      </c>
      <c r="AG260" s="12">
        <f ca="1">-AG88*AG74*AG$4*AG$259/1000</f>
        <v>0</v>
      </c>
      <c r="AH260" s="7"/>
      <c r="AI260" s="8">
        <f t="shared" ref="AI260:AJ263" ca="1" si="506">SUMIF($J$145:$AF$145,AI$145,$J260:$AF260)</f>
        <v>0</v>
      </c>
      <c r="AJ260" s="8">
        <f t="shared" ca="1" si="506"/>
        <v>0</v>
      </c>
      <c r="AK260" s="12">
        <f>-AK88*AK74*AK$259/1000</f>
        <v>0</v>
      </c>
      <c r="AL260" s="12">
        <f t="shared" ref="AL260:AS260" si="507">-AL88*AL74*AL$259/1000</f>
        <v>0</v>
      </c>
      <c r="AM260" s="12">
        <f t="shared" si="507"/>
        <v>0</v>
      </c>
      <c r="AN260" s="12">
        <f t="shared" si="507"/>
        <v>0</v>
      </c>
      <c r="AO260" s="12">
        <f t="shared" si="507"/>
        <v>0</v>
      </c>
      <c r="AP260" s="12">
        <f t="shared" si="507"/>
        <v>0</v>
      </c>
      <c r="AQ260" s="12">
        <f t="shared" si="507"/>
        <v>0</v>
      </c>
      <c r="AR260" s="12">
        <f t="shared" si="507"/>
        <v>0</v>
      </c>
      <c r="AS260" s="12">
        <f t="shared" si="507"/>
        <v>0</v>
      </c>
      <c r="AT260" s="12">
        <f t="shared" ref="AT260" si="508">-AT88*AT74*AT$259/1000</f>
        <v>0</v>
      </c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</row>
    <row r="261" spans="1:69" ht="13.5" customHeight="1" x14ac:dyDescent="0.3">
      <c r="A261" s="7"/>
      <c r="B261" s="7"/>
      <c r="C261" s="343" t="s">
        <v>374</v>
      </c>
      <c r="D261" s="7"/>
      <c r="E261" s="7" t="s">
        <v>4</v>
      </c>
      <c r="F261" s="7"/>
      <c r="G261" s="7"/>
      <c r="H261" s="7"/>
      <c r="I261" s="7"/>
      <c r="J261" s="12">
        <f t="shared" ref="J261:AF261" si="509">-J89*J75*J$4*J$252/1000</f>
        <v>0</v>
      </c>
      <c r="K261" s="12">
        <f t="shared" si="509"/>
        <v>0</v>
      </c>
      <c r="L261" s="12">
        <f t="shared" si="509"/>
        <v>0</v>
      </c>
      <c r="M261" s="12">
        <f t="shared" si="509"/>
        <v>0</v>
      </c>
      <c r="N261" s="12">
        <f t="shared" si="509"/>
        <v>0</v>
      </c>
      <c r="O261" s="12">
        <f t="shared" si="509"/>
        <v>0</v>
      </c>
      <c r="P261" s="12">
        <f t="shared" si="509"/>
        <v>0</v>
      </c>
      <c r="Q261" s="12">
        <f t="shared" si="509"/>
        <v>0</v>
      </c>
      <c r="R261" s="12">
        <f t="shared" si="509"/>
        <v>0</v>
      </c>
      <c r="S261" s="12">
        <f t="shared" si="509"/>
        <v>0</v>
      </c>
      <c r="T261" s="12">
        <f t="shared" si="509"/>
        <v>0</v>
      </c>
      <c r="U261" s="12">
        <f t="shared" si="509"/>
        <v>0</v>
      </c>
      <c r="V261" s="12">
        <f t="shared" si="509"/>
        <v>0</v>
      </c>
      <c r="W261" s="12">
        <f t="shared" si="509"/>
        <v>0</v>
      </c>
      <c r="X261" s="12">
        <f t="shared" si="509"/>
        <v>0</v>
      </c>
      <c r="Y261" s="12">
        <f t="shared" si="509"/>
        <v>0</v>
      </c>
      <c r="Z261" s="12">
        <f t="shared" si="509"/>
        <v>0</v>
      </c>
      <c r="AA261" s="12">
        <f t="shared" si="509"/>
        <v>0</v>
      </c>
      <c r="AB261" s="12">
        <f t="shared" si="509"/>
        <v>0</v>
      </c>
      <c r="AC261" s="12">
        <f t="shared" si="509"/>
        <v>0</v>
      </c>
      <c r="AD261" s="12">
        <f t="shared" si="509"/>
        <v>0</v>
      </c>
      <c r="AE261" s="12">
        <f t="shared" si="509"/>
        <v>0</v>
      </c>
      <c r="AF261" s="12">
        <f t="shared" si="509"/>
        <v>0</v>
      </c>
      <c r="AG261" s="12">
        <f>-AG89*AG75*AG$4*AG$252/1000</f>
        <v>0</v>
      </c>
      <c r="AH261" s="7"/>
      <c r="AI261" s="8">
        <f t="shared" si="506"/>
        <v>0</v>
      </c>
      <c r="AJ261" s="8">
        <f t="shared" si="506"/>
        <v>0</v>
      </c>
      <c r="AK261" s="8">
        <f>-AK89*AK75*AK$259/1000</f>
        <v>0</v>
      </c>
      <c r="AL261" s="8">
        <f t="shared" ref="AL261:AS261" si="510">-AL89*AL75*AL$259/1000</f>
        <v>0</v>
      </c>
      <c r="AM261" s="8">
        <f t="shared" si="510"/>
        <v>0</v>
      </c>
      <c r="AN261" s="8">
        <f t="shared" si="510"/>
        <v>0</v>
      </c>
      <c r="AO261" s="8">
        <f t="shared" si="510"/>
        <v>0</v>
      </c>
      <c r="AP261" s="8">
        <f t="shared" si="510"/>
        <v>0</v>
      </c>
      <c r="AQ261" s="8">
        <f t="shared" si="510"/>
        <v>0</v>
      </c>
      <c r="AR261" s="8">
        <f t="shared" si="510"/>
        <v>0</v>
      </c>
      <c r="AS261" s="8">
        <f t="shared" si="510"/>
        <v>0</v>
      </c>
      <c r="AT261" s="8">
        <f t="shared" ref="AT261" si="511">-AT89*AT75*AT$259/1000</f>
        <v>0</v>
      </c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</row>
    <row r="262" spans="1:69" ht="13.5" customHeight="1" x14ac:dyDescent="0.3">
      <c r="A262" s="7"/>
      <c r="B262" s="7"/>
      <c r="C262" s="343" t="s">
        <v>375</v>
      </c>
      <c r="D262" s="7"/>
      <c r="E262" s="7" t="s">
        <v>4</v>
      </c>
      <c r="F262" s="7"/>
      <c r="G262" s="7"/>
      <c r="H262" s="7"/>
      <c r="I262" s="7"/>
      <c r="J262" s="12">
        <f t="shared" ref="J262:AF262" si="512">-J90*J76*J$4*J$259/1000</f>
        <v>0</v>
      </c>
      <c r="K262" s="12">
        <f t="shared" ca="1" si="512"/>
        <v>0</v>
      </c>
      <c r="L262" s="12">
        <f t="shared" ca="1" si="512"/>
        <v>0</v>
      </c>
      <c r="M262" s="12">
        <f t="shared" ca="1" si="512"/>
        <v>0</v>
      </c>
      <c r="N262" s="12">
        <f t="shared" ca="1" si="512"/>
        <v>0</v>
      </c>
      <c r="O262" s="12">
        <f t="shared" ca="1" si="512"/>
        <v>0</v>
      </c>
      <c r="P262" s="12">
        <f t="shared" ca="1" si="512"/>
        <v>0</v>
      </c>
      <c r="Q262" s="12">
        <f t="shared" ca="1" si="512"/>
        <v>0</v>
      </c>
      <c r="R262" s="12">
        <f t="shared" ca="1" si="512"/>
        <v>0</v>
      </c>
      <c r="S262" s="12">
        <f t="shared" ca="1" si="512"/>
        <v>0</v>
      </c>
      <c r="T262" s="12">
        <f t="shared" ca="1" si="512"/>
        <v>0</v>
      </c>
      <c r="U262" s="12">
        <f ca="1">-U90*U76*U$4*U$259/1000</f>
        <v>0</v>
      </c>
      <c r="V262" s="12">
        <f t="shared" ca="1" si="512"/>
        <v>0</v>
      </c>
      <c r="W262" s="12">
        <f ca="1">-W90*W76*W$4*W$259/1000</f>
        <v>0</v>
      </c>
      <c r="X262" s="12">
        <f t="shared" ca="1" si="512"/>
        <v>0</v>
      </c>
      <c r="Y262" s="12">
        <f t="shared" ca="1" si="512"/>
        <v>0</v>
      </c>
      <c r="Z262" s="12">
        <f t="shared" ca="1" si="512"/>
        <v>0</v>
      </c>
      <c r="AA262" s="12">
        <f t="shared" ca="1" si="512"/>
        <v>0</v>
      </c>
      <c r="AB262" s="12">
        <f t="shared" ca="1" si="512"/>
        <v>0</v>
      </c>
      <c r="AC262" s="12">
        <f t="shared" ca="1" si="512"/>
        <v>0</v>
      </c>
      <c r="AD262" s="12">
        <f t="shared" ca="1" si="512"/>
        <v>0</v>
      </c>
      <c r="AE262" s="12">
        <f t="shared" ca="1" si="512"/>
        <v>0</v>
      </c>
      <c r="AF262" s="12">
        <f t="shared" ca="1" si="512"/>
        <v>0</v>
      </c>
      <c r="AG262" s="12">
        <f ca="1">-AG90*AG76*AG$4*AG$259/1000</f>
        <v>0</v>
      </c>
      <c r="AH262" s="7"/>
      <c r="AI262" s="8">
        <f t="shared" ca="1" si="506"/>
        <v>0</v>
      </c>
      <c r="AJ262" s="8">
        <f t="shared" ca="1" si="506"/>
        <v>0</v>
      </c>
      <c r="AK262" s="8">
        <f>-AK90*AK76*AK$259/1000</f>
        <v>0</v>
      </c>
      <c r="AL262" s="8">
        <f>-AL90*AL76*AL$259/1000</f>
        <v>0</v>
      </c>
      <c r="AM262" s="8">
        <f t="shared" ref="AM262:AS262" si="513">-AM90*AM76*AM$259/1000</f>
        <v>0</v>
      </c>
      <c r="AN262" s="8">
        <f t="shared" si="513"/>
        <v>0</v>
      </c>
      <c r="AO262" s="8">
        <f t="shared" si="513"/>
        <v>0</v>
      </c>
      <c r="AP262" s="8">
        <f t="shared" si="513"/>
        <v>0</v>
      </c>
      <c r="AQ262" s="8">
        <f t="shared" si="513"/>
        <v>0</v>
      </c>
      <c r="AR262" s="8">
        <f t="shared" si="513"/>
        <v>0</v>
      </c>
      <c r="AS262" s="8">
        <f t="shared" si="513"/>
        <v>0</v>
      </c>
      <c r="AT262" s="8">
        <f t="shared" ref="AT262" si="514">-AT90*AT76*AT$259/1000</f>
        <v>0</v>
      </c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</row>
    <row r="263" spans="1:69" ht="13.5" customHeight="1" x14ac:dyDescent="0.3">
      <c r="A263" s="7"/>
      <c r="B263" s="7"/>
      <c r="C263" s="343" t="s">
        <v>385</v>
      </c>
      <c r="D263" s="7"/>
      <c r="E263" s="7" t="s">
        <v>4</v>
      </c>
      <c r="F263" s="7"/>
      <c r="G263" s="7"/>
      <c r="H263" s="7"/>
      <c r="I263" s="7"/>
      <c r="J263" s="12">
        <f t="shared" ref="J263:AF263" si="515">-J94*J77*J$4*J$259/1000</f>
        <v>0</v>
      </c>
      <c r="K263" s="12">
        <f t="shared" ca="1" si="515"/>
        <v>0</v>
      </c>
      <c r="L263" s="12">
        <f t="shared" ca="1" si="515"/>
        <v>0</v>
      </c>
      <c r="M263" s="12">
        <f t="shared" ca="1" si="515"/>
        <v>0</v>
      </c>
      <c r="N263" s="12">
        <f t="shared" ca="1" si="515"/>
        <v>0</v>
      </c>
      <c r="O263" s="12">
        <f t="shared" ca="1" si="515"/>
        <v>0</v>
      </c>
      <c r="P263" s="12">
        <f t="shared" ca="1" si="515"/>
        <v>0</v>
      </c>
      <c r="Q263" s="12">
        <f t="shared" ca="1" si="515"/>
        <v>0</v>
      </c>
      <c r="R263" s="12">
        <f t="shared" ca="1" si="515"/>
        <v>0</v>
      </c>
      <c r="S263" s="12">
        <f t="shared" ca="1" si="515"/>
        <v>0</v>
      </c>
      <c r="T263" s="12">
        <f t="shared" ca="1" si="515"/>
        <v>0</v>
      </c>
      <c r="U263" s="12">
        <f t="shared" ca="1" si="515"/>
        <v>0</v>
      </c>
      <c r="V263" s="12">
        <f t="shared" ca="1" si="515"/>
        <v>0</v>
      </c>
      <c r="W263" s="12">
        <f t="shared" ca="1" si="515"/>
        <v>0</v>
      </c>
      <c r="X263" s="12">
        <f t="shared" ca="1" si="515"/>
        <v>0</v>
      </c>
      <c r="Y263" s="12">
        <f t="shared" ca="1" si="515"/>
        <v>0</v>
      </c>
      <c r="Z263" s="12">
        <f t="shared" ca="1" si="515"/>
        <v>0</v>
      </c>
      <c r="AA263" s="12">
        <f t="shared" ca="1" si="515"/>
        <v>0</v>
      </c>
      <c r="AB263" s="12">
        <f t="shared" ca="1" si="515"/>
        <v>0</v>
      </c>
      <c r="AC263" s="12">
        <f t="shared" ca="1" si="515"/>
        <v>0</v>
      </c>
      <c r="AD263" s="12">
        <f t="shared" ca="1" si="515"/>
        <v>0</v>
      </c>
      <c r="AE263" s="12">
        <f t="shared" ca="1" si="515"/>
        <v>0</v>
      </c>
      <c r="AF263" s="12">
        <f t="shared" ca="1" si="515"/>
        <v>0</v>
      </c>
      <c r="AG263" s="12">
        <f ca="1">-AG94*AG77*AG$4*AG$259/1000</f>
        <v>0</v>
      </c>
      <c r="AH263" s="7"/>
      <c r="AI263" s="8">
        <f t="shared" ca="1" si="506"/>
        <v>0</v>
      </c>
      <c r="AJ263" s="8">
        <f t="shared" ca="1" si="506"/>
        <v>0</v>
      </c>
      <c r="AK263" s="8">
        <f>-AK94*AK77*AK$259/1000</f>
        <v>0</v>
      </c>
      <c r="AL263" s="8">
        <f t="shared" ref="AL263:AS263" si="516">-AL94*AL77*AL$259/1000</f>
        <v>0</v>
      </c>
      <c r="AM263" s="8">
        <f t="shared" si="516"/>
        <v>0</v>
      </c>
      <c r="AN263" s="8">
        <f t="shared" si="516"/>
        <v>0</v>
      </c>
      <c r="AO263" s="8">
        <f t="shared" si="516"/>
        <v>0</v>
      </c>
      <c r="AP263" s="8">
        <f t="shared" si="516"/>
        <v>0</v>
      </c>
      <c r="AQ263" s="8">
        <f t="shared" si="516"/>
        <v>0</v>
      </c>
      <c r="AR263" s="8">
        <f t="shared" si="516"/>
        <v>0</v>
      </c>
      <c r="AS263" s="8">
        <f t="shared" si="516"/>
        <v>0</v>
      </c>
      <c r="AT263" s="8">
        <f t="shared" ref="AT263" si="517">-AT94*AT77*AT$259/1000</f>
        <v>0</v>
      </c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</row>
    <row r="264" spans="1:69" ht="13.5" customHeight="1" x14ac:dyDescent="0.3">
      <c r="A264" s="7"/>
      <c r="B264" s="7"/>
      <c r="C264" s="353" t="s">
        <v>32</v>
      </c>
      <c r="D264" s="7"/>
      <c r="E264" s="7" t="s">
        <v>4</v>
      </c>
      <c r="F264" s="7"/>
      <c r="G264" s="7"/>
      <c r="H264" s="7"/>
      <c r="I264" s="7"/>
      <c r="J264" s="12">
        <f t="shared" ref="J264:AF264" si="518">SUM(J260:J263)</f>
        <v>0</v>
      </c>
      <c r="K264" s="12">
        <f t="shared" ca="1" si="518"/>
        <v>0</v>
      </c>
      <c r="L264" s="12">
        <f t="shared" ca="1" si="518"/>
        <v>0</v>
      </c>
      <c r="M264" s="12">
        <f t="shared" ca="1" si="518"/>
        <v>0</v>
      </c>
      <c r="N264" s="12">
        <f t="shared" ca="1" si="518"/>
        <v>0</v>
      </c>
      <c r="O264" s="12">
        <f t="shared" ca="1" si="518"/>
        <v>0</v>
      </c>
      <c r="P264" s="12">
        <f t="shared" ca="1" si="518"/>
        <v>0</v>
      </c>
      <c r="Q264" s="12">
        <f t="shared" ca="1" si="518"/>
        <v>0</v>
      </c>
      <c r="R264" s="12">
        <f t="shared" ca="1" si="518"/>
        <v>0</v>
      </c>
      <c r="S264" s="12">
        <f t="shared" ca="1" si="518"/>
        <v>0</v>
      </c>
      <c r="T264" s="12">
        <f t="shared" ca="1" si="518"/>
        <v>0</v>
      </c>
      <c r="U264" s="12">
        <f t="shared" ca="1" si="518"/>
        <v>0</v>
      </c>
      <c r="V264" s="12">
        <f t="shared" ca="1" si="518"/>
        <v>0</v>
      </c>
      <c r="W264" s="12">
        <f t="shared" ca="1" si="518"/>
        <v>0</v>
      </c>
      <c r="X264" s="12">
        <f t="shared" ca="1" si="518"/>
        <v>0</v>
      </c>
      <c r="Y264" s="12">
        <f t="shared" ca="1" si="518"/>
        <v>0</v>
      </c>
      <c r="Z264" s="12">
        <f t="shared" ca="1" si="518"/>
        <v>0</v>
      </c>
      <c r="AA264" s="12">
        <f t="shared" ca="1" si="518"/>
        <v>0</v>
      </c>
      <c r="AB264" s="12">
        <f t="shared" ca="1" si="518"/>
        <v>0</v>
      </c>
      <c r="AC264" s="12">
        <f t="shared" ca="1" si="518"/>
        <v>0</v>
      </c>
      <c r="AD264" s="12">
        <f t="shared" ca="1" si="518"/>
        <v>0</v>
      </c>
      <c r="AE264" s="12">
        <f t="shared" ca="1" si="518"/>
        <v>0</v>
      </c>
      <c r="AF264" s="12">
        <f t="shared" ca="1" si="518"/>
        <v>0</v>
      </c>
      <c r="AG264" s="12">
        <f t="shared" ref="AG264" ca="1" si="519">SUM(AG260:AG263)</f>
        <v>0</v>
      </c>
      <c r="AH264" s="7"/>
      <c r="AI264" s="12">
        <f t="shared" ref="AI264:AS264" ca="1" si="520">SUM(AI260:AI263)</f>
        <v>0</v>
      </c>
      <c r="AJ264" s="12">
        <f t="shared" ca="1" si="520"/>
        <v>0</v>
      </c>
      <c r="AK264" s="12">
        <f t="shared" si="520"/>
        <v>0</v>
      </c>
      <c r="AL264" s="12">
        <f t="shared" si="520"/>
        <v>0</v>
      </c>
      <c r="AM264" s="12">
        <f t="shared" si="520"/>
        <v>0</v>
      </c>
      <c r="AN264" s="12">
        <f t="shared" si="520"/>
        <v>0</v>
      </c>
      <c r="AO264" s="12">
        <f t="shared" si="520"/>
        <v>0</v>
      </c>
      <c r="AP264" s="12">
        <f t="shared" si="520"/>
        <v>0</v>
      </c>
      <c r="AQ264" s="12">
        <f t="shared" si="520"/>
        <v>0</v>
      </c>
      <c r="AR264" s="12">
        <f t="shared" si="520"/>
        <v>0</v>
      </c>
      <c r="AS264" s="12">
        <f t="shared" si="520"/>
        <v>0</v>
      </c>
      <c r="AT264" s="12">
        <f t="shared" ref="AT264" si="521">SUM(AT260:AT263)</f>
        <v>0</v>
      </c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</row>
    <row r="265" spans="1:69" ht="13.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</row>
    <row r="266" spans="1:69" ht="13.5" customHeight="1" x14ac:dyDescent="0.3">
      <c r="A266" s="7"/>
      <c r="B266" s="7"/>
      <c r="C266" s="5" t="s">
        <v>466</v>
      </c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104">
        <f t="shared" ref="AI266:AT266" si="522">AI257</f>
        <v>0</v>
      </c>
      <c r="AJ266" s="104">
        <f t="shared" si="522"/>
        <v>0</v>
      </c>
      <c r="AK266" s="104">
        <f t="shared" si="522"/>
        <v>-115.32547848700464</v>
      </c>
      <c r="AL266" s="104">
        <f t="shared" ca="1" si="522"/>
        <v>-146.90338752803405</v>
      </c>
      <c r="AM266" s="104">
        <f t="shared" ca="1" si="522"/>
        <v>-197.31365221674781</v>
      </c>
      <c r="AN266" s="104">
        <f t="shared" ca="1" si="522"/>
        <v>-259.56594257343329</v>
      </c>
      <c r="AO266" s="104">
        <f t="shared" ca="1" si="522"/>
        <v>-286.39809762593626</v>
      </c>
      <c r="AP266" s="104">
        <f t="shared" ca="1" si="522"/>
        <v>-306.44596445975185</v>
      </c>
      <c r="AQ266" s="104">
        <f t="shared" ca="1" si="522"/>
        <v>-326.36495214963571</v>
      </c>
      <c r="AR266" s="104">
        <f t="shared" ca="1" si="522"/>
        <v>-345.94684927861385</v>
      </c>
      <c r="AS266" s="104">
        <f t="shared" ca="1" si="522"/>
        <v>-363.24419174254456</v>
      </c>
      <c r="AT266" s="104">
        <f t="shared" ca="1" si="522"/>
        <v>-381.40640132967184</v>
      </c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</row>
    <row r="267" spans="1:69" ht="13.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</row>
    <row r="268" spans="1:69" ht="13.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68" t="e">
        <f>AI266/AI176</f>
        <v>#DIV/0!</v>
      </c>
      <c r="AJ268" s="68" t="e">
        <f>AJ266/AJ176</f>
        <v>#DIV/0!</v>
      </c>
      <c r="AK268" s="68">
        <f t="shared" ref="AK268:AT268" si="523">AK266/AK176*1000</f>
        <v>-1734.2754</v>
      </c>
      <c r="AL268" s="68">
        <f t="shared" ca="1" si="523"/>
        <v>-1899.0315629999998</v>
      </c>
      <c r="AM268" s="68">
        <f t="shared" ca="1" si="523"/>
        <v>-2069.9444036700002</v>
      </c>
      <c r="AN268" s="68">
        <f t="shared" ca="1" si="523"/>
        <v>-2245.8896779819502</v>
      </c>
      <c r="AO268" s="68">
        <f t="shared" ca="1" si="523"/>
        <v>-2425.5608522205061</v>
      </c>
      <c r="AP268" s="68">
        <f t="shared" ca="1" si="523"/>
        <v>-2595.3501118759423</v>
      </c>
      <c r="AQ268" s="68">
        <f t="shared" ca="1" si="523"/>
        <v>-2764.0478691478784</v>
      </c>
      <c r="AR268" s="68">
        <f t="shared" ca="1" si="523"/>
        <v>-2929.890741296751</v>
      </c>
      <c r="AS268" s="68">
        <f t="shared" ca="1" si="523"/>
        <v>-3076.3852783615885</v>
      </c>
      <c r="AT268" s="68">
        <f t="shared" ca="1" si="523"/>
        <v>-3230.2045422796682</v>
      </c>
      <c r="AU268" s="68">
        <f ca="1">AVERAGE(AK268:AR268)</f>
        <v>-2332.9988273991285</v>
      </c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</row>
    <row r="269" spans="1:69" ht="13.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</row>
    <row r="270" spans="1:69" ht="13.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68">
        <f t="shared" ref="AK270:AT270" si="524">AK268+AJ193</f>
        <v>-1730.2754</v>
      </c>
      <c r="AL270" s="68">
        <f t="shared" ca="1" si="524"/>
        <v>-1895.0315629999998</v>
      </c>
      <c r="AM270" s="68">
        <f t="shared" ca="1" si="524"/>
        <v>-2065.9444036700002</v>
      </c>
      <c r="AN270" s="68">
        <f t="shared" ca="1" si="524"/>
        <v>-2241.8896779819502</v>
      </c>
      <c r="AO270" s="68">
        <f t="shared" ca="1" si="524"/>
        <v>-2421.5608522205061</v>
      </c>
      <c r="AP270" s="68">
        <f t="shared" ca="1" si="524"/>
        <v>-2591.3501118759423</v>
      </c>
      <c r="AQ270" s="68">
        <f t="shared" ca="1" si="524"/>
        <v>-2760.0478691478784</v>
      </c>
      <c r="AR270" s="68">
        <f t="shared" ca="1" si="524"/>
        <v>-2925.890741296751</v>
      </c>
      <c r="AS270" s="68">
        <f t="shared" ca="1" si="524"/>
        <v>-3072.3852783615885</v>
      </c>
      <c r="AT270" s="68">
        <f t="shared" ca="1" si="524"/>
        <v>-3226.2045422796682</v>
      </c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</row>
    <row r="271" spans="1:69" ht="13.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</row>
    <row r="272" spans="1:69" ht="13.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</row>
    <row r="273" spans="1:69" ht="13.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</row>
    <row r="274" spans="1:69" ht="13.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</row>
    <row r="275" spans="1:69" ht="13.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</row>
    <row r="276" spans="1:69" ht="13.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</row>
    <row r="277" spans="1:69" ht="13.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</row>
    <row r="278" spans="1:69" ht="13.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</row>
    <row r="279" spans="1:69" ht="13.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</row>
    <row r="280" spans="1:69" ht="13.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</row>
    <row r="281" spans="1:69" ht="13.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</row>
    <row r="282" spans="1:69" ht="13.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</row>
    <row r="283" spans="1:69" ht="13.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</row>
    <row r="284" spans="1:69" ht="13.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</row>
    <row r="285" spans="1:69" ht="13.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</row>
    <row r="286" spans="1:69" ht="13.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</row>
    <row r="287" spans="1:69" ht="13.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</row>
    <row r="288" spans="1:69" ht="13.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</row>
    <row r="289" spans="1:69" ht="13.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</row>
    <row r="290" spans="1:69" ht="13.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</row>
    <row r="291" spans="1:69" ht="13.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</row>
    <row r="292" spans="1:69" ht="13.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</row>
    <row r="293" spans="1:69" ht="13.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</row>
    <row r="294" spans="1:69" ht="13.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</row>
    <row r="295" spans="1:69" ht="13.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</row>
    <row r="296" spans="1:69" ht="13.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</row>
    <row r="297" spans="1:69" ht="13.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</row>
    <row r="298" spans="1:69" ht="13.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</row>
    <row r="299" spans="1:69" ht="13.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</row>
    <row r="300" spans="1:69" ht="13.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</row>
    <row r="301" spans="1:69" ht="13.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</row>
    <row r="302" spans="1:69" ht="13.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</row>
    <row r="303" spans="1:69" ht="13.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</row>
    <row r="304" spans="1:69" ht="13.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</row>
    <row r="305" spans="1:69" ht="13.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</row>
    <row r="306" spans="1:69" ht="13.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</row>
    <row r="307" spans="1:69" ht="13.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</row>
    <row r="308" spans="1:69" ht="13.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</row>
    <row r="309" spans="1:69" ht="13.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</row>
    <row r="310" spans="1:69" ht="13.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</row>
    <row r="311" spans="1:69" ht="13.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</row>
    <row r="312" spans="1:69" ht="13.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</row>
    <row r="313" spans="1:69" ht="13.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</row>
    <row r="314" spans="1:69" ht="13.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</row>
    <row r="315" spans="1:69" ht="13.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</row>
    <row r="316" spans="1:69" ht="13.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</row>
    <row r="317" spans="1:69" ht="13.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</row>
    <row r="318" spans="1:69" ht="13.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</row>
    <row r="319" spans="1:69" ht="13.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</row>
    <row r="320" spans="1:69" ht="13.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</row>
    <row r="321" spans="1:69" ht="13.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</row>
    <row r="322" spans="1:69" ht="13.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</row>
    <row r="323" spans="1:69" ht="13.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</row>
    <row r="324" spans="1:69" ht="13.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</row>
    <row r="325" spans="1:69" ht="13.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</row>
    <row r="326" spans="1:69" ht="13.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</row>
    <row r="327" spans="1:69" ht="13.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</row>
    <row r="328" spans="1:69" ht="13.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</row>
    <row r="329" spans="1:69" ht="13.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</row>
    <row r="330" spans="1:69" ht="13.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</row>
    <row r="331" spans="1:69" ht="13.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</row>
    <row r="332" spans="1:69" ht="13.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</row>
    <row r="333" spans="1:69" ht="13.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</row>
    <row r="334" spans="1:69" ht="13.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</row>
    <row r="335" spans="1:69" ht="13.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</row>
    <row r="336" spans="1:69" ht="13.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</row>
    <row r="337" spans="1:69" ht="13.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</row>
    <row r="338" spans="1:69" ht="13.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</row>
    <row r="339" spans="1:69" ht="13.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</row>
    <row r="340" spans="1:69" ht="13.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</row>
    <row r="341" spans="1:69" ht="13.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</row>
    <row r="342" spans="1:69" ht="13.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</row>
    <row r="343" spans="1:69" ht="13.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</row>
    <row r="344" spans="1:69" ht="13.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</row>
    <row r="345" spans="1:69" ht="13.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</row>
    <row r="346" spans="1:69" ht="13.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</row>
    <row r="347" spans="1:69" ht="13.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</row>
    <row r="348" spans="1:69" ht="13.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</row>
    <row r="349" spans="1:69" ht="13.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</row>
    <row r="350" spans="1:69" ht="13.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</row>
    <row r="351" spans="1:69" ht="13.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</row>
    <row r="352" spans="1:69" ht="13.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</row>
    <row r="353" spans="1:69" ht="13.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</row>
    <row r="354" spans="1:69" ht="13.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</row>
    <row r="355" spans="1:69" ht="13.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</row>
    <row r="356" spans="1:69" ht="13.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</row>
    <row r="357" spans="1:69" ht="13.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</row>
    <row r="358" spans="1:69" ht="13.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</row>
    <row r="359" spans="1:69" ht="13.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</row>
    <row r="360" spans="1:69" ht="13.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</row>
    <row r="361" spans="1:69" ht="13.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</row>
    <row r="362" spans="1:69" ht="13.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</row>
    <row r="363" spans="1:69" ht="13.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</row>
    <row r="364" spans="1:69" ht="13.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</row>
    <row r="365" spans="1:69" ht="13.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</row>
    <row r="366" spans="1:69" ht="13.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</row>
    <row r="367" spans="1:69" ht="13.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</row>
    <row r="368" spans="1:69" ht="13.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</row>
    <row r="369" spans="1:69" ht="13.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</row>
    <row r="370" spans="1:69" ht="13.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</row>
    <row r="371" spans="1:69" ht="13.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</row>
    <row r="372" spans="1:69" ht="13.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</row>
    <row r="373" spans="1:69" ht="13.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</row>
    <row r="374" spans="1:69" ht="13.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</row>
    <row r="375" spans="1:69" ht="13.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</row>
    <row r="376" spans="1:69" ht="13.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</row>
    <row r="377" spans="1:69" ht="13.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</row>
    <row r="378" spans="1:69" ht="13.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</row>
    <row r="379" spans="1:69" ht="13.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</row>
    <row r="380" spans="1:69" ht="13.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</row>
    <row r="381" spans="1:69" ht="13.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</row>
    <row r="382" spans="1:69" ht="13.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</row>
    <row r="383" spans="1:69" ht="13.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</row>
    <row r="384" spans="1:69" ht="13.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</row>
    <row r="385" spans="1:69" ht="13.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</row>
    <row r="386" spans="1:69" ht="13.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</row>
    <row r="387" spans="1:69" ht="13.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</row>
    <row r="388" spans="1:69" ht="13.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</row>
    <row r="389" spans="1:69" ht="13.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</row>
    <row r="390" spans="1:69" ht="13.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</row>
    <row r="391" spans="1:69" ht="13.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</row>
    <row r="392" spans="1:69" ht="13.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</row>
    <row r="393" spans="1:69" ht="13.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</row>
    <row r="394" spans="1:69" ht="13.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</row>
    <row r="395" spans="1:69" ht="13.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</row>
    <row r="396" spans="1:69" ht="13.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</row>
    <row r="397" spans="1:69" ht="13.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</row>
    <row r="398" spans="1:69" ht="13.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</row>
    <row r="399" spans="1:69" ht="13.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</row>
    <row r="400" spans="1:69" ht="13.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</row>
    <row r="401" spans="1:69" ht="13.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</row>
    <row r="402" spans="1:69" ht="13.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</row>
    <row r="403" spans="1:69" ht="13.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</row>
    <row r="404" spans="1:69" ht="13.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</row>
    <row r="405" spans="1:69" ht="13.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</row>
    <row r="406" spans="1:69" ht="13.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</row>
    <row r="407" spans="1:69" ht="13.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</row>
    <row r="408" spans="1:69" ht="13.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</row>
    <row r="409" spans="1:69" ht="13.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</row>
    <row r="410" spans="1:69" ht="13.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</row>
    <row r="411" spans="1:69" ht="13.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</row>
    <row r="412" spans="1:69" ht="13.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</row>
    <row r="413" spans="1:69" ht="13.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</row>
    <row r="414" spans="1:69" ht="13.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</row>
    <row r="415" spans="1:69" ht="13.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</row>
    <row r="416" spans="1:69" ht="13.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</row>
    <row r="417" spans="1:69" ht="13.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</row>
    <row r="418" spans="1:69" ht="13.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</row>
    <row r="419" spans="1:69" ht="13.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</row>
    <row r="420" spans="1:69" ht="13.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</row>
    <row r="421" spans="1:69" ht="13.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</row>
    <row r="422" spans="1:69" ht="13.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</row>
    <row r="423" spans="1:69" ht="13.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</row>
    <row r="424" spans="1:69" ht="13.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</row>
    <row r="425" spans="1:69" ht="13.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</row>
    <row r="426" spans="1:69" ht="13.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</row>
    <row r="427" spans="1:69" ht="13.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</row>
    <row r="428" spans="1:69" ht="13.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</row>
    <row r="429" spans="1:69" ht="13.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</row>
    <row r="430" spans="1:69" ht="13.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</row>
    <row r="431" spans="1:69" ht="13.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</row>
    <row r="432" spans="1:69" ht="13.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</row>
    <row r="433" spans="1:69" ht="13.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</row>
    <row r="434" spans="1:69" ht="13.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</row>
    <row r="435" spans="1:69" ht="13.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</row>
    <row r="436" spans="1:69" ht="13.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</row>
    <row r="437" spans="1:69" ht="13.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</row>
    <row r="438" spans="1:69" ht="13.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</row>
    <row r="439" spans="1:69" ht="13.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</row>
    <row r="440" spans="1:69" ht="13.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</row>
    <row r="441" spans="1:69" ht="13.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</row>
    <row r="442" spans="1:69" ht="13.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</row>
    <row r="443" spans="1:69" ht="13.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</row>
    <row r="444" spans="1:69" ht="13.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</row>
    <row r="445" spans="1:69" ht="13.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</row>
    <row r="446" spans="1:69" ht="13.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</row>
    <row r="447" spans="1:69" ht="13.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</row>
    <row r="448" spans="1:69" ht="13.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</row>
    <row r="449" spans="1:69" ht="13.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</row>
    <row r="450" spans="1:69" ht="13.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</row>
    <row r="451" spans="1:69" ht="13.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</row>
    <row r="452" spans="1:69" ht="13.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</row>
    <row r="453" spans="1:69" ht="13.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</row>
    <row r="454" spans="1:69" ht="13.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</row>
    <row r="455" spans="1:69" ht="13.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</row>
    <row r="456" spans="1:69" ht="13.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</row>
    <row r="457" spans="1:69" ht="13.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</row>
    <row r="458" spans="1:69" ht="13.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</row>
    <row r="459" spans="1:69" ht="13.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</row>
    <row r="460" spans="1:69" ht="13.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</row>
    <row r="461" spans="1:69" ht="13.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</row>
    <row r="462" spans="1:69" ht="13.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</row>
    <row r="463" spans="1:69" ht="13.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</row>
    <row r="464" spans="1:69" ht="13.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</row>
    <row r="465" spans="1:69" ht="13.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</row>
    <row r="466" spans="1:69" ht="13.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</row>
    <row r="467" spans="1:69" ht="13.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</row>
    <row r="468" spans="1:69" ht="13.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</row>
    <row r="469" spans="1:69" ht="13.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</row>
    <row r="470" spans="1:69" ht="13.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</row>
  </sheetData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Y280"/>
  <sheetViews>
    <sheetView topLeftCell="CT1" zoomScale="70" zoomScaleNormal="70" workbookViewId="0">
      <selection activeCell="DY33" sqref="DY33"/>
    </sheetView>
  </sheetViews>
  <sheetFormatPr defaultColWidth="14.44140625" defaultRowHeight="15" customHeight="1" x14ac:dyDescent="0.3"/>
  <cols>
    <col min="1" max="1" width="3.44140625" customWidth="1"/>
    <col min="2" max="2" width="2.6640625" customWidth="1"/>
    <col min="3" max="3" width="51" customWidth="1"/>
    <col min="4" max="4" width="12.44140625" customWidth="1"/>
    <col min="5" max="5" width="11.33203125" customWidth="1"/>
    <col min="6" max="6" width="11.6640625" customWidth="1"/>
    <col min="7" max="7" width="8.88671875" customWidth="1"/>
    <col min="8" max="8" width="6.33203125" customWidth="1"/>
    <col min="9" max="9" width="14.33203125" customWidth="1"/>
    <col min="10" max="81" width="10" customWidth="1"/>
    <col min="82" max="129" width="8.5546875" customWidth="1"/>
  </cols>
  <sheetData>
    <row r="1" spans="1:129" ht="13.5" customHeight="1" x14ac:dyDescent="0.3">
      <c r="A1" s="3"/>
      <c r="B1" s="3" t="s">
        <v>717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2"/>
      <c r="BH1" s="122"/>
      <c r="BI1" s="122"/>
      <c r="BJ1" s="122"/>
      <c r="BK1" s="122"/>
      <c r="BL1" s="122"/>
      <c r="BM1" s="122"/>
      <c r="BN1" s="122"/>
      <c r="BO1" s="122"/>
      <c r="BP1" s="122"/>
      <c r="BQ1" s="122"/>
      <c r="BR1" s="122"/>
      <c r="BS1" s="122"/>
      <c r="BT1" s="122"/>
      <c r="BU1" s="122"/>
      <c r="BV1" s="122"/>
      <c r="BW1" s="122"/>
      <c r="BX1" s="122"/>
      <c r="BY1" s="122"/>
      <c r="BZ1" s="122"/>
      <c r="CA1" s="122"/>
      <c r="CB1" s="122"/>
      <c r="CC1" s="122"/>
      <c r="CD1" s="122"/>
      <c r="CE1" s="122"/>
      <c r="CF1" s="122"/>
      <c r="CG1" s="122"/>
      <c r="CH1" s="122"/>
      <c r="CI1" s="122"/>
      <c r="CJ1" s="122"/>
      <c r="CK1" s="122"/>
      <c r="CL1" s="122"/>
      <c r="CM1" s="122"/>
      <c r="CN1" s="122"/>
      <c r="CO1" s="122"/>
      <c r="CP1" s="122"/>
      <c r="CQ1" s="122"/>
      <c r="CR1" s="122"/>
      <c r="CS1" s="122"/>
      <c r="CT1" s="122"/>
      <c r="CU1" s="122"/>
      <c r="CV1" s="122"/>
      <c r="CW1" s="122"/>
      <c r="CX1" s="122"/>
      <c r="CY1" s="122"/>
      <c r="CZ1" s="122"/>
      <c r="DA1" s="122"/>
      <c r="DB1" s="122"/>
      <c r="DC1" s="122"/>
      <c r="DD1" s="122"/>
      <c r="DE1" s="122"/>
      <c r="DF1" s="122"/>
      <c r="DG1" s="122"/>
      <c r="DH1" s="122"/>
      <c r="DI1" s="122"/>
      <c r="DJ1" s="122"/>
      <c r="DK1" s="122"/>
      <c r="DL1" s="122"/>
      <c r="DM1" s="122"/>
      <c r="DN1" s="122"/>
      <c r="DO1" s="122"/>
      <c r="DP1" s="122"/>
      <c r="DQ1" s="122"/>
      <c r="DR1" s="122"/>
      <c r="DS1" s="122"/>
      <c r="DT1" s="122"/>
      <c r="DU1" s="122"/>
      <c r="DV1" s="122"/>
      <c r="DW1" s="122"/>
      <c r="DX1" s="122"/>
      <c r="DY1" s="122"/>
    </row>
    <row r="2" spans="1:129" ht="13.5" customHeight="1" x14ac:dyDescent="0.3">
      <c r="B2" s="7" t="s">
        <v>467</v>
      </c>
      <c r="E2" s="181">
        <v>46235</v>
      </c>
    </row>
    <row r="3" spans="1:129" ht="13.5" customHeight="1" x14ac:dyDescent="0.3">
      <c r="B3" s="7" t="s">
        <v>738</v>
      </c>
      <c r="D3" s="7" t="s">
        <v>4</v>
      </c>
      <c r="E3" s="8">
        <f>Input!G56</f>
        <v>358330.37370900001</v>
      </c>
    </row>
    <row r="4" spans="1:129" ht="13.5" customHeight="1" x14ac:dyDescent="0.3">
      <c r="B4" s="15" t="s">
        <v>271</v>
      </c>
      <c r="C4" s="7"/>
      <c r="D4" s="15" t="s">
        <v>10</v>
      </c>
      <c r="E4" s="127">
        <f>Output!D190</f>
        <v>0.05</v>
      </c>
    </row>
    <row r="5" spans="1:129" ht="13.5" customHeight="1" x14ac:dyDescent="0.3">
      <c r="B5" s="7" t="s">
        <v>468</v>
      </c>
      <c r="D5" s="7" t="s">
        <v>12</v>
      </c>
      <c r="E5" s="15">
        <v>10</v>
      </c>
    </row>
    <row r="6" spans="1:129" ht="13.5" customHeight="1" x14ac:dyDescent="0.3">
      <c r="B6" s="7" t="s">
        <v>469</v>
      </c>
      <c r="D6" s="7" t="s">
        <v>12</v>
      </c>
      <c r="E6" s="15">
        <v>2</v>
      </c>
    </row>
    <row r="7" spans="1:129" ht="13.5" customHeight="1" x14ac:dyDescent="0.3"/>
    <row r="8" spans="1:129" ht="13.5" customHeight="1" x14ac:dyDescent="0.3">
      <c r="B8" s="7" t="s">
        <v>274</v>
      </c>
      <c r="D8" s="7" t="s">
        <v>361</v>
      </c>
      <c r="E8" s="15">
        <v>12</v>
      </c>
      <c r="G8" s="7" t="s">
        <v>470</v>
      </c>
    </row>
    <row r="9" spans="1:129" ht="13.5" customHeight="1" x14ac:dyDescent="0.3">
      <c r="B9" s="7" t="s">
        <v>471</v>
      </c>
      <c r="D9" s="7" t="s">
        <v>361</v>
      </c>
      <c r="E9" s="15">
        <v>12</v>
      </c>
      <c r="G9" s="7" t="s">
        <v>470</v>
      </c>
    </row>
    <row r="10" spans="1:129" ht="13.5" customHeight="1" x14ac:dyDescent="0.3"/>
    <row r="11" spans="1:129" ht="13.5" customHeight="1" x14ac:dyDescent="0.3">
      <c r="B11" s="7" t="s">
        <v>471</v>
      </c>
      <c r="D11" s="20">
        <v>2026</v>
      </c>
      <c r="E11" s="49">
        <v>0</v>
      </c>
      <c r="F11" s="55">
        <f t="shared" ref="F11:F21" si="0">$E$3*E11</f>
        <v>0</v>
      </c>
    </row>
    <row r="12" spans="1:129" ht="13.5" customHeight="1" x14ac:dyDescent="0.3">
      <c r="D12" s="20">
        <f t="shared" ref="D12:D21" si="1">D11+1</f>
        <v>2027</v>
      </c>
      <c r="E12" s="49">
        <v>0</v>
      </c>
      <c r="F12" s="55">
        <f t="shared" si="0"/>
        <v>0</v>
      </c>
    </row>
    <row r="13" spans="1:129" ht="13.5" customHeight="1" x14ac:dyDescent="0.3">
      <c r="C13" s="462">
        <f>100%/9</f>
        <v>0.1111111111111111</v>
      </c>
      <c r="D13" s="20">
        <f t="shared" si="1"/>
        <v>2028</v>
      </c>
      <c r="E13" s="49">
        <v>0.11</v>
      </c>
      <c r="F13" s="55">
        <f t="shared" si="0"/>
        <v>39416.341107990003</v>
      </c>
    </row>
    <row r="14" spans="1:129" ht="13.5" customHeight="1" x14ac:dyDescent="0.3">
      <c r="D14" s="20">
        <f t="shared" si="1"/>
        <v>2029</v>
      </c>
      <c r="E14" s="49">
        <v>0.11</v>
      </c>
      <c r="F14" s="55">
        <f t="shared" si="0"/>
        <v>39416.341107990003</v>
      </c>
    </row>
    <row r="15" spans="1:129" ht="13.5" customHeight="1" x14ac:dyDescent="0.3">
      <c r="D15" s="20">
        <f t="shared" si="1"/>
        <v>2030</v>
      </c>
      <c r="E15" s="49">
        <v>0.11</v>
      </c>
      <c r="F15" s="55">
        <f t="shared" si="0"/>
        <v>39416.341107990003</v>
      </c>
    </row>
    <row r="16" spans="1:129" ht="13.5" customHeight="1" x14ac:dyDescent="0.3">
      <c r="D16" s="20">
        <f t="shared" si="1"/>
        <v>2031</v>
      </c>
      <c r="E16" s="49">
        <v>0.11</v>
      </c>
      <c r="F16" s="55">
        <f t="shared" si="0"/>
        <v>39416.341107990003</v>
      </c>
    </row>
    <row r="17" spans="1:129" ht="13.5" customHeight="1" x14ac:dyDescent="0.3">
      <c r="D17" s="20">
        <f t="shared" si="1"/>
        <v>2032</v>
      </c>
      <c r="E17" s="49">
        <v>0.11</v>
      </c>
      <c r="F17" s="55">
        <f t="shared" si="0"/>
        <v>39416.341107990003</v>
      </c>
    </row>
    <row r="18" spans="1:129" ht="13.5" customHeight="1" x14ac:dyDescent="0.3">
      <c r="D18" s="20">
        <f t="shared" si="1"/>
        <v>2033</v>
      </c>
      <c r="E18" s="49">
        <v>0.11</v>
      </c>
      <c r="F18" s="55">
        <f t="shared" si="0"/>
        <v>39416.341107990003</v>
      </c>
    </row>
    <row r="19" spans="1:129" ht="13.5" customHeight="1" x14ac:dyDescent="0.3">
      <c r="D19" s="20">
        <f t="shared" si="1"/>
        <v>2034</v>
      </c>
      <c r="E19" s="49">
        <v>0.11</v>
      </c>
      <c r="F19" s="55">
        <f t="shared" si="0"/>
        <v>39416.341107990003</v>
      </c>
    </row>
    <row r="20" spans="1:129" ht="13.5" customHeight="1" x14ac:dyDescent="0.3">
      <c r="D20" s="20">
        <f t="shared" si="1"/>
        <v>2035</v>
      </c>
      <c r="E20" s="49">
        <v>0.11</v>
      </c>
      <c r="F20" s="55">
        <f t="shared" si="0"/>
        <v>39416.341107990003</v>
      </c>
    </row>
    <row r="21" spans="1:129" ht="13.5" customHeight="1" x14ac:dyDescent="0.3">
      <c r="D21" s="20">
        <f t="shared" si="1"/>
        <v>2036</v>
      </c>
      <c r="E21" s="49">
        <f>100%-SUM(E11:E20)</f>
        <v>0.12</v>
      </c>
      <c r="F21" s="55">
        <f t="shared" si="0"/>
        <v>42999.644845080002</v>
      </c>
    </row>
    <row r="22" spans="1:129" ht="13.5" customHeight="1" x14ac:dyDescent="0.3">
      <c r="E22" s="49">
        <f t="shared" ref="E22:F22" si="2">SUM(E11:E21)</f>
        <v>1</v>
      </c>
      <c r="F22" s="55">
        <f t="shared" si="2"/>
        <v>358330.37370900001</v>
      </c>
    </row>
    <row r="23" spans="1:129" ht="13.5" customHeight="1" x14ac:dyDescent="0.3">
      <c r="J23" s="10">
        <f t="shared" ref="J23:DY23" si="3">YEAR(J26)</f>
        <v>2026</v>
      </c>
      <c r="K23" s="10">
        <f t="shared" si="3"/>
        <v>2026</v>
      </c>
      <c r="L23" s="10">
        <f t="shared" si="3"/>
        <v>2026</v>
      </c>
      <c r="M23" s="10">
        <f t="shared" si="3"/>
        <v>2026</v>
      </c>
      <c r="N23" s="10">
        <f t="shared" si="3"/>
        <v>2026</v>
      </c>
      <c r="O23" s="10">
        <f t="shared" si="3"/>
        <v>2027</v>
      </c>
      <c r="P23" s="10">
        <f t="shared" si="3"/>
        <v>2027</v>
      </c>
      <c r="Q23" s="10">
        <f t="shared" si="3"/>
        <v>2027</v>
      </c>
      <c r="R23" s="10">
        <f t="shared" si="3"/>
        <v>2027</v>
      </c>
      <c r="S23" s="10">
        <f t="shared" si="3"/>
        <v>2027</v>
      </c>
      <c r="T23" s="10">
        <f t="shared" si="3"/>
        <v>2027</v>
      </c>
      <c r="U23" s="10">
        <f t="shared" si="3"/>
        <v>2027</v>
      </c>
      <c r="V23" s="10">
        <f t="shared" si="3"/>
        <v>2027</v>
      </c>
      <c r="W23" s="10">
        <f t="shared" si="3"/>
        <v>2027</v>
      </c>
      <c r="X23" s="10">
        <f t="shared" si="3"/>
        <v>2027</v>
      </c>
      <c r="Y23" s="10">
        <f t="shared" si="3"/>
        <v>2027</v>
      </c>
      <c r="Z23" s="10">
        <f t="shared" si="3"/>
        <v>2027</v>
      </c>
      <c r="AA23" s="10">
        <f t="shared" si="3"/>
        <v>2028</v>
      </c>
      <c r="AB23" s="10">
        <f t="shared" si="3"/>
        <v>2028</v>
      </c>
      <c r="AC23" s="10">
        <f t="shared" si="3"/>
        <v>2028</v>
      </c>
      <c r="AD23" s="10">
        <f t="shared" si="3"/>
        <v>2028</v>
      </c>
      <c r="AE23" s="10">
        <f t="shared" si="3"/>
        <v>2028</v>
      </c>
      <c r="AF23" s="10">
        <f t="shared" si="3"/>
        <v>2028</v>
      </c>
      <c r="AG23" s="10">
        <f t="shared" si="3"/>
        <v>2028</v>
      </c>
      <c r="AH23" s="10">
        <f t="shared" si="3"/>
        <v>2028</v>
      </c>
      <c r="AI23" s="10">
        <f t="shared" si="3"/>
        <v>2028</v>
      </c>
      <c r="AJ23" s="10">
        <f t="shared" si="3"/>
        <v>2028</v>
      </c>
      <c r="AK23" s="10">
        <f t="shared" si="3"/>
        <v>2028</v>
      </c>
      <c r="AL23" s="10">
        <f t="shared" si="3"/>
        <v>2028</v>
      </c>
      <c r="AM23" s="10">
        <f t="shared" si="3"/>
        <v>2029</v>
      </c>
      <c r="AN23" s="10">
        <f t="shared" si="3"/>
        <v>2029</v>
      </c>
      <c r="AO23" s="10">
        <f t="shared" si="3"/>
        <v>2029</v>
      </c>
      <c r="AP23" s="10">
        <f t="shared" si="3"/>
        <v>2029</v>
      </c>
      <c r="AQ23" s="10">
        <f t="shared" si="3"/>
        <v>2029</v>
      </c>
      <c r="AR23" s="10">
        <f t="shared" si="3"/>
        <v>2029</v>
      </c>
      <c r="AS23" s="10">
        <f t="shared" si="3"/>
        <v>2029</v>
      </c>
      <c r="AT23" s="10">
        <f t="shared" si="3"/>
        <v>2029</v>
      </c>
      <c r="AU23" s="10">
        <f t="shared" si="3"/>
        <v>2029</v>
      </c>
      <c r="AV23" s="10">
        <f t="shared" si="3"/>
        <v>2029</v>
      </c>
      <c r="AW23" s="10">
        <f t="shared" si="3"/>
        <v>2029</v>
      </c>
      <c r="AX23" s="10">
        <f t="shared" si="3"/>
        <v>2029</v>
      </c>
      <c r="AY23" s="10">
        <f t="shared" si="3"/>
        <v>2030</v>
      </c>
      <c r="AZ23" s="10">
        <f t="shared" si="3"/>
        <v>2030</v>
      </c>
      <c r="BA23" s="10">
        <f t="shared" si="3"/>
        <v>2030</v>
      </c>
      <c r="BB23" s="10">
        <f t="shared" si="3"/>
        <v>2030</v>
      </c>
      <c r="BC23" s="10">
        <f t="shared" si="3"/>
        <v>2030</v>
      </c>
      <c r="BD23" s="10">
        <f t="shared" si="3"/>
        <v>2030</v>
      </c>
      <c r="BE23" s="10">
        <f t="shared" si="3"/>
        <v>2030</v>
      </c>
      <c r="BF23" s="10">
        <f t="shared" si="3"/>
        <v>2030</v>
      </c>
      <c r="BG23" s="10">
        <f t="shared" si="3"/>
        <v>2030</v>
      </c>
      <c r="BH23" s="10">
        <f t="shared" si="3"/>
        <v>2030</v>
      </c>
      <c r="BI23" s="10">
        <f t="shared" si="3"/>
        <v>2030</v>
      </c>
      <c r="BJ23" s="10">
        <f t="shared" si="3"/>
        <v>2030</v>
      </c>
      <c r="BK23" s="10">
        <f t="shared" si="3"/>
        <v>2031</v>
      </c>
      <c r="BL23" s="10">
        <f t="shared" si="3"/>
        <v>2031</v>
      </c>
      <c r="BM23" s="10">
        <f t="shared" si="3"/>
        <v>2031</v>
      </c>
      <c r="BN23" s="10">
        <f t="shared" si="3"/>
        <v>2031</v>
      </c>
      <c r="BO23" s="10">
        <f t="shared" si="3"/>
        <v>2031</v>
      </c>
      <c r="BP23" s="10">
        <f t="shared" si="3"/>
        <v>2031</v>
      </c>
      <c r="BQ23" s="10">
        <f t="shared" si="3"/>
        <v>2031</v>
      </c>
      <c r="BR23" s="10">
        <f t="shared" si="3"/>
        <v>2031</v>
      </c>
      <c r="BS23" s="10">
        <f t="shared" si="3"/>
        <v>2031</v>
      </c>
      <c r="BT23" s="10">
        <f t="shared" si="3"/>
        <v>2031</v>
      </c>
      <c r="BU23" s="10">
        <f t="shared" si="3"/>
        <v>2031</v>
      </c>
      <c r="BV23" s="10">
        <f t="shared" si="3"/>
        <v>2031</v>
      </c>
      <c r="BW23" s="10">
        <f t="shared" si="3"/>
        <v>2032</v>
      </c>
      <c r="BX23" s="10">
        <f t="shared" si="3"/>
        <v>2032</v>
      </c>
      <c r="BY23" s="10">
        <f t="shared" si="3"/>
        <v>2032</v>
      </c>
      <c r="BZ23" s="10">
        <f t="shared" si="3"/>
        <v>2032</v>
      </c>
      <c r="CA23" s="10">
        <f t="shared" si="3"/>
        <v>2032</v>
      </c>
      <c r="CB23" s="10">
        <f t="shared" si="3"/>
        <v>2032</v>
      </c>
      <c r="CC23" s="10">
        <f t="shared" si="3"/>
        <v>2032</v>
      </c>
      <c r="CD23" s="10">
        <f t="shared" si="3"/>
        <v>2032</v>
      </c>
      <c r="CE23" s="10">
        <f t="shared" si="3"/>
        <v>2032</v>
      </c>
      <c r="CF23" s="10">
        <f t="shared" si="3"/>
        <v>2032</v>
      </c>
      <c r="CG23" s="10">
        <f t="shared" si="3"/>
        <v>2032</v>
      </c>
      <c r="CH23" s="10">
        <f t="shared" si="3"/>
        <v>2032</v>
      </c>
      <c r="CI23" s="10">
        <f t="shared" si="3"/>
        <v>2033</v>
      </c>
      <c r="CJ23" s="10">
        <f t="shared" si="3"/>
        <v>2033</v>
      </c>
      <c r="CK23" s="10">
        <f t="shared" si="3"/>
        <v>2033</v>
      </c>
      <c r="CL23" s="10">
        <f t="shared" si="3"/>
        <v>2033</v>
      </c>
      <c r="CM23" s="10">
        <f t="shared" si="3"/>
        <v>2033</v>
      </c>
      <c r="CN23" s="10">
        <f t="shared" si="3"/>
        <v>2033</v>
      </c>
      <c r="CO23" s="10">
        <f t="shared" si="3"/>
        <v>2033</v>
      </c>
      <c r="CP23" s="10">
        <f t="shared" si="3"/>
        <v>2033</v>
      </c>
      <c r="CQ23" s="10">
        <f t="shared" si="3"/>
        <v>2033</v>
      </c>
      <c r="CR23" s="10">
        <f t="shared" si="3"/>
        <v>2033</v>
      </c>
      <c r="CS23" s="10">
        <f t="shared" si="3"/>
        <v>2033</v>
      </c>
      <c r="CT23" s="10">
        <f t="shared" si="3"/>
        <v>2033</v>
      </c>
      <c r="CU23" s="10">
        <f t="shared" si="3"/>
        <v>2034</v>
      </c>
      <c r="CV23" s="10">
        <f t="shared" si="3"/>
        <v>2034</v>
      </c>
      <c r="CW23" s="10">
        <f t="shared" si="3"/>
        <v>2034</v>
      </c>
      <c r="CX23" s="10">
        <f t="shared" si="3"/>
        <v>2034</v>
      </c>
      <c r="CY23" s="10">
        <f t="shared" si="3"/>
        <v>2034</v>
      </c>
      <c r="CZ23" s="10">
        <f t="shared" si="3"/>
        <v>2034</v>
      </c>
      <c r="DA23" s="10">
        <f t="shared" si="3"/>
        <v>2034</v>
      </c>
      <c r="DB23" s="10">
        <f t="shared" si="3"/>
        <v>2034</v>
      </c>
      <c r="DC23" s="10">
        <f t="shared" si="3"/>
        <v>2034</v>
      </c>
      <c r="DD23" s="10">
        <f t="shared" si="3"/>
        <v>2034</v>
      </c>
      <c r="DE23" s="10">
        <f t="shared" si="3"/>
        <v>2034</v>
      </c>
      <c r="DF23" s="10">
        <f t="shared" si="3"/>
        <v>2034</v>
      </c>
      <c r="DG23" s="10">
        <f t="shared" si="3"/>
        <v>2035</v>
      </c>
      <c r="DH23" s="10">
        <f t="shared" si="3"/>
        <v>2035</v>
      </c>
      <c r="DI23" s="10">
        <f t="shared" si="3"/>
        <v>2035</v>
      </c>
      <c r="DJ23" s="10">
        <f t="shared" si="3"/>
        <v>2035</v>
      </c>
      <c r="DK23" s="10">
        <f t="shared" si="3"/>
        <v>2035</v>
      </c>
      <c r="DL23" s="10">
        <f t="shared" si="3"/>
        <v>2035</v>
      </c>
      <c r="DM23" s="10">
        <f t="shared" si="3"/>
        <v>2035</v>
      </c>
      <c r="DN23" s="10">
        <f t="shared" si="3"/>
        <v>2035</v>
      </c>
      <c r="DO23" s="10">
        <f t="shared" si="3"/>
        <v>2035</v>
      </c>
      <c r="DP23" s="10">
        <f t="shared" si="3"/>
        <v>2035</v>
      </c>
      <c r="DQ23" s="10">
        <f t="shared" si="3"/>
        <v>2035</v>
      </c>
      <c r="DR23" s="10">
        <f t="shared" si="3"/>
        <v>2035</v>
      </c>
      <c r="DS23" s="10">
        <f t="shared" si="3"/>
        <v>2036</v>
      </c>
      <c r="DT23" s="10">
        <f t="shared" si="3"/>
        <v>2036</v>
      </c>
      <c r="DU23" s="10">
        <f t="shared" si="3"/>
        <v>2036</v>
      </c>
      <c r="DV23" s="10">
        <f t="shared" si="3"/>
        <v>2036</v>
      </c>
      <c r="DW23" s="10">
        <f t="shared" si="3"/>
        <v>2036</v>
      </c>
      <c r="DX23" s="10">
        <f t="shared" si="3"/>
        <v>2036</v>
      </c>
      <c r="DY23" s="10">
        <f t="shared" si="3"/>
        <v>2036</v>
      </c>
    </row>
    <row r="24" spans="1:129" ht="13.5" customHeight="1" x14ac:dyDescent="0.3">
      <c r="J24" s="15">
        <v>1</v>
      </c>
      <c r="K24" s="15">
        <f t="shared" ref="K24:DY24" si="4">J24+1</f>
        <v>2</v>
      </c>
      <c r="L24" s="15">
        <f t="shared" si="4"/>
        <v>3</v>
      </c>
      <c r="M24" s="15">
        <f t="shared" si="4"/>
        <v>4</v>
      </c>
      <c r="N24" s="15">
        <f t="shared" si="4"/>
        <v>5</v>
      </c>
      <c r="O24" s="15">
        <f t="shared" si="4"/>
        <v>6</v>
      </c>
      <c r="P24" s="15">
        <f t="shared" si="4"/>
        <v>7</v>
      </c>
      <c r="Q24" s="15">
        <f t="shared" si="4"/>
        <v>8</v>
      </c>
      <c r="R24" s="15">
        <f t="shared" si="4"/>
        <v>9</v>
      </c>
      <c r="S24" s="15">
        <f t="shared" si="4"/>
        <v>10</v>
      </c>
      <c r="T24" s="15">
        <f t="shared" si="4"/>
        <v>11</v>
      </c>
      <c r="U24" s="15">
        <f t="shared" si="4"/>
        <v>12</v>
      </c>
      <c r="V24" s="15">
        <f t="shared" si="4"/>
        <v>13</v>
      </c>
      <c r="W24" s="15">
        <f t="shared" si="4"/>
        <v>14</v>
      </c>
      <c r="X24" s="15">
        <f t="shared" si="4"/>
        <v>15</v>
      </c>
      <c r="Y24" s="15">
        <f t="shared" si="4"/>
        <v>16</v>
      </c>
      <c r="Z24" s="15">
        <f t="shared" si="4"/>
        <v>17</v>
      </c>
      <c r="AA24" s="15">
        <f t="shared" si="4"/>
        <v>18</v>
      </c>
      <c r="AB24" s="15">
        <f t="shared" si="4"/>
        <v>19</v>
      </c>
      <c r="AC24" s="15">
        <f t="shared" si="4"/>
        <v>20</v>
      </c>
      <c r="AD24" s="15">
        <f t="shared" si="4"/>
        <v>21</v>
      </c>
      <c r="AE24" s="15">
        <f t="shared" si="4"/>
        <v>22</v>
      </c>
      <c r="AF24" s="15">
        <f t="shared" si="4"/>
        <v>23</v>
      </c>
      <c r="AG24" s="15">
        <f t="shared" si="4"/>
        <v>24</v>
      </c>
      <c r="AH24" s="15">
        <f t="shared" si="4"/>
        <v>25</v>
      </c>
      <c r="AI24" s="15">
        <f t="shared" si="4"/>
        <v>26</v>
      </c>
      <c r="AJ24" s="15">
        <f t="shared" si="4"/>
        <v>27</v>
      </c>
      <c r="AK24" s="15">
        <f t="shared" si="4"/>
        <v>28</v>
      </c>
      <c r="AL24" s="15">
        <f t="shared" si="4"/>
        <v>29</v>
      </c>
      <c r="AM24" s="15">
        <f t="shared" si="4"/>
        <v>30</v>
      </c>
      <c r="AN24" s="15">
        <f t="shared" si="4"/>
        <v>31</v>
      </c>
      <c r="AO24" s="15">
        <f t="shared" si="4"/>
        <v>32</v>
      </c>
      <c r="AP24" s="15">
        <f t="shared" si="4"/>
        <v>33</v>
      </c>
      <c r="AQ24" s="15">
        <f t="shared" si="4"/>
        <v>34</v>
      </c>
      <c r="AR24" s="15">
        <f t="shared" si="4"/>
        <v>35</v>
      </c>
      <c r="AS24" s="15">
        <f t="shared" si="4"/>
        <v>36</v>
      </c>
      <c r="AT24" s="15">
        <f t="shared" si="4"/>
        <v>37</v>
      </c>
      <c r="AU24" s="15">
        <f t="shared" si="4"/>
        <v>38</v>
      </c>
      <c r="AV24" s="15">
        <f t="shared" si="4"/>
        <v>39</v>
      </c>
      <c r="AW24" s="15">
        <f t="shared" si="4"/>
        <v>40</v>
      </c>
      <c r="AX24" s="15">
        <f t="shared" si="4"/>
        <v>41</v>
      </c>
      <c r="AY24" s="15">
        <f t="shared" si="4"/>
        <v>42</v>
      </c>
      <c r="AZ24" s="15">
        <f t="shared" si="4"/>
        <v>43</v>
      </c>
      <c r="BA24" s="15">
        <f t="shared" si="4"/>
        <v>44</v>
      </c>
      <c r="BB24" s="15">
        <f t="shared" si="4"/>
        <v>45</v>
      </c>
      <c r="BC24" s="15">
        <f t="shared" si="4"/>
        <v>46</v>
      </c>
      <c r="BD24" s="15">
        <f t="shared" si="4"/>
        <v>47</v>
      </c>
      <c r="BE24" s="15">
        <f t="shared" si="4"/>
        <v>48</v>
      </c>
      <c r="BF24" s="15">
        <f t="shared" si="4"/>
        <v>49</v>
      </c>
      <c r="BG24" s="15">
        <f t="shared" si="4"/>
        <v>50</v>
      </c>
      <c r="BH24" s="15">
        <f t="shared" si="4"/>
        <v>51</v>
      </c>
      <c r="BI24" s="15">
        <f t="shared" si="4"/>
        <v>52</v>
      </c>
      <c r="BJ24" s="15">
        <f t="shared" si="4"/>
        <v>53</v>
      </c>
      <c r="BK24" s="15">
        <f t="shared" si="4"/>
        <v>54</v>
      </c>
      <c r="BL24" s="15">
        <f t="shared" si="4"/>
        <v>55</v>
      </c>
      <c r="BM24" s="15">
        <f t="shared" si="4"/>
        <v>56</v>
      </c>
      <c r="BN24" s="15">
        <f t="shared" si="4"/>
        <v>57</v>
      </c>
      <c r="BO24" s="15">
        <f t="shared" si="4"/>
        <v>58</v>
      </c>
      <c r="BP24" s="15">
        <f t="shared" si="4"/>
        <v>59</v>
      </c>
      <c r="BQ24" s="15">
        <f t="shared" si="4"/>
        <v>60</v>
      </c>
      <c r="BR24" s="15">
        <f t="shared" si="4"/>
        <v>61</v>
      </c>
      <c r="BS24" s="15">
        <f t="shared" si="4"/>
        <v>62</v>
      </c>
      <c r="BT24" s="15">
        <f t="shared" si="4"/>
        <v>63</v>
      </c>
      <c r="BU24" s="15">
        <f t="shared" si="4"/>
        <v>64</v>
      </c>
      <c r="BV24" s="15">
        <f t="shared" si="4"/>
        <v>65</v>
      </c>
      <c r="BW24" s="15">
        <f t="shared" si="4"/>
        <v>66</v>
      </c>
      <c r="BX24" s="15">
        <f t="shared" si="4"/>
        <v>67</v>
      </c>
      <c r="BY24" s="15">
        <f t="shared" si="4"/>
        <v>68</v>
      </c>
      <c r="BZ24" s="15">
        <f t="shared" si="4"/>
        <v>69</v>
      </c>
      <c r="CA24" s="15">
        <f t="shared" si="4"/>
        <v>70</v>
      </c>
      <c r="CB24" s="15">
        <f t="shared" si="4"/>
        <v>71</v>
      </c>
      <c r="CC24" s="15">
        <f t="shared" si="4"/>
        <v>72</v>
      </c>
      <c r="CD24" s="15">
        <f t="shared" si="4"/>
        <v>73</v>
      </c>
      <c r="CE24" s="15">
        <f t="shared" si="4"/>
        <v>74</v>
      </c>
      <c r="CF24" s="15">
        <f t="shared" si="4"/>
        <v>75</v>
      </c>
      <c r="CG24" s="15">
        <f t="shared" si="4"/>
        <v>76</v>
      </c>
      <c r="CH24" s="15">
        <f t="shared" si="4"/>
        <v>77</v>
      </c>
      <c r="CI24" s="15">
        <f t="shared" si="4"/>
        <v>78</v>
      </c>
      <c r="CJ24" s="15">
        <f t="shared" si="4"/>
        <v>79</v>
      </c>
      <c r="CK24" s="15">
        <f t="shared" si="4"/>
        <v>80</v>
      </c>
      <c r="CL24" s="15">
        <f t="shared" si="4"/>
        <v>81</v>
      </c>
      <c r="CM24" s="15">
        <f t="shared" si="4"/>
        <v>82</v>
      </c>
      <c r="CN24" s="15">
        <f t="shared" si="4"/>
        <v>83</v>
      </c>
      <c r="CO24" s="15">
        <f t="shared" si="4"/>
        <v>84</v>
      </c>
      <c r="CP24" s="15">
        <f t="shared" si="4"/>
        <v>85</v>
      </c>
      <c r="CQ24" s="15">
        <f t="shared" si="4"/>
        <v>86</v>
      </c>
      <c r="CR24" s="15">
        <f t="shared" si="4"/>
        <v>87</v>
      </c>
      <c r="CS24" s="15">
        <f t="shared" si="4"/>
        <v>88</v>
      </c>
      <c r="CT24" s="15">
        <f t="shared" si="4"/>
        <v>89</v>
      </c>
      <c r="CU24" s="15">
        <f t="shared" si="4"/>
        <v>90</v>
      </c>
      <c r="CV24" s="15">
        <f t="shared" si="4"/>
        <v>91</v>
      </c>
      <c r="CW24" s="15">
        <f t="shared" si="4"/>
        <v>92</v>
      </c>
      <c r="CX24" s="15">
        <f t="shared" si="4"/>
        <v>93</v>
      </c>
      <c r="CY24" s="15">
        <f t="shared" si="4"/>
        <v>94</v>
      </c>
      <c r="CZ24" s="15">
        <f t="shared" si="4"/>
        <v>95</v>
      </c>
      <c r="DA24" s="15">
        <f t="shared" si="4"/>
        <v>96</v>
      </c>
      <c r="DB24" s="15">
        <f t="shared" si="4"/>
        <v>97</v>
      </c>
      <c r="DC24" s="15">
        <f t="shared" si="4"/>
        <v>98</v>
      </c>
      <c r="DD24" s="15">
        <f t="shared" si="4"/>
        <v>99</v>
      </c>
      <c r="DE24" s="15">
        <f t="shared" si="4"/>
        <v>100</v>
      </c>
      <c r="DF24" s="15">
        <f t="shared" si="4"/>
        <v>101</v>
      </c>
      <c r="DG24" s="15">
        <f t="shared" si="4"/>
        <v>102</v>
      </c>
      <c r="DH24" s="15">
        <f t="shared" si="4"/>
        <v>103</v>
      </c>
      <c r="DI24" s="15">
        <f t="shared" si="4"/>
        <v>104</v>
      </c>
      <c r="DJ24" s="15">
        <f t="shared" si="4"/>
        <v>105</v>
      </c>
      <c r="DK24" s="15">
        <f t="shared" si="4"/>
        <v>106</v>
      </c>
      <c r="DL24" s="15">
        <f t="shared" si="4"/>
        <v>107</v>
      </c>
      <c r="DM24" s="15">
        <f t="shared" si="4"/>
        <v>108</v>
      </c>
      <c r="DN24" s="15">
        <f t="shared" si="4"/>
        <v>109</v>
      </c>
      <c r="DO24" s="15">
        <f t="shared" si="4"/>
        <v>110</v>
      </c>
      <c r="DP24" s="15">
        <f t="shared" si="4"/>
        <v>111</v>
      </c>
      <c r="DQ24" s="15">
        <f t="shared" si="4"/>
        <v>112</v>
      </c>
      <c r="DR24" s="15">
        <f t="shared" si="4"/>
        <v>113</v>
      </c>
      <c r="DS24" s="15">
        <f t="shared" si="4"/>
        <v>114</v>
      </c>
      <c r="DT24" s="15">
        <f t="shared" si="4"/>
        <v>115</v>
      </c>
      <c r="DU24" s="15">
        <f t="shared" si="4"/>
        <v>116</v>
      </c>
      <c r="DV24" s="15">
        <f t="shared" si="4"/>
        <v>117</v>
      </c>
      <c r="DW24" s="15">
        <f t="shared" si="4"/>
        <v>118</v>
      </c>
      <c r="DX24" s="15">
        <f t="shared" si="4"/>
        <v>119</v>
      </c>
      <c r="DY24" s="15">
        <f t="shared" si="4"/>
        <v>120</v>
      </c>
    </row>
    <row r="25" spans="1:129" ht="13.5" customHeight="1" x14ac:dyDescent="0.3">
      <c r="A25" s="3" t="s">
        <v>0</v>
      </c>
      <c r="B25" s="3" t="s">
        <v>267</v>
      </c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  <c r="DE25" s="122"/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22"/>
      <c r="DQ25" s="122"/>
      <c r="DR25" s="122"/>
      <c r="DS25" s="122"/>
      <c r="DT25" s="122"/>
      <c r="DU25" s="122"/>
      <c r="DV25" s="122"/>
      <c r="DW25" s="122"/>
      <c r="DX25" s="122"/>
      <c r="DY25" s="122"/>
    </row>
    <row r="26" spans="1:129" ht="15.75" customHeight="1" x14ac:dyDescent="0.3">
      <c r="A26" s="7"/>
      <c r="B26" s="5" t="s">
        <v>268</v>
      </c>
      <c r="C26" s="7"/>
      <c r="D26" s="7"/>
      <c r="E26" s="7"/>
      <c r="F26" s="7"/>
      <c r="G26" s="7"/>
      <c r="H26" s="7"/>
      <c r="I26" s="7"/>
      <c r="J26" s="83">
        <f>'Operating Model'!J280</f>
        <v>46265</v>
      </c>
      <c r="K26" s="83">
        <f t="shared" ref="K26:DY26" si="5">EDATE(J26,1)</f>
        <v>46295</v>
      </c>
      <c r="L26" s="83">
        <f t="shared" si="5"/>
        <v>46325</v>
      </c>
      <c r="M26" s="83">
        <f t="shared" si="5"/>
        <v>46356</v>
      </c>
      <c r="N26" s="83">
        <f t="shared" si="5"/>
        <v>46386</v>
      </c>
      <c r="O26" s="83">
        <f t="shared" si="5"/>
        <v>46417</v>
      </c>
      <c r="P26" s="83">
        <f t="shared" si="5"/>
        <v>46446</v>
      </c>
      <c r="Q26" s="83">
        <f t="shared" si="5"/>
        <v>46474</v>
      </c>
      <c r="R26" s="83">
        <f t="shared" si="5"/>
        <v>46505</v>
      </c>
      <c r="S26" s="83">
        <f t="shared" si="5"/>
        <v>46535</v>
      </c>
      <c r="T26" s="83">
        <f t="shared" si="5"/>
        <v>46566</v>
      </c>
      <c r="U26" s="83">
        <f t="shared" si="5"/>
        <v>46596</v>
      </c>
      <c r="V26" s="83">
        <f t="shared" si="5"/>
        <v>46627</v>
      </c>
      <c r="W26" s="83">
        <f t="shared" si="5"/>
        <v>46658</v>
      </c>
      <c r="X26" s="83">
        <f t="shared" si="5"/>
        <v>46688</v>
      </c>
      <c r="Y26" s="83">
        <f t="shared" si="5"/>
        <v>46719</v>
      </c>
      <c r="Z26" s="83">
        <f t="shared" si="5"/>
        <v>46749</v>
      </c>
      <c r="AA26" s="83">
        <f t="shared" si="5"/>
        <v>46780</v>
      </c>
      <c r="AB26" s="83">
        <f t="shared" si="5"/>
        <v>46811</v>
      </c>
      <c r="AC26" s="83">
        <f t="shared" si="5"/>
        <v>46840</v>
      </c>
      <c r="AD26" s="83">
        <f t="shared" si="5"/>
        <v>46871</v>
      </c>
      <c r="AE26" s="83">
        <f t="shared" si="5"/>
        <v>46901</v>
      </c>
      <c r="AF26" s="83">
        <f t="shared" si="5"/>
        <v>46932</v>
      </c>
      <c r="AG26" s="83">
        <f t="shared" si="5"/>
        <v>46962</v>
      </c>
      <c r="AH26" s="83">
        <f t="shared" si="5"/>
        <v>46993</v>
      </c>
      <c r="AI26" s="83">
        <f t="shared" si="5"/>
        <v>47024</v>
      </c>
      <c r="AJ26" s="83">
        <f t="shared" si="5"/>
        <v>47054</v>
      </c>
      <c r="AK26" s="83">
        <f t="shared" si="5"/>
        <v>47085</v>
      </c>
      <c r="AL26" s="83">
        <f t="shared" si="5"/>
        <v>47115</v>
      </c>
      <c r="AM26" s="83">
        <f t="shared" si="5"/>
        <v>47146</v>
      </c>
      <c r="AN26" s="83">
        <f t="shared" si="5"/>
        <v>47177</v>
      </c>
      <c r="AO26" s="83">
        <f t="shared" si="5"/>
        <v>47205</v>
      </c>
      <c r="AP26" s="83">
        <f t="shared" si="5"/>
        <v>47236</v>
      </c>
      <c r="AQ26" s="83">
        <f t="shared" si="5"/>
        <v>47266</v>
      </c>
      <c r="AR26" s="83">
        <f t="shared" si="5"/>
        <v>47297</v>
      </c>
      <c r="AS26" s="83">
        <f t="shared" si="5"/>
        <v>47327</v>
      </c>
      <c r="AT26" s="83">
        <f t="shared" si="5"/>
        <v>47358</v>
      </c>
      <c r="AU26" s="83">
        <f t="shared" si="5"/>
        <v>47389</v>
      </c>
      <c r="AV26" s="83">
        <f t="shared" si="5"/>
        <v>47419</v>
      </c>
      <c r="AW26" s="83">
        <f t="shared" si="5"/>
        <v>47450</v>
      </c>
      <c r="AX26" s="83">
        <f t="shared" si="5"/>
        <v>47480</v>
      </c>
      <c r="AY26" s="83">
        <f t="shared" si="5"/>
        <v>47511</v>
      </c>
      <c r="AZ26" s="83">
        <f t="shared" si="5"/>
        <v>47542</v>
      </c>
      <c r="BA26" s="83">
        <f t="shared" si="5"/>
        <v>47570</v>
      </c>
      <c r="BB26" s="83">
        <f t="shared" si="5"/>
        <v>47601</v>
      </c>
      <c r="BC26" s="83">
        <f t="shared" si="5"/>
        <v>47631</v>
      </c>
      <c r="BD26" s="83">
        <f t="shared" si="5"/>
        <v>47662</v>
      </c>
      <c r="BE26" s="83">
        <f t="shared" si="5"/>
        <v>47692</v>
      </c>
      <c r="BF26" s="83">
        <f t="shared" si="5"/>
        <v>47723</v>
      </c>
      <c r="BG26" s="83">
        <f t="shared" si="5"/>
        <v>47754</v>
      </c>
      <c r="BH26" s="83">
        <f t="shared" si="5"/>
        <v>47784</v>
      </c>
      <c r="BI26" s="83">
        <f t="shared" si="5"/>
        <v>47815</v>
      </c>
      <c r="BJ26" s="83">
        <f t="shared" si="5"/>
        <v>47845</v>
      </c>
      <c r="BK26" s="83">
        <f t="shared" si="5"/>
        <v>47876</v>
      </c>
      <c r="BL26" s="83">
        <f t="shared" si="5"/>
        <v>47907</v>
      </c>
      <c r="BM26" s="83">
        <f t="shared" si="5"/>
        <v>47935</v>
      </c>
      <c r="BN26" s="83">
        <f t="shared" si="5"/>
        <v>47966</v>
      </c>
      <c r="BO26" s="83">
        <f t="shared" si="5"/>
        <v>47996</v>
      </c>
      <c r="BP26" s="83">
        <f t="shared" si="5"/>
        <v>48027</v>
      </c>
      <c r="BQ26" s="83">
        <f t="shared" si="5"/>
        <v>48057</v>
      </c>
      <c r="BR26" s="83">
        <f t="shared" si="5"/>
        <v>48088</v>
      </c>
      <c r="BS26" s="83">
        <f t="shared" si="5"/>
        <v>48119</v>
      </c>
      <c r="BT26" s="83">
        <f t="shared" si="5"/>
        <v>48149</v>
      </c>
      <c r="BU26" s="83">
        <f t="shared" si="5"/>
        <v>48180</v>
      </c>
      <c r="BV26" s="83">
        <f t="shared" si="5"/>
        <v>48210</v>
      </c>
      <c r="BW26" s="83">
        <f t="shared" si="5"/>
        <v>48241</v>
      </c>
      <c r="BX26" s="83">
        <f t="shared" si="5"/>
        <v>48272</v>
      </c>
      <c r="BY26" s="83">
        <f t="shared" si="5"/>
        <v>48301</v>
      </c>
      <c r="BZ26" s="83">
        <f t="shared" si="5"/>
        <v>48332</v>
      </c>
      <c r="CA26" s="83">
        <f t="shared" si="5"/>
        <v>48362</v>
      </c>
      <c r="CB26" s="83">
        <f t="shared" si="5"/>
        <v>48393</v>
      </c>
      <c r="CC26" s="83">
        <f t="shared" si="5"/>
        <v>48423</v>
      </c>
      <c r="CD26" s="83">
        <f t="shared" si="5"/>
        <v>48454</v>
      </c>
      <c r="CE26" s="83">
        <f t="shared" si="5"/>
        <v>48485</v>
      </c>
      <c r="CF26" s="83">
        <f t="shared" si="5"/>
        <v>48515</v>
      </c>
      <c r="CG26" s="83">
        <f t="shared" si="5"/>
        <v>48546</v>
      </c>
      <c r="CH26" s="83">
        <f t="shared" si="5"/>
        <v>48576</v>
      </c>
      <c r="CI26" s="83">
        <f t="shared" si="5"/>
        <v>48607</v>
      </c>
      <c r="CJ26" s="83">
        <f t="shared" si="5"/>
        <v>48638</v>
      </c>
      <c r="CK26" s="83">
        <f t="shared" si="5"/>
        <v>48666</v>
      </c>
      <c r="CL26" s="83">
        <f t="shared" si="5"/>
        <v>48697</v>
      </c>
      <c r="CM26" s="83">
        <f t="shared" si="5"/>
        <v>48727</v>
      </c>
      <c r="CN26" s="83">
        <f t="shared" si="5"/>
        <v>48758</v>
      </c>
      <c r="CO26" s="83">
        <f t="shared" si="5"/>
        <v>48788</v>
      </c>
      <c r="CP26" s="83">
        <f t="shared" si="5"/>
        <v>48819</v>
      </c>
      <c r="CQ26" s="83">
        <f t="shared" si="5"/>
        <v>48850</v>
      </c>
      <c r="CR26" s="83">
        <f t="shared" si="5"/>
        <v>48880</v>
      </c>
      <c r="CS26" s="83">
        <f t="shared" si="5"/>
        <v>48911</v>
      </c>
      <c r="CT26" s="83">
        <f t="shared" si="5"/>
        <v>48941</v>
      </c>
      <c r="CU26" s="83">
        <f t="shared" si="5"/>
        <v>48972</v>
      </c>
      <c r="CV26" s="83">
        <f t="shared" si="5"/>
        <v>49003</v>
      </c>
      <c r="CW26" s="83">
        <f t="shared" si="5"/>
        <v>49031</v>
      </c>
      <c r="CX26" s="83">
        <f t="shared" si="5"/>
        <v>49062</v>
      </c>
      <c r="CY26" s="83">
        <f t="shared" si="5"/>
        <v>49092</v>
      </c>
      <c r="CZ26" s="83">
        <f t="shared" si="5"/>
        <v>49123</v>
      </c>
      <c r="DA26" s="83">
        <f t="shared" si="5"/>
        <v>49153</v>
      </c>
      <c r="DB26" s="83">
        <f t="shared" si="5"/>
        <v>49184</v>
      </c>
      <c r="DC26" s="83">
        <f t="shared" si="5"/>
        <v>49215</v>
      </c>
      <c r="DD26" s="83">
        <f t="shared" si="5"/>
        <v>49245</v>
      </c>
      <c r="DE26" s="83">
        <f t="shared" si="5"/>
        <v>49276</v>
      </c>
      <c r="DF26" s="83">
        <f t="shared" si="5"/>
        <v>49306</v>
      </c>
      <c r="DG26" s="83">
        <f t="shared" si="5"/>
        <v>49337</v>
      </c>
      <c r="DH26" s="83">
        <f t="shared" si="5"/>
        <v>49368</v>
      </c>
      <c r="DI26" s="83">
        <f t="shared" si="5"/>
        <v>49396</v>
      </c>
      <c r="DJ26" s="83">
        <f t="shared" si="5"/>
        <v>49427</v>
      </c>
      <c r="DK26" s="83">
        <f t="shared" si="5"/>
        <v>49457</v>
      </c>
      <c r="DL26" s="83">
        <f t="shared" si="5"/>
        <v>49488</v>
      </c>
      <c r="DM26" s="83">
        <f t="shared" si="5"/>
        <v>49518</v>
      </c>
      <c r="DN26" s="83">
        <f t="shared" si="5"/>
        <v>49549</v>
      </c>
      <c r="DO26" s="83">
        <f t="shared" si="5"/>
        <v>49580</v>
      </c>
      <c r="DP26" s="83">
        <f t="shared" si="5"/>
        <v>49610</v>
      </c>
      <c r="DQ26" s="83">
        <f t="shared" si="5"/>
        <v>49641</v>
      </c>
      <c r="DR26" s="83">
        <f t="shared" si="5"/>
        <v>49671</v>
      </c>
      <c r="DS26" s="83">
        <f t="shared" si="5"/>
        <v>49702</v>
      </c>
      <c r="DT26" s="83">
        <f t="shared" si="5"/>
        <v>49733</v>
      </c>
      <c r="DU26" s="83">
        <f t="shared" si="5"/>
        <v>49762</v>
      </c>
      <c r="DV26" s="83">
        <f t="shared" si="5"/>
        <v>49793</v>
      </c>
      <c r="DW26" s="83">
        <f t="shared" si="5"/>
        <v>49823</v>
      </c>
      <c r="DX26" s="83">
        <f t="shared" si="5"/>
        <v>49854</v>
      </c>
      <c r="DY26" s="83">
        <f t="shared" si="5"/>
        <v>49884</v>
      </c>
    </row>
    <row r="27" spans="1:129" ht="14.25" customHeight="1" x14ac:dyDescent="0.3">
      <c r="A27" s="7"/>
      <c r="B27" s="15" t="s">
        <v>269</v>
      </c>
      <c r="C27" s="7"/>
      <c r="D27" s="15" t="s">
        <v>4</v>
      </c>
      <c r="E27" s="7"/>
      <c r="F27" s="7"/>
      <c r="G27" s="7"/>
      <c r="H27" s="7"/>
      <c r="I27" s="7"/>
      <c r="J27" s="125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  <c r="CF27" s="126"/>
      <c r="CG27" s="126"/>
      <c r="CH27" s="126"/>
      <c r="CI27" s="126"/>
      <c r="CJ27" s="126"/>
      <c r="CK27" s="126"/>
      <c r="CL27" s="126"/>
      <c r="CM27" s="126"/>
      <c r="CN27" s="126"/>
      <c r="CO27" s="126"/>
      <c r="CP27" s="126"/>
      <c r="CQ27" s="126"/>
      <c r="CR27" s="126"/>
      <c r="CS27" s="126"/>
      <c r="CT27" s="126"/>
      <c r="CU27" s="126"/>
      <c r="CV27" s="126"/>
      <c r="CW27" s="126"/>
      <c r="CX27" s="126"/>
      <c r="CY27" s="126"/>
      <c r="CZ27" s="126"/>
      <c r="DA27" s="126"/>
      <c r="DB27" s="126"/>
      <c r="DC27" s="126"/>
      <c r="DD27" s="126"/>
      <c r="DE27" s="126"/>
      <c r="DF27" s="126"/>
      <c r="DG27" s="126"/>
      <c r="DH27" s="126"/>
      <c r="DI27" s="126"/>
      <c r="DJ27" s="126"/>
      <c r="DK27" s="126"/>
      <c r="DL27" s="126"/>
      <c r="DM27" s="126"/>
      <c r="DN27" s="126"/>
      <c r="DO27" s="126"/>
      <c r="DP27" s="126"/>
      <c r="DQ27" s="126"/>
      <c r="DR27" s="126"/>
      <c r="DS27" s="126"/>
      <c r="DT27" s="126"/>
      <c r="DU27" s="126"/>
      <c r="DV27" s="126"/>
      <c r="DW27" s="126"/>
      <c r="DX27" s="126"/>
      <c r="DY27" s="126"/>
    </row>
    <row r="28" spans="1:129" ht="14.25" customHeight="1" x14ac:dyDescent="0.3">
      <c r="A28" s="7"/>
      <c r="B28" s="15" t="s">
        <v>270</v>
      </c>
      <c r="C28" s="7"/>
      <c r="D28" s="15" t="s">
        <v>4</v>
      </c>
      <c r="E28" s="7"/>
      <c r="F28" s="7"/>
      <c r="G28" s="7"/>
      <c r="H28" s="7"/>
      <c r="I28" s="7"/>
      <c r="J28" s="8">
        <f>E3</f>
        <v>358330.37370900001</v>
      </c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  <c r="CF28" s="126"/>
      <c r="CG28" s="126"/>
      <c r="CH28" s="126"/>
      <c r="CI28" s="126"/>
      <c r="CJ28" s="126"/>
      <c r="CK28" s="126"/>
      <c r="CL28" s="126"/>
      <c r="CM28" s="126"/>
      <c r="CN28" s="126"/>
      <c r="CO28" s="126"/>
      <c r="CP28" s="126"/>
      <c r="CQ28" s="126"/>
      <c r="CR28" s="126"/>
      <c r="CS28" s="126"/>
      <c r="CT28" s="126"/>
      <c r="CU28" s="126"/>
      <c r="CV28" s="126"/>
      <c r="CW28" s="126"/>
      <c r="CX28" s="126"/>
      <c r="CY28" s="126"/>
      <c r="CZ28" s="126"/>
      <c r="DA28" s="126"/>
      <c r="DB28" s="126"/>
      <c r="DC28" s="126"/>
      <c r="DD28" s="126"/>
      <c r="DE28" s="126"/>
      <c r="DF28" s="126"/>
      <c r="DG28" s="126"/>
      <c r="DH28" s="126"/>
      <c r="DI28" s="126"/>
      <c r="DJ28" s="126"/>
      <c r="DK28" s="126"/>
      <c r="DL28" s="126"/>
      <c r="DM28" s="126"/>
      <c r="DN28" s="126"/>
      <c r="DO28" s="126"/>
      <c r="DP28" s="126"/>
      <c r="DQ28" s="126"/>
      <c r="DR28" s="126"/>
      <c r="DS28" s="126"/>
      <c r="DT28" s="126"/>
      <c r="DU28" s="126"/>
      <c r="DV28" s="126"/>
      <c r="DW28" s="126"/>
      <c r="DX28" s="126"/>
      <c r="DY28" s="126"/>
    </row>
    <row r="29" spans="1:129" ht="14.25" customHeight="1" x14ac:dyDescent="0.3">
      <c r="A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</row>
    <row r="30" spans="1:129" ht="14.2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55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</row>
    <row r="31" spans="1:129" ht="14.25" customHeight="1" x14ac:dyDescent="0.3">
      <c r="A31" s="7"/>
      <c r="B31" s="15" t="s">
        <v>272</v>
      </c>
      <c r="C31" s="7"/>
      <c r="D31" s="15" t="s">
        <v>4</v>
      </c>
      <c r="E31" s="19"/>
      <c r="F31" s="7"/>
      <c r="G31" s="7"/>
      <c r="H31" s="7"/>
      <c r="I31" s="7"/>
      <c r="J31" s="8">
        <f>E3</f>
        <v>358330.37370900001</v>
      </c>
      <c r="K31" s="8">
        <f t="shared" ref="K31:DY31" si="6">J37</f>
        <v>358330.37370900001</v>
      </c>
      <c r="L31" s="8">
        <f t="shared" si="6"/>
        <v>358330.37370900001</v>
      </c>
      <c r="M31" s="8">
        <f t="shared" si="6"/>
        <v>358330.37370900001</v>
      </c>
      <c r="N31" s="8">
        <f t="shared" si="6"/>
        <v>358330.37370900001</v>
      </c>
      <c r="O31" s="8">
        <f t="shared" si="6"/>
        <v>358330.37370900001</v>
      </c>
      <c r="P31" s="8">
        <f t="shared" si="6"/>
        <v>358330.37370900001</v>
      </c>
      <c r="Q31" s="8">
        <f t="shared" si="6"/>
        <v>358330.37370900001</v>
      </c>
      <c r="R31" s="8">
        <f t="shared" si="6"/>
        <v>358330.37370900001</v>
      </c>
      <c r="S31" s="8">
        <f t="shared" si="6"/>
        <v>358330.37370900001</v>
      </c>
      <c r="T31" s="8">
        <f t="shared" si="6"/>
        <v>358330.37370900001</v>
      </c>
      <c r="U31" s="8">
        <f t="shared" si="6"/>
        <v>358330.37370900001</v>
      </c>
      <c r="V31" s="8">
        <f t="shared" si="6"/>
        <v>358330.37370900001</v>
      </c>
      <c r="W31" s="8">
        <f t="shared" si="6"/>
        <v>358330.37370900001</v>
      </c>
      <c r="X31" s="8">
        <f t="shared" si="6"/>
        <v>358330.37370900001</v>
      </c>
      <c r="Y31" s="8">
        <f t="shared" si="6"/>
        <v>358330.37370900001</v>
      </c>
      <c r="Z31" s="8">
        <f t="shared" si="6"/>
        <v>358330.37370900001</v>
      </c>
      <c r="AA31" s="8">
        <f t="shared" si="6"/>
        <v>358330.37370900001</v>
      </c>
      <c r="AB31" s="8">
        <f t="shared" si="6"/>
        <v>358330.37370900001</v>
      </c>
      <c r="AC31" s="8">
        <f t="shared" si="6"/>
        <v>358330.37370900001</v>
      </c>
      <c r="AD31" s="8">
        <f t="shared" si="6"/>
        <v>358330.37370900001</v>
      </c>
      <c r="AE31" s="8">
        <f t="shared" si="6"/>
        <v>358330.37370900001</v>
      </c>
      <c r="AF31" s="8">
        <f t="shared" si="6"/>
        <v>358330.37370900001</v>
      </c>
      <c r="AG31" s="8">
        <f t="shared" si="6"/>
        <v>358330.37370900001</v>
      </c>
      <c r="AH31" s="8">
        <f t="shared" si="6"/>
        <v>318914.03260101</v>
      </c>
      <c r="AI31" s="8">
        <f t="shared" si="6"/>
        <v>318914.03260101</v>
      </c>
      <c r="AJ31" s="8">
        <f t="shared" si="6"/>
        <v>318914.03260101</v>
      </c>
      <c r="AK31" s="8">
        <f t="shared" si="6"/>
        <v>318914.03260101</v>
      </c>
      <c r="AL31" s="8">
        <f t="shared" si="6"/>
        <v>318914.03260101</v>
      </c>
      <c r="AM31" s="8">
        <f t="shared" si="6"/>
        <v>318914.03260101</v>
      </c>
      <c r="AN31" s="8">
        <f t="shared" si="6"/>
        <v>318914.03260101</v>
      </c>
      <c r="AO31" s="8">
        <f t="shared" si="6"/>
        <v>318914.03260101</v>
      </c>
      <c r="AP31" s="8">
        <f t="shared" si="6"/>
        <v>318914.03260101</v>
      </c>
      <c r="AQ31" s="8">
        <f t="shared" si="6"/>
        <v>318914.03260101</v>
      </c>
      <c r="AR31" s="8">
        <f t="shared" si="6"/>
        <v>318914.03260101</v>
      </c>
      <c r="AS31" s="8">
        <f t="shared" si="6"/>
        <v>318914.03260101</v>
      </c>
      <c r="AT31" s="8">
        <f t="shared" si="6"/>
        <v>279497.69149301999</v>
      </c>
      <c r="AU31" s="8">
        <f t="shared" si="6"/>
        <v>279497.69149301999</v>
      </c>
      <c r="AV31" s="8">
        <f t="shared" si="6"/>
        <v>279497.69149301999</v>
      </c>
      <c r="AW31" s="8">
        <f t="shared" si="6"/>
        <v>279497.69149301999</v>
      </c>
      <c r="AX31" s="8">
        <f t="shared" si="6"/>
        <v>279497.69149301999</v>
      </c>
      <c r="AY31" s="8">
        <f t="shared" si="6"/>
        <v>279497.69149301999</v>
      </c>
      <c r="AZ31" s="8">
        <f t="shared" si="6"/>
        <v>279497.69149301999</v>
      </c>
      <c r="BA31" s="8">
        <f t="shared" si="6"/>
        <v>279497.69149301999</v>
      </c>
      <c r="BB31" s="8">
        <f t="shared" si="6"/>
        <v>279497.69149301999</v>
      </c>
      <c r="BC31" s="8">
        <f t="shared" si="6"/>
        <v>279497.69149301999</v>
      </c>
      <c r="BD31" s="8">
        <f t="shared" si="6"/>
        <v>279497.69149301999</v>
      </c>
      <c r="BE31" s="8">
        <f t="shared" si="6"/>
        <v>279497.69149301999</v>
      </c>
      <c r="BF31" s="8">
        <f t="shared" si="6"/>
        <v>240081.35038502997</v>
      </c>
      <c r="BG31" s="8">
        <f t="shared" si="6"/>
        <v>240081.35038502997</v>
      </c>
      <c r="BH31" s="8">
        <f t="shared" si="6"/>
        <v>240081.35038502997</v>
      </c>
      <c r="BI31" s="8">
        <f t="shared" si="6"/>
        <v>240081.35038502997</v>
      </c>
      <c r="BJ31" s="8">
        <f t="shared" si="6"/>
        <v>240081.35038502997</v>
      </c>
      <c r="BK31" s="8">
        <f t="shared" si="6"/>
        <v>240081.35038502997</v>
      </c>
      <c r="BL31" s="8">
        <f t="shared" si="6"/>
        <v>240081.35038502997</v>
      </c>
      <c r="BM31" s="8">
        <f t="shared" si="6"/>
        <v>240081.35038502997</v>
      </c>
      <c r="BN31" s="8">
        <f t="shared" si="6"/>
        <v>240081.35038502997</v>
      </c>
      <c r="BO31" s="8">
        <f t="shared" si="6"/>
        <v>240081.35038502997</v>
      </c>
      <c r="BP31" s="8">
        <f t="shared" si="6"/>
        <v>240081.35038502997</v>
      </c>
      <c r="BQ31" s="8">
        <f t="shared" si="6"/>
        <v>240081.35038502997</v>
      </c>
      <c r="BR31" s="8">
        <f t="shared" si="6"/>
        <v>200665.00927703996</v>
      </c>
      <c r="BS31" s="8">
        <f t="shared" si="6"/>
        <v>200665.00927703996</v>
      </c>
      <c r="BT31" s="8">
        <f t="shared" si="6"/>
        <v>200665.00927703996</v>
      </c>
      <c r="BU31" s="8">
        <f t="shared" si="6"/>
        <v>200665.00927703996</v>
      </c>
      <c r="BV31" s="8">
        <f t="shared" si="6"/>
        <v>200665.00927703996</v>
      </c>
      <c r="BW31" s="8">
        <f t="shared" si="6"/>
        <v>200665.00927703996</v>
      </c>
      <c r="BX31" s="8">
        <f t="shared" si="6"/>
        <v>200665.00927703996</v>
      </c>
      <c r="BY31" s="8">
        <f t="shared" si="6"/>
        <v>200665.00927703996</v>
      </c>
      <c r="BZ31" s="8">
        <f t="shared" si="6"/>
        <v>200665.00927703996</v>
      </c>
      <c r="CA31" s="8">
        <f t="shared" si="6"/>
        <v>200665.00927703996</v>
      </c>
      <c r="CB31" s="8">
        <f t="shared" si="6"/>
        <v>200665.00927703996</v>
      </c>
      <c r="CC31" s="8">
        <f t="shared" si="6"/>
        <v>200665.00927703996</v>
      </c>
      <c r="CD31" s="8">
        <f t="shared" si="6"/>
        <v>161248.66816904995</v>
      </c>
      <c r="CE31" s="8">
        <f t="shared" si="6"/>
        <v>161248.66816904995</v>
      </c>
      <c r="CF31" s="8">
        <f t="shared" si="6"/>
        <v>161248.66816904995</v>
      </c>
      <c r="CG31" s="8">
        <f t="shared" si="6"/>
        <v>161248.66816904995</v>
      </c>
      <c r="CH31" s="8">
        <f t="shared" si="6"/>
        <v>161248.66816904995</v>
      </c>
      <c r="CI31" s="8">
        <f t="shared" si="6"/>
        <v>161248.66816904995</v>
      </c>
      <c r="CJ31" s="8">
        <f t="shared" si="6"/>
        <v>161248.66816904995</v>
      </c>
      <c r="CK31" s="8">
        <f t="shared" si="6"/>
        <v>161248.66816904995</v>
      </c>
      <c r="CL31" s="8">
        <f t="shared" si="6"/>
        <v>161248.66816904995</v>
      </c>
      <c r="CM31" s="8">
        <f t="shared" si="6"/>
        <v>161248.66816904995</v>
      </c>
      <c r="CN31" s="8">
        <f t="shared" si="6"/>
        <v>161248.66816904995</v>
      </c>
      <c r="CO31" s="8">
        <f t="shared" si="6"/>
        <v>161248.66816904995</v>
      </c>
      <c r="CP31" s="8">
        <f t="shared" si="6"/>
        <v>121832.32706105994</v>
      </c>
      <c r="CQ31" s="8">
        <f t="shared" si="6"/>
        <v>121832.32706105994</v>
      </c>
      <c r="CR31" s="8">
        <f t="shared" si="6"/>
        <v>121832.32706105994</v>
      </c>
      <c r="CS31" s="8">
        <f t="shared" si="6"/>
        <v>121832.32706105994</v>
      </c>
      <c r="CT31" s="8">
        <f t="shared" si="6"/>
        <v>121832.32706105994</v>
      </c>
      <c r="CU31" s="8">
        <f t="shared" si="6"/>
        <v>121832.32706105994</v>
      </c>
      <c r="CV31" s="8">
        <f t="shared" si="6"/>
        <v>121832.32706105994</v>
      </c>
      <c r="CW31" s="8">
        <f t="shared" si="6"/>
        <v>121832.32706105994</v>
      </c>
      <c r="CX31" s="8">
        <f t="shared" si="6"/>
        <v>121832.32706105994</v>
      </c>
      <c r="CY31" s="8">
        <f t="shared" si="6"/>
        <v>121832.32706105994</v>
      </c>
      <c r="CZ31" s="8">
        <f t="shared" si="6"/>
        <v>121832.32706105994</v>
      </c>
      <c r="DA31" s="8">
        <f t="shared" si="6"/>
        <v>121832.32706105994</v>
      </c>
      <c r="DB31" s="8">
        <f t="shared" si="6"/>
        <v>82415.985953069932</v>
      </c>
      <c r="DC31" s="8">
        <f t="shared" si="6"/>
        <v>82415.985953069932</v>
      </c>
      <c r="DD31" s="8">
        <f t="shared" si="6"/>
        <v>82415.985953069932</v>
      </c>
      <c r="DE31" s="8">
        <f t="shared" si="6"/>
        <v>82415.985953069932</v>
      </c>
      <c r="DF31" s="8">
        <f t="shared" si="6"/>
        <v>82415.985953069932</v>
      </c>
      <c r="DG31" s="8">
        <f t="shared" si="6"/>
        <v>82415.985953069932</v>
      </c>
      <c r="DH31" s="8">
        <f t="shared" si="6"/>
        <v>82415.985953069932</v>
      </c>
      <c r="DI31" s="8">
        <f t="shared" si="6"/>
        <v>82415.985953069932</v>
      </c>
      <c r="DJ31" s="8">
        <f t="shared" si="6"/>
        <v>82415.985953069932</v>
      </c>
      <c r="DK31" s="8">
        <f t="shared" si="6"/>
        <v>82415.985953069932</v>
      </c>
      <c r="DL31" s="8">
        <f t="shared" si="6"/>
        <v>82415.985953069932</v>
      </c>
      <c r="DM31" s="8">
        <f t="shared" si="6"/>
        <v>82415.985953069932</v>
      </c>
      <c r="DN31" s="8">
        <f t="shared" si="6"/>
        <v>42999.644845079929</v>
      </c>
      <c r="DO31" s="8">
        <f t="shared" si="6"/>
        <v>42999.644845079929</v>
      </c>
      <c r="DP31" s="8">
        <f t="shared" si="6"/>
        <v>42999.644845079929</v>
      </c>
      <c r="DQ31" s="8">
        <f t="shared" si="6"/>
        <v>42999.644845079929</v>
      </c>
      <c r="DR31" s="8">
        <f t="shared" si="6"/>
        <v>42999.644845079929</v>
      </c>
      <c r="DS31" s="8">
        <f t="shared" si="6"/>
        <v>42999.644845079929</v>
      </c>
      <c r="DT31" s="8">
        <f t="shared" si="6"/>
        <v>42999.644845079929</v>
      </c>
      <c r="DU31" s="8">
        <f t="shared" si="6"/>
        <v>42999.644845079929</v>
      </c>
      <c r="DV31" s="8">
        <f t="shared" si="6"/>
        <v>42999.644845079929</v>
      </c>
      <c r="DW31" s="8">
        <f t="shared" si="6"/>
        <v>42999.644845079929</v>
      </c>
      <c r="DX31" s="8">
        <f t="shared" si="6"/>
        <v>42999.644845079929</v>
      </c>
      <c r="DY31" s="8">
        <f t="shared" si="6"/>
        <v>42999.644845079929</v>
      </c>
    </row>
    <row r="32" spans="1:129" ht="14.25" customHeight="1" x14ac:dyDescent="0.3">
      <c r="A32" s="7"/>
      <c r="B32" s="15" t="s">
        <v>273</v>
      </c>
      <c r="C32" s="7"/>
      <c r="D32" s="15" t="s">
        <v>4</v>
      </c>
      <c r="E32" s="7"/>
      <c r="F32" s="7"/>
      <c r="G32" s="7"/>
      <c r="H32" s="7"/>
      <c r="I32" s="7"/>
      <c r="J32" s="8">
        <f>J31*$E$4*(J26-E2)/365</f>
        <v>1472.5905768863015</v>
      </c>
      <c r="K32" s="8">
        <f t="shared" ref="K32:DY32" si="7">K31*$E$4*(K26-J26)/365</f>
        <v>1472.5905768863015</v>
      </c>
      <c r="L32" s="8">
        <f t="shared" si="7"/>
        <v>1472.5905768863015</v>
      </c>
      <c r="M32" s="8">
        <f t="shared" si="7"/>
        <v>1521.6769294491785</v>
      </c>
      <c r="N32" s="8">
        <f t="shared" si="7"/>
        <v>1472.5905768863015</v>
      </c>
      <c r="O32" s="8">
        <f t="shared" si="7"/>
        <v>1521.6769294491785</v>
      </c>
      <c r="P32" s="8">
        <f t="shared" si="7"/>
        <v>1423.504224323425</v>
      </c>
      <c r="Q32" s="8">
        <f t="shared" si="7"/>
        <v>1374.417871760548</v>
      </c>
      <c r="R32" s="8">
        <f t="shared" si="7"/>
        <v>1521.6769294491785</v>
      </c>
      <c r="S32" s="8">
        <f t="shared" si="7"/>
        <v>1472.5905768863015</v>
      </c>
      <c r="T32" s="8">
        <f t="shared" si="7"/>
        <v>1521.6769294491785</v>
      </c>
      <c r="U32" s="8">
        <f t="shared" si="7"/>
        <v>1472.5905768863015</v>
      </c>
      <c r="V32" s="8">
        <f t="shared" si="7"/>
        <v>1521.6769294491785</v>
      </c>
      <c r="W32" s="8">
        <f t="shared" si="7"/>
        <v>1521.6769294491785</v>
      </c>
      <c r="X32" s="8">
        <f t="shared" si="7"/>
        <v>1472.5905768863015</v>
      </c>
      <c r="Y32" s="8">
        <f t="shared" si="7"/>
        <v>1521.6769294491785</v>
      </c>
      <c r="Z32" s="8">
        <f t="shared" si="7"/>
        <v>1472.5905768863015</v>
      </c>
      <c r="AA32" s="8">
        <f t="shared" si="7"/>
        <v>1521.6769294491785</v>
      </c>
      <c r="AB32" s="8">
        <f t="shared" si="7"/>
        <v>1521.6769294491785</v>
      </c>
      <c r="AC32" s="8">
        <f t="shared" si="7"/>
        <v>1423.504224323425</v>
      </c>
      <c r="AD32" s="8">
        <f t="shared" si="7"/>
        <v>1521.6769294491785</v>
      </c>
      <c r="AE32" s="8">
        <f t="shared" si="7"/>
        <v>1472.5905768863015</v>
      </c>
      <c r="AF32" s="8">
        <f t="shared" si="7"/>
        <v>1521.6769294491785</v>
      </c>
      <c r="AG32" s="8">
        <f t="shared" si="7"/>
        <v>1472.5905768863015</v>
      </c>
      <c r="AH32" s="8">
        <f t="shared" si="7"/>
        <v>1354.2924672097686</v>
      </c>
      <c r="AI32" s="8">
        <f t="shared" si="7"/>
        <v>1354.2924672097686</v>
      </c>
      <c r="AJ32" s="8">
        <f t="shared" si="7"/>
        <v>1310.6056134288083</v>
      </c>
      <c r="AK32" s="8">
        <f t="shared" si="7"/>
        <v>1354.2924672097686</v>
      </c>
      <c r="AL32" s="8">
        <f t="shared" si="7"/>
        <v>1310.6056134288083</v>
      </c>
      <c r="AM32" s="8">
        <f t="shared" si="7"/>
        <v>1354.2924672097686</v>
      </c>
      <c r="AN32" s="8">
        <f t="shared" si="7"/>
        <v>1354.2924672097686</v>
      </c>
      <c r="AO32" s="8">
        <f t="shared" si="7"/>
        <v>1223.2319058668877</v>
      </c>
      <c r="AP32" s="8">
        <f t="shared" si="7"/>
        <v>1354.2924672097686</v>
      </c>
      <c r="AQ32" s="8">
        <f t="shared" si="7"/>
        <v>1310.6056134288083</v>
      </c>
      <c r="AR32" s="8">
        <f t="shared" si="7"/>
        <v>1354.2924672097686</v>
      </c>
      <c r="AS32" s="8">
        <f t="shared" si="7"/>
        <v>1310.6056134288083</v>
      </c>
      <c r="AT32" s="8">
        <f t="shared" si="7"/>
        <v>1186.9080049703589</v>
      </c>
      <c r="AU32" s="8">
        <f t="shared" si="7"/>
        <v>1186.9080049703589</v>
      </c>
      <c r="AV32" s="8">
        <f t="shared" si="7"/>
        <v>1148.6206499713151</v>
      </c>
      <c r="AW32" s="8">
        <f t="shared" si="7"/>
        <v>1186.9080049703589</v>
      </c>
      <c r="AX32" s="8">
        <f t="shared" si="7"/>
        <v>1148.6206499713151</v>
      </c>
      <c r="AY32" s="8">
        <f t="shared" si="7"/>
        <v>1186.9080049703589</v>
      </c>
      <c r="AZ32" s="8">
        <f t="shared" si="7"/>
        <v>1186.9080049703589</v>
      </c>
      <c r="BA32" s="8">
        <f t="shared" si="7"/>
        <v>1072.0459399732274</v>
      </c>
      <c r="BB32" s="8">
        <f t="shared" si="7"/>
        <v>1186.9080049703589</v>
      </c>
      <c r="BC32" s="8">
        <f t="shared" si="7"/>
        <v>1148.6206499713151</v>
      </c>
      <c r="BD32" s="8">
        <f t="shared" si="7"/>
        <v>1186.9080049703589</v>
      </c>
      <c r="BE32" s="8">
        <f t="shared" si="7"/>
        <v>1148.6206499713151</v>
      </c>
      <c r="BF32" s="8">
        <f t="shared" si="7"/>
        <v>1019.5235427309493</v>
      </c>
      <c r="BG32" s="8">
        <f t="shared" si="7"/>
        <v>1019.5235427309493</v>
      </c>
      <c r="BH32" s="8">
        <f t="shared" si="7"/>
        <v>986.63568651382184</v>
      </c>
      <c r="BI32" s="8">
        <f t="shared" si="7"/>
        <v>1019.5235427309493</v>
      </c>
      <c r="BJ32" s="8">
        <f t="shared" si="7"/>
        <v>986.63568651382184</v>
      </c>
      <c r="BK32" s="8">
        <f t="shared" si="7"/>
        <v>1019.5235427309493</v>
      </c>
      <c r="BL32" s="8">
        <f t="shared" si="7"/>
        <v>1019.5235427309493</v>
      </c>
      <c r="BM32" s="8">
        <f t="shared" si="7"/>
        <v>920.859974079567</v>
      </c>
      <c r="BN32" s="8">
        <f t="shared" si="7"/>
        <v>1019.5235427309493</v>
      </c>
      <c r="BO32" s="8">
        <f t="shared" si="7"/>
        <v>986.63568651382184</v>
      </c>
      <c r="BP32" s="8">
        <f t="shared" si="7"/>
        <v>1019.5235427309493</v>
      </c>
      <c r="BQ32" s="8">
        <f t="shared" si="7"/>
        <v>986.63568651382184</v>
      </c>
      <c r="BR32" s="8">
        <f t="shared" si="7"/>
        <v>852.13908049153952</v>
      </c>
      <c r="BS32" s="8">
        <f t="shared" si="7"/>
        <v>852.13908049153952</v>
      </c>
      <c r="BT32" s="8">
        <f t="shared" si="7"/>
        <v>824.65072305632873</v>
      </c>
      <c r="BU32" s="8">
        <f t="shared" si="7"/>
        <v>852.13908049153952</v>
      </c>
      <c r="BV32" s="8">
        <f t="shared" si="7"/>
        <v>824.65072305632873</v>
      </c>
      <c r="BW32" s="8">
        <f t="shared" si="7"/>
        <v>852.13908049153952</v>
      </c>
      <c r="BX32" s="8">
        <f t="shared" si="7"/>
        <v>852.13908049153952</v>
      </c>
      <c r="BY32" s="8">
        <f t="shared" si="7"/>
        <v>797.16236562111771</v>
      </c>
      <c r="BZ32" s="8">
        <f t="shared" si="7"/>
        <v>852.13908049153952</v>
      </c>
      <c r="CA32" s="8">
        <f t="shared" si="7"/>
        <v>824.65072305632873</v>
      </c>
      <c r="CB32" s="8">
        <f t="shared" si="7"/>
        <v>852.13908049153952</v>
      </c>
      <c r="CC32" s="8">
        <f t="shared" si="7"/>
        <v>824.65072305632873</v>
      </c>
      <c r="CD32" s="8">
        <f t="shared" si="7"/>
        <v>684.75461825212994</v>
      </c>
      <c r="CE32" s="8">
        <f t="shared" si="7"/>
        <v>684.75461825212994</v>
      </c>
      <c r="CF32" s="8">
        <f t="shared" si="7"/>
        <v>662.66575959883539</v>
      </c>
      <c r="CG32" s="8">
        <f t="shared" si="7"/>
        <v>684.75461825212994</v>
      </c>
      <c r="CH32" s="8">
        <f t="shared" si="7"/>
        <v>662.66575959883539</v>
      </c>
      <c r="CI32" s="8">
        <f t="shared" si="7"/>
        <v>684.75461825212994</v>
      </c>
      <c r="CJ32" s="8">
        <f t="shared" si="7"/>
        <v>684.75461825212994</v>
      </c>
      <c r="CK32" s="8">
        <f t="shared" si="7"/>
        <v>618.4880422922464</v>
      </c>
      <c r="CL32" s="8">
        <f t="shared" si="7"/>
        <v>684.75461825212994</v>
      </c>
      <c r="CM32" s="8">
        <f t="shared" si="7"/>
        <v>662.66575959883539</v>
      </c>
      <c r="CN32" s="8">
        <f t="shared" si="7"/>
        <v>684.75461825212994</v>
      </c>
      <c r="CO32" s="8">
        <f t="shared" si="7"/>
        <v>662.66575959883539</v>
      </c>
      <c r="CP32" s="8">
        <f t="shared" si="7"/>
        <v>517.37015601272037</v>
      </c>
      <c r="CQ32" s="8">
        <f t="shared" si="7"/>
        <v>517.37015601272037</v>
      </c>
      <c r="CR32" s="8">
        <f t="shared" si="7"/>
        <v>500.68079614134223</v>
      </c>
      <c r="CS32" s="8">
        <f t="shared" si="7"/>
        <v>517.37015601272037</v>
      </c>
      <c r="CT32" s="8">
        <f t="shared" si="7"/>
        <v>500.68079614134223</v>
      </c>
      <c r="CU32" s="8">
        <f t="shared" si="7"/>
        <v>517.37015601272037</v>
      </c>
      <c r="CV32" s="8">
        <f t="shared" si="7"/>
        <v>517.37015601272037</v>
      </c>
      <c r="CW32" s="8">
        <f t="shared" si="7"/>
        <v>467.30207639858611</v>
      </c>
      <c r="CX32" s="8">
        <f t="shared" si="7"/>
        <v>517.37015601272037</v>
      </c>
      <c r="CY32" s="8">
        <f t="shared" si="7"/>
        <v>500.68079614134223</v>
      </c>
      <c r="CZ32" s="8">
        <f t="shared" si="7"/>
        <v>517.37015601272037</v>
      </c>
      <c r="DA32" s="8">
        <f t="shared" si="7"/>
        <v>500.68079614134223</v>
      </c>
      <c r="DB32" s="8">
        <f t="shared" si="7"/>
        <v>349.98569377331069</v>
      </c>
      <c r="DC32" s="8">
        <f t="shared" si="7"/>
        <v>349.98569377331069</v>
      </c>
      <c r="DD32" s="8">
        <f t="shared" si="7"/>
        <v>338.69583268384906</v>
      </c>
      <c r="DE32" s="8">
        <f t="shared" si="7"/>
        <v>349.98569377331069</v>
      </c>
      <c r="DF32" s="8">
        <f t="shared" si="7"/>
        <v>338.69583268384906</v>
      </c>
      <c r="DG32" s="8">
        <f t="shared" si="7"/>
        <v>349.98569377331069</v>
      </c>
      <c r="DH32" s="8">
        <f t="shared" si="7"/>
        <v>349.98569377331069</v>
      </c>
      <c r="DI32" s="8">
        <f t="shared" si="7"/>
        <v>316.11611050492581</v>
      </c>
      <c r="DJ32" s="8">
        <f t="shared" si="7"/>
        <v>349.98569377331069</v>
      </c>
      <c r="DK32" s="8">
        <f t="shared" si="7"/>
        <v>338.69583268384906</v>
      </c>
      <c r="DL32" s="8">
        <f t="shared" si="7"/>
        <v>349.98569377331069</v>
      </c>
      <c r="DM32" s="8">
        <f t="shared" si="7"/>
        <v>338.69583268384906</v>
      </c>
      <c r="DN32" s="8">
        <f t="shared" si="7"/>
        <v>182.60123153390106</v>
      </c>
      <c r="DO32" s="8">
        <f t="shared" si="7"/>
        <v>182.60123153390106</v>
      </c>
      <c r="DP32" s="8">
        <f t="shared" si="7"/>
        <v>176.7108692263559</v>
      </c>
      <c r="DQ32" s="8">
        <f t="shared" si="7"/>
        <v>182.60123153390106</v>
      </c>
      <c r="DR32" s="8">
        <f t="shared" si="7"/>
        <v>176.7108692263559</v>
      </c>
      <c r="DS32" s="8">
        <f t="shared" si="7"/>
        <v>182.60123153390106</v>
      </c>
      <c r="DT32" s="8">
        <f t="shared" si="7"/>
        <v>182.60123153390106</v>
      </c>
      <c r="DU32" s="8">
        <f t="shared" si="7"/>
        <v>170.82050691881068</v>
      </c>
      <c r="DV32" s="8">
        <f t="shared" si="7"/>
        <v>182.60123153390106</v>
      </c>
      <c r="DW32" s="8">
        <f t="shared" si="7"/>
        <v>176.7108692263559</v>
      </c>
      <c r="DX32" s="8">
        <f t="shared" si="7"/>
        <v>182.60123153390106</v>
      </c>
      <c r="DY32" s="8">
        <f t="shared" si="7"/>
        <v>176.7108692263559</v>
      </c>
    </row>
    <row r="33" spans="1:129" ht="14.25" customHeight="1" x14ac:dyDescent="0.3">
      <c r="A33" s="7"/>
      <c r="B33" s="15" t="s">
        <v>274</v>
      </c>
      <c r="C33" s="7"/>
      <c r="D33" s="15" t="s">
        <v>4</v>
      </c>
      <c r="E33" s="7"/>
      <c r="F33" s="7"/>
      <c r="G33" s="7"/>
      <c r="H33" s="7"/>
      <c r="I33" s="7"/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f>AG34*(1/9)</f>
        <v>3965.0864792457082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f>SUM(AH32:AS32)+$AG$33</f>
        <v>19910.788109296209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f>SUM(AT32:BE32)+$AG$33</f>
        <v>17939.971053896708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f>SUM(BF32:BQ32)+$AG$33</f>
        <v>15969.153998497208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f>SUM(BR32:CC32)+$AG$33</f>
        <v>14025.825300532917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f>SUM(CD32:CO32)+$AG$33</f>
        <v>12027.519887698205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f>SUM(CP32:DA32)+$AG$33</f>
        <v>10056.702832298706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f>SUM(DB32:DM32)+$AG$33</f>
        <v>8085.8857768992057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  <c r="DY33" s="8">
        <f>SUM(DN32:DY32)+$AG$33</f>
        <v>6120.959083807249</v>
      </c>
    </row>
    <row r="34" spans="1:129" ht="14.25" customHeight="1" x14ac:dyDescent="0.3">
      <c r="A34" s="7"/>
      <c r="B34" s="15"/>
      <c r="C34" s="7"/>
      <c r="D34" s="15"/>
      <c r="E34" s="7"/>
      <c r="F34" s="7"/>
      <c r="G34" s="7"/>
      <c r="H34" s="7"/>
      <c r="I34" s="7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>
        <f>SUM(J32:AG32)</f>
        <v>35685.778313211376</v>
      </c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>
        <f>SUM(AH32:AS32)</f>
        <v>15945.7016300505</v>
      </c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</row>
    <row r="35" spans="1:129" ht="14.25" customHeight="1" x14ac:dyDescent="0.3">
      <c r="A35" s="7"/>
      <c r="B35" s="15" t="s">
        <v>275</v>
      </c>
      <c r="C35" s="7"/>
      <c r="D35" s="15" t="s">
        <v>4</v>
      </c>
      <c r="E35" s="7"/>
      <c r="F35" s="7"/>
      <c r="G35" s="7"/>
      <c r="H35" s="7"/>
      <c r="I35" s="7"/>
      <c r="J35" s="8">
        <f>J32-J33</f>
        <v>1472.5905768863015</v>
      </c>
      <c r="K35" s="8">
        <f t="shared" ref="K35:DY35" si="8">K32-K33+J35</f>
        <v>2945.181153772603</v>
      </c>
      <c r="L35" s="8">
        <f t="shared" si="8"/>
        <v>4417.7717306589047</v>
      </c>
      <c r="M35" s="8">
        <f t="shared" si="8"/>
        <v>5939.4486601080835</v>
      </c>
      <c r="N35" s="8">
        <f t="shared" si="8"/>
        <v>7412.0392369943847</v>
      </c>
      <c r="O35" s="8">
        <f t="shared" si="8"/>
        <v>8933.7161664435625</v>
      </c>
      <c r="P35" s="8">
        <f t="shared" si="8"/>
        <v>10357.220390766988</v>
      </c>
      <c r="Q35" s="8">
        <f t="shared" si="8"/>
        <v>11731.638262527536</v>
      </c>
      <c r="R35" s="8">
        <f t="shared" si="8"/>
        <v>13253.315191976715</v>
      </c>
      <c r="S35" s="8">
        <f t="shared" si="8"/>
        <v>14725.905768863016</v>
      </c>
      <c r="T35" s="8">
        <f t="shared" si="8"/>
        <v>16247.582698312195</v>
      </c>
      <c r="U35" s="8">
        <f t="shared" si="8"/>
        <v>17720.173275198496</v>
      </c>
      <c r="V35" s="8">
        <f t="shared" si="8"/>
        <v>19241.850204647675</v>
      </c>
      <c r="W35" s="8">
        <f t="shared" si="8"/>
        <v>20763.527134096854</v>
      </c>
      <c r="X35" s="8">
        <f t="shared" si="8"/>
        <v>22236.117710983155</v>
      </c>
      <c r="Y35" s="8">
        <f t="shared" si="8"/>
        <v>23757.794640432334</v>
      </c>
      <c r="Z35" s="8">
        <f t="shared" si="8"/>
        <v>25230.385217318635</v>
      </c>
      <c r="AA35" s="8">
        <f t="shared" si="8"/>
        <v>26752.062146767814</v>
      </c>
      <c r="AB35" s="8">
        <f t="shared" si="8"/>
        <v>28273.739076216993</v>
      </c>
      <c r="AC35" s="8">
        <f t="shared" si="8"/>
        <v>29697.243300540416</v>
      </c>
      <c r="AD35" s="8">
        <f t="shared" si="8"/>
        <v>31218.920229989595</v>
      </c>
      <c r="AE35" s="8">
        <f t="shared" si="8"/>
        <v>32691.510806875896</v>
      </c>
      <c r="AF35" s="8">
        <f t="shared" si="8"/>
        <v>34213.187736325075</v>
      </c>
      <c r="AG35" s="8">
        <f t="shared" si="8"/>
        <v>31720.69183396567</v>
      </c>
      <c r="AH35" s="8">
        <f t="shared" si="8"/>
        <v>33074.984301175435</v>
      </c>
      <c r="AI35" s="8">
        <f t="shared" si="8"/>
        <v>34429.2767683852</v>
      </c>
      <c r="AJ35" s="8">
        <f t="shared" si="8"/>
        <v>35739.882381814008</v>
      </c>
      <c r="AK35" s="8">
        <f t="shared" si="8"/>
        <v>37094.174849023773</v>
      </c>
      <c r="AL35" s="8">
        <f t="shared" si="8"/>
        <v>38404.780462452582</v>
      </c>
      <c r="AM35" s="8">
        <f t="shared" si="8"/>
        <v>39759.072929662347</v>
      </c>
      <c r="AN35" s="8">
        <f t="shared" si="8"/>
        <v>41113.365396872112</v>
      </c>
      <c r="AO35" s="8">
        <f t="shared" si="8"/>
        <v>42336.597302738999</v>
      </c>
      <c r="AP35" s="8">
        <f t="shared" si="8"/>
        <v>43690.889769948764</v>
      </c>
      <c r="AQ35" s="8">
        <f t="shared" si="8"/>
        <v>45001.495383377573</v>
      </c>
      <c r="AR35" s="8">
        <f t="shared" si="8"/>
        <v>46355.787850587338</v>
      </c>
      <c r="AS35" s="8">
        <f t="shared" si="8"/>
        <v>27755.605354719937</v>
      </c>
      <c r="AT35" s="8">
        <f t="shared" si="8"/>
        <v>28942.513359690296</v>
      </c>
      <c r="AU35" s="8">
        <f t="shared" si="8"/>
        <v>30129.421364660655</v>
      </c>
      <c r="AV35" s="8">
        <f t="shared" si="8"/>
        <v>31278.04201463197</v>
      </c>
      <c r="AW35" s="8">
        <f t="shared" si="8"/>
        <v>32464.950019602329</v>
      </c>
      <c r="AX35" s="8">
        <f t="shared" si="8"/>
        <v>33613.570669573644</v>
      </c>
      <c r="AY35" s="8">
        <f t="shared" si="8"/>
        <v>34800.478674544007</v>
      </c>
      <c r="AZ35" s="8">
        <f t="shared" si="8"/>
        <v>35987.386679514369</v>
      </c>
      <c r="BA35" s="8">
        <f t="shared" si="8"/>
        <v>37059.432619487598</v>
      </c>
      <c r="BB35" s="8">
        <f t="shared" si="8"/>
        <v>38246.340624457953</v>
      </c>
      <c r="BC35" s="8">
        <f t="shared" si="8"/>
        <v>39394.961274429268</v>
      </c>
      <c r="BD35" s="8">
        <f t="shared" si="8"/>
        <v>40581.869279399631</v>
      </c>
      <c r="BE35" s="8">
        <f t="shared" si="8"/>
        <v>23790.518875474238</v>
      </c>
      <c r="BF35" s="8">
        <f t="shared" si="8"/>
        <v>24810.042418205187</v>
      </c>
      <c r="BG35" s="8">
        <f t="shared" si="8"/>
        <v>25829.565960936136</v>
      </c>
      <c r="BH35" s="8">
        <f t="shared" si="8"/>
        <v>26816.201647449958</v>
      </c>
      <c r="BI35" s="8">
        <f t="shared" si="8"/>
        <v>27835.725190180907</v>
      </c>
      <c r="BJ35" s="8">
        <f t="shared" si="8"/>
        <v>28822.360876694729</v>
      </c>
      <c r="BK35" s="8">
        <f t="shared" si="8"/>
        <v>29841.884419425678</v>
      </c>
      <c r="BL35" s="8">
        <f t="shared" si="8"/>
        <v>30861.407962156627</v>
      </c>
      <c r="BM35" s="8">
        <f t="shared" si="8"/>
        <v>31782.267936236192</v>
      </c>
      <c r="BN35" s="8">
        <f t="shared" si="8"/>
        <v>32801.791478967141</v>
      </c>
      <c r="BO35" s="8">
        <f t="shared" si="8"/>
        <v>33788.427165480964</v>
      </c>
      <c r="BP35" s="8">
        <f t="shared" si="8"/>
        <v>34807.950708211916</v>
      </c>
      <c r="BQ35" s="8">
        <f t="shared" si="8"/>
        <v>19825.432396228531</v>
      </c>
      <c r="BR35" s="8">
        <f t="shared" si="8"/>
        <v>20677.57147672007</v>
      </c>
      <c r="BS35" s="8">
        <f t="shared" si="8"/>
        <v>21529.710557211609</v>
      </c>
      <c r="BT35" s="8">
        <f t="shared" si="8"/>
        <v>22354.361280267938</v>
      </c>
      <c r="BU35" s="8">
        <f t="shared" si="8"/>
        <v>23206.500360759477</v>
      </c>
      <c r="BV35" s="8">
        <f t="shared" si="8"/>
        <v>24031.151083815806</v>
      </c>
      <c r="BW35" s="8">
        <f t="shared" si="8"/>
        <v>24883.290164307346</v>
      </c>
      <c r="BX35" s="8">
        <f t="shared" si="8"/>
        <v>25735.429244798885</v>
      </c>
      <c r="BY35" s="8">
        <f t="shared" si="8"/>
        <v>26532.591610420001</v>
      </c>
      <c r="BZ35" s="8">
        <f t="shared" si="8"/>
        <v>27384.73069091154</v>
      </c>
      <c r="CA35" s="8">
        <f t="shared" si="8"/>
        <v>28209.381413967869</v>
      </c>
      <c r="CB35" s="8">
        <f t="shared" si="8"/>
        <v>29061.520494459408</v>
      </c>
      <c r="CC35" s="8">
        <f t="shared" si="8"/>
        <v>15860.34591698282</v>
      </c>
      <c r="CD35" s="8">
        <f t="shared" si="8"/>
        <v>16545.100535234949</v>
      </c>
      <c r="CE35" s="8">
        <f t="shared" si="8"/>
        <v>17229.855153487078</v>
      </c>
      <c r="CF35" s="8">
        <f t="shared" si="8"/>
        <v>17892.520913085915</v>
      </c>
      <c r="CG35" s="8">
        <f t="shared" si="8"/>
        <v>18577.275531338044</v>
      </c>
      <c r="CH35" s="8">
        <f t="shared" si="8"/>
        <v>19239.94129093688</v>
      </c>
      <c r="CI35" s="8">
        <f t="shared" si="8"/>
        <v>19924.695909189009</v>
      </c>
      <c r="CJ35" s="8">
        <f t="shared" si="8"/>
        <v>20609.450527441139</v>
      </c>
      <c r="CK35" s="8">
        <f t="shared" si="8"/>
        <v>21227.938569733386</v>
      </c>
      <c r="CL35" s="8">
        <f t="shared" si="8"/>
        <v>21912.693187985515</v>
      </c>
      <c r="CM35" s="8">
        <f t="shared" si="8"/>
        <v>22575.358947584351</v>
      </c>
      <c r="CN35" s="8">
        <f t="shared" si="8"/>
        <v>23260.11356583648</v>
      </c>
      <c r="CO35" s="8">
        <f t="shared" si="8"/>
        <v>11895.25943773711</v>
      </c>
      <c r="CP35" s="8">
        <f t="shared" si="8"/>
        <v>12412.629593749831</v>
      </c>
      <c r="CQ35" s="8">
        <f t="shared" si="8"/>
        <v>12929.999749762552</v>
      </c>
      <c r="CR35" s="8">
        <f t="shared" si="8"/>
        <v>13430.680545903893</v>
      </c>
      <c r="CS35" s="8">
        <f t="shared" si="8"/>
        <v>13948.050701916614</v>
      </c>
      <c r="CT35" s="8">
        <f t="shared" si="8"/>
        <v>14448.731498057956</v>
      </c>
      <c r="CU35" s="8">
        <f t="shared" si="8"/>
        <v>14966.101654070677</v>
      </c>
      <c r="CV35" s="8">
        <f t="shared" si="8"/>
        <v>15483.471810083398</v>
      </c>
      <c r="CW35" s="8">
        <f t="shared" si="8"/>
        <v>15950.773886481984</v>
      </c>
      <c r="CX35" s="8">
        <f t="shared" si="8"/>
        <v>16468.144042494703</v>
      </c>
      <c r="CY35" s="8">
        <f t="shared" si="8"/>
        <v>16968.824838636046</v>
      </c>
      <c r="CZ35" s="8">
        <f t="shared" si="8"/>
        <v>17486.194994648766</v>
      </c>
      <c r="DA35" s="8">
        <f t="shared" si="8"/>
        <v>7930.172958491401</v>
      </c>
      <c r="DB35" s="8">
        <f t="shared" si="8"/>
        <v>8280.1586522647121</v>
      </c>
      <c r="DC35" s="8">
        <f t="shared" si="8"/>
        <v>8630.1443460380233</v>
      </c>
      <c r="DD35" s="8">
        <f t="shared" si="8"/>
        <v>8968.8401787218718</v>
      </c>
      <c r="DE35" s="8">
        <f t="shared" si="8"/>
        <v>9318.8258724951829</v>
      </c>
      <c r="DF35" s="8">
        <f t="shared" si="8"/>
        <v>9657.5217051790314</v>
      </c>
      <c r="DG35" s="8">
        <f t="shared" si="8"/>
        <v>10007.507398952343</v>
      </c>
      <c r="DH35" s="8">
        <f t="shared" si="8"/>
        <v>10357.493092725654</v>
      </c>
      <c r="DI35" s="8">
        <f t="shared" si="8"/>
        <v>10673.609203230579</v>
      </c>
      <c r="DJ35" s="8">
        <f t="shared" si="8"/>
        <v>11023.59489700389</v>
      </c>
      <c r="DK35" s="8">
        <f t="shared" si="8"/>
        <v>11362.290729687738</v>
      </c>
      <c r="DL35" s="8">
        <f t="shared" si="8"/>
        <v>11712.276423461049</v>
      </c>
      <c r="DM35" s="8">
        <f t="shared" si="8"/>
        <v>3965.0864792456932</v>
      </c>
      <c r="DN35" s="8">
        <f t="shared" si="8"/>
        <v>4147.6877107795945</v>
      </c>
      <c r="DO35" s="8">
        <f t="shared" si="8"/>
        <v>4330.2889423134957</v>
      </c>
      <c r="DP35" s="8">
        <f t="shared" si="8"/>
        <v>4506.9998115398512</v>
      </c>
      <c r="DQ35" s="8">
        <f t="shared" si="8"/>
        <v>4689.6010430737524</v>
      </c>
      <c r="DR35" s="8">
        <f t="shared" si="8"/>
        <v>4866.3119123001079</v>
      </c>
      <c r="DS35" s="8">
        <f t="shared" si="8"/>
        <v>5048.9131438340091</v>
      </c>
      <c r="DT35" s="8">
        <f t="shared" si="8"/>
        <v>5231.5143753679104</v>
      </c>
      <c r="DU35" s="8">
        <f t="shared" si="8"/>
        <v>5402.334882286721</v>
      </c>
      <c r="DV35" s="8">
        <f t="shared" si="8"/>
        <v>5584.9361138206223</v>
      </c>
      <c r="DW35" s="8">
        <f t="shared" si="8"/>
        <v>5761.6469830469778</v>
      </c>
      <c r="DX35" s="8">
        <f t="shared" si="8"/>
        <v>5944.248214580879</v>
      </c>
      <c r="DY35" s="8">
        <f t="shared" si="8"/>
        <v>-1.4551915228366852E-11</v>
      </c>
    </row>
    <row r="36" spans="1:129" ht="14.25" customHeight="1" x14ac:dyDescent="0.3">
      <c r="A36" s="7"/>
      <c r="B36" s="7" t="s">
        <v>276</v>
      </c>
      <c r="C36" s="7"/>
      <c r="D36" s="15" t="s">
        <v>4</v>
      </c>
      <c r="E36" s="7"/>
      <c r="F36" s="7"/>
      <c r="G36" s="7"/>
      <c r="H36" s="7"/>
      <c r="I36" s="7"/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55">
        <f>F13</f>
        <v>39416.341107990003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55">
        <f>F14</f>
        <v>39416.341107990003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55">
        <f>F15</f>
        <v>39416.341107990003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55">
        <f>F16</f>
        <v>39416.341107990003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55">
        <f>F17</f>
        <v>39416.341107990003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55">
        <f>F18</f>
        <v>39416.341107990003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55">
        <f>F19</f>
        <v>39416.341107990003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55">
        <f>F20</f>
        <v>39416.341107990003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55">
        <f>F21</f>
        <v>42999.644845080002</v>
      </c>
    </row>
    <row r="37" spans="1:129" ht="14.25" customHeight="1" x14ac:dyDescent="0.3">
      <c r="A37" s="7"/>
      <c r="B37" s="15" t="s">
        <v>277</v>
      </c>
      <c r="C37" s="7"/>
      <c r="D37" s="15" t="s">
        <v>4</v>
      </c>
      <c r="E37" s="7"/>
      <c r="F37" s="7"/>
      <c r="G37" s="7"/>
      <c r="H37" s="7"/>
      <c r="I37" s="7"/>
      <c r="J37" s="8">
        <f t="shared" ref="J37:DY37" si="9">J31-J36</f>
        <v>358330.37370900001</v>
      </c>
      <c r="K37" s="8">
        <f t="shared" si="9"/>
        <v>358330.37370900001</v>
      </c>
      <c r="L37" s="8">
        <f t="shared" si="9"/>
        <v>358330.37370900001</v>
      </c>
      <c r="M37" s="8">
        <f t="shared" si="9"/>
        <v>358330.37370900001</v>
      </c>
      <c r="N37" s="8">
        <f t="shared" si="9"/>
        <v>358330.37370900001</v>
      </c>
      <c r="O37" s="8">
        <f t="shared" si="9"/>
        <v>358330.37370900001</v>
      </c>
      <c r="P37" s="8">
        <f t="shared" si="9"/>
        <v>358330.37370900001</v>
      </c>
      <c r="Q37" s="8">
        <f t="shared" si="9"/>
        <v>358330.37370900001</v>
      </c>
      <c r="R37" s="8">
        <f t="shared" si="9"/>
        <v>358330.37370900001</v>
      </c>
      <c r="S37" s="8">
        <f t="shared" si="9"/>
        <v>358330.37370900001</v>
      </c>
      <c r="T37" s="8">
        <f t="shared" si="9"/>
        <v>358330.37370900001</v>
      </c>
      <c r="U37" s="8">
        <f t="shared" si="9"/>
        <v>358330.37370900001</v>
      </c>
      <c r="V37" s="8">
        <f t="shared" si="9"/>
        <v>358330.37370900001</v>
      </c>
      <c r="W37" s="8">
        <f t="shared" si="9"/>
        <v>358330.37370900001</v>
      </c>
      <c r="X37" s="8">
        <f t="shared" si="9"/>
        <v>358330.37370900001</v>
      </c>
      <c r="Y37" s="8">
        <f t="shared" si="9"/>
        <v>358330.37370900001</v>
      </c>
      <c r="Z37" s="8">
        <f t="shared" si="9"/>
        <v>358330.37370900001</v>
      </c>
      <c r="AA37" s="8">
        <f t="shared" si="9"/>
        <v>358330.37370900001</v>
      </c>
      <c r="AB37" s="8">
        <f t="shared" si="9"/>
        <v>358330.37370900001</v>
      </c>
      <c r="AC37" s="8">
        <f t="shared" si="9"/>
        <v>358330.37370900001</v>
      </c>
      <c r="AD37" s="8">
        <f t="shared" si="9"/>
        <v>358330.37370900001</v>
      </c>
      <c r="AE37" s="8">
        <f t="shared" si="9"/>
        <v>358330.37370900001</v>
      </c>
      <c r="AF37" s="8">
        <f t="shared" si="9"/>
        <v>358330.37370900001</v>
      </c>
      <c r="AG37" s="8">
        <f t="shared" si="9"/>
        <v>318914.03260101</v>
      </c>
      <c r="AH37" s="8">
        <f t="shared" si="9"/>
        <v>318914.03260101</v>
      </c>
      <c r="AI37" s="8">
        <f t="shared" si="9"/>
        <v>318914.03260101</v>
      </c>
      <c r="AJ37" s="8">
        <f t="shared" si="9"/>
        <v>318914.03260101</v>
      </c>
      <c r="AK37" s="8">
        <f t="shared" si="9"/>
        <v>318914.03260101</v>
      </c>
      <c r="AL37" s="8">
        <f t="shared" si="9"/>
        <v>318914.03260101</v>
      </c>
      <c r="AM37" s="8">
        <f t="shared" si="9"/>
        <v>318914.03260101</v>
      </c>
      <c r="AN37" s="8">
        <f t="shared" si="9"/>
        <v>318914.03260101</v>
      </c>
      <c r="AO37" s="8">
        <f t="shared" si="9"/>
        <v>318914.03260101</v>
      </c>
      <c r="AP37" s="8">
        <f t="shared" si="9"/>
        <v>318914.03260101</v>
      </c>
      <c r="AQ37" s="8">
        <f t="shared" si="9"/>
        <v>318914.03260101</v>
      </c>
      <c r="AR37" s="8">
        <f t="shared" si="9"/>
        <v>318914.03260101</v>
      </c>
      <c r="AS37" s="8">
        <f t="shared" si="9"/>
        <v>279497.69149301999</v>
      </c>
      <c r="AT37" s="8">
        <f t="shared" si="9"/>
        <v>279497.69149301999</v>
      </c>
      <c r="AU37" s="8">
        <f t="shared" si="9"/>
        <v>279497.69149301999</v>
      </c>
      <c r="AV37" s="8">
        <f t="shared" si="9"/>
        <v>279497.69149301999</v>
      </c>
      <c r="AW37" s="8">
        <f t="shared" si="9"/>
        <v>279497.69149301999</v>
      </c>
      <c r="AX37" s="8">
        <f t="shared" si="9"/>
        <v>279497.69149301999</v>
      </c>
      <c r="AY37" s="8">
        <f t="shared" si="9"/>
        <v>279497.69149301999</v>
      </c>
      <c r="AZ37" s="8">
        <f t="shared" si="9"/>
        <v>279497.69149301999</v>
      </c>
      <c r="BA37" s="8">
        <f t="shared" si="9"/>
        <v>279497.69149301999</v>
      </c>
      <c r="BB37" s="8">
        <f t="shared" si="9"/>
        <v>279497.69149301999</v>
      </c>
      <c r="BC37" s="8">
        <f t="shared" si="9"/>
        <v>279497.69149301999</v>
      </c>
      <c r="BD37" s="8">
        <f t="shared" si="9"/>
        <v>279497.69149301999</v>
      </c>
      <c r="BE37" s="8">
        <f t="shared" si="9"/>
        <v>240081.35038502997</v>
      </c>
      <c r="BF37" s="8">
        <f t="shared" si="9"/>
        <v>240081.35038502997</v>
      </c>
      <c r="BG37" s="8">
        <f t="shared" si="9"/>
        <v>240081.35038502997</v>
      </c>
      <c r="BH37" s="8">
        <f t="shared" si="9"/>
        <v>240081.35038502997</v>
      </c>
      <c r="BI37" s="8">
        <f t="shared" si="9"/>
        <v>240081.35038502997</v>
      </c>
      <c r="BJ37" s="8">
        <f t="shared" si="9"/>
        <v>240081.35038502997</v>
      </c>
      <c r="BK37" s="8">
        <f t="shared" si="9"/>
        <v>240081.35038502997</v>
      </c>
      <c r="BL37" s="8">
        <f t="shared" si="9"/>
        <v>240081.35038502997</v>
      </c>
      <c r="BM37" s="8">
        <f t="shared" si="9"/>
        <v>240081.35038502997</v>
      </c>
      <c r="BN37" s="8">
        <f t="shared" si="9"/>
        <v>240081.35038502997</v>
      </c>
      <c r="BO37" s="8">
        <f t="shared" si="9"/>
        <v>240081.35038502997</v>
      </c>
      <c r="BP37" s="8">
        <f t="shared" si="9"/>
        <v>240081.35038502997</v>
      </c>
      <c r="BQ37" s="8">
        <f t="shared" si="9"/>
        <v>200665.00927703996</v>
      </c>
      <c r="BR37" s="8">
        <f t="shared" si="9"/>
        <v>200665.00927703996</v>
      </c>
      <c r="BS37" s="8">
        <f t="shared" si="9"/>
        <v>200665.00927703996</v>
      </c>
      <c r="BT37" s="8">
        <f t="shared" si="9"/>
        <v>200665.00927703996</v>
      </c>
      <c r="BU37" s="8">
        <f t="shared" si="9"/>
        <v>200665.00927703996</v>
      </c>
      <c r="BV37" s="8">
        <f t="shared" si="9"/>
        <v>200665.00927703996</v>
      </c>
      <c r="BW37" s="8">
        <f t="shared" si="9"/>
        <v>200665.00927703996</v>
      </c>
      <c r="BX37" s="8">
        <f t="shared" si="9"/>
        <v>200665.00927703996</v>
      </c>
      <c r="BY37" s="8">
        <f t="shared" si="9"/>
        <v>200665.00927703996</v>
      </c>
      <c r="BZ37" s="8">
        <f t="shared" si="9"/>
        <v>200665.00927703996</v>
      </c>
      <c r="CA37" s="8">
        <f t="shared" si="9"/>
        <v>200665.00927703996</v>
      </c>
      <c r="CB37" s="8">
        <f t="shared" si="9"/>
        <v>200665.00927703996</v>
      </c>
      <c r="CC37" s="8">
        <f t="shared" si="9"/>
        <v>161248.66816904995</v>
      </c>
      <c r="CD37" s="8">
        <f t="shared" si="9"/>
        <v>161248.66816904995</v>
      </c>
      <c r="CE37" s="8">
        <f t="shared" si="9"/>
        <v>161248.66816904995</v>
      </c>
      <c r="CF37" s="8">
        <f t="shared" si="9"/>
        <v>161248.66816904995</v>
      </c>
      <c r="CG37" s="8">
        <f t="shared" si="9"/>
        <v>161248.66816904995</v>
      </c>
      <c r="CH37" s="8">
        <f t="shared" si="9"/>
        <v>161248.66816904995</v>
      </c>
      <c r="CI37" s="8">
        <f t="shared" si="9"/>
        <v>161248.66816904995</v>
      </c>
      <c r="CJ37" s="8">
        <f t="shared" si="9"/>
        <v>161248.66816904995</v>
      </c>
      <c r="CK37" s="8">
        <f t="shared" si="9"/>
        <v>161248.66816904995</v>
      </c>
      <c r="CL37" s="8">
        <f t="shared" si="9"/>
        <v>161248.66816904995</v>
      </c>
      <c r="CM37" s="8">
        <f t="shared" si="9"/>
        <v>161248.66816904995</v>
      </c>
      <c r="CN37" s="8">
        <f t="shared" si="9"/>
        <v>161248.66816904995</v>
      </c>
      <c r="CO37" s="8">
        <f t="shared" si="9"/>
        <v>121832.32706105994</v>
      </c>
      <c r="CP37" s="8">
        <f t="shared" si="9"/>
        <v>121832.32706105994</v>
      </c>
      <c r="CQ37" s="8">
        <f t="shared" si="9"/>
        <v>121832.32706105994</v>
      </c>
      <c r="CR37" s="8">
        <f t="shared" si="9"/>
        <v>121832.32706105994</v>
      </c>
      <c r="CS37" s="8">
        <f t="shared" si="9"/>
        <v>121832.32706105994</v>
      </c>
      <c r="CT37" s="8">
        <f t="shared" si="9"/>
        <v>121832.32706105994</v>
      </c>
      <c r="CU37" s="8">
        <f t="shared" si="9"/>
        <v>121832.32706105994</v>
      </c>
      <c r="CV37" s="8">
        <f t="shared" si="9"/>
        <v>121832.32706105994</v>
      </c>
      <c r="CW37" s="8">
        <f t="shared" si="9"/>
        <v>121832.32706105994</v>
      </c>
      <c r="CX37" s="8">
        <f t="shared" si="9"/>
        <v>121832.32706105994</v>
      </c>
      <c r="CY37" s="8">
        <f t="shared" si="9"/>
        <v>121832.32706105994</v>
      </c>
      <c r="CZ37" s="8">
        <f t="shared" si="9"/>
        <v>121832.32706105994</v>
      </c>
      <c r="DA37" s="8">
        <f t="shared" si="9"/>
        <v>82415.985953069932</v>
      </c>
      <c r="DB37" s="8">
        <f t="shared" si="9"/>
        <v>82415.985953069932</v>
      </c>
      <c r="DC37" s="8">
        <f t="shared" si="9"/>
        <v>82415.985953069932</v>
      </c>
      <c r="DD37" s="8">
        <f t="shared" si="9"/>
        <v>82415.985953069932</v>
      </c>
      <c r="DE37" s="8">
        <f t="shared" si="9"/>
        <v>82415.985953069932</v>
      </c>
      <c r="DF37" s="8">
        <f t="shared" si="9"/>
        <v>82415.985953069932</v>
      </c>
      <c r="DG37" s="8">
        <f t="shared" si="9"/>
        <v>82415.985953069932</v>
      </c>
      <c r="DH37" s="8">
        <f t="shared" si="9"/>
        <v>82415.985953069932</v>
      </c>
      <c r="DI37" s="8">
        <f t="shared" si="9"/>
        <v>82415.985953069932</v>
      </c>
      <c r="DJ37" s="8">
        <f t="shared" si="9"/>
        <v>82415.985953069932</v>
      </c>
      <c r="DK37" s="8">
        <f t="shared" si="9"/>
        <v>82415.985953069932</v>
      </c>
      <c r="DL37" s="8">
        <f t="shared" si="9"/>
        <v>82415.985953069932</v>
      </c>
      <c r="DM37" s="8">
        <f t="shared" si="9"/>
        <v>42999.644845079929</v>
      </c>
      <c r="DN37" s="8">
        <f t="shared" si="9"/>
        <v>42999.644845079929</v>
      </c>
      <c r="DO37" s="8">
        <f t="shared" si="9"/>
        <v>42999.644845079929</v>
      </c>
      <c r="DP37" s="8">
        <f t="shared" si="9"/>
        <v>42999.644845079929</v>
      </c>
      <c r="DQ37" s="8">
        <f t="shared" si="9"/>
        <v>42999.644845079929</v>
      </c>
      <c r="DR37" s="8">
        <f t="shared" si="9"/>
        <v>42999.644845079929</v>
      </c>
      <c r="DS37" s="8">
        <f t="shared" si="9"/>
        <v>42999.644845079929</v>
      </c>
      <c r="DT37" s="8">
        <f t="shared" si="9"/>
        <v>42999.644845079929</v>
      </c>
      <c r="DU37" s="8">
        <f t="shared" si="9"/>
        <v>42999.644845079929</v>
      </c>
      <c r="DV37" s="8">
        <f t="shared" si="9"/>
        <v>42999.644845079929</v>
      </c>
      <c r="DW37" s="8">
        <f t="shared" si="9"/>
        <v>42999.644845079929</v>
      </c>
      <c r="DX37" s="8">
        <f t="shared" si="9"/>
        <v>42999.644845079929</v>
      </c>
      <c r="DY37" s="8">
        <f t="shared" si="9"/>
        <v>-7.2759576141834259E-11</v>
      </c>
    </row>
    <row r="38" spans="1:129" ht="14.2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</row>
    <row r="39" spans="1:129" ht="13.5" customHeight="1" x14ac:dyDescent="0.3"/>
    <row r="40" spans="1:129" ht="13.5" customHeight="1" x14ac:dyDescent="0.3">
      <c r="J40" s="55"/>
    </row>
    <row r="41" spans="1:129" ht="13.5" customHeight="1" x14ac:dyDescent="0.3"/>
    <row r="42" spans="1:129" ht="13.5" customHeight="1" x14ac:dyDescent="0.3">
      <c r="J42" s="55"/>
    </row>
    <row r="43" spans="1:129" ht="13.5" customHeight="1" x14ac:dyDescent="0.3">
      <c r="A43" s="3"/>
      <c r="B43" s="3" t="s">
        <v>747</v>
      </c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  <c r="DW43" s="122"/>
      <c r="DX43" s="122"/>
      <c r="DY43" s="122"/>
    </row>
    <row r="44" spans="1:129" ht="13.5" customHeight="1" x14ac:dyDescent="0.3">
      <c r="B44" s="7" t="s">
        <v>467</v>
      </c>
      <c r="E44" s="181">
        <v>46235</v>
      </c>
    </row>
    <row r="45" spans="1:129" ht="13.5" customHeight="1" x14ac:dyDescent="0.3">
      <c r="B45" s="7" t="s">
        <v>738</v>
      </c>
      <c r="D45" s="7" t="s">
        <v>4</v>
      </c>
      <c r="E45" s="8">
        <f>Input!K56</f>
        <v>0</v>
      </c>
    </row>
    <row r="46" spans="1:129" ht="13.5" customHeight="1" x14ac:dyDescent="0.3">
      <c r="B46" s="15" t="s">
        <v>271</v>
      </c>
      <c r="C46" s="7"/>
      <c r="D46" s="15" t="s">
        <v>10</v>
      </c>
      <c r="E46" s="127">
        <f>Output!L190</f>
        <v>0</v>
      </c>
    </row>
    <row r="47" spans="1:129" ht="13.5" customHeight="1" x14ac:dyDescent="0.3">
      <c r="B47" s="7" t="s">
        <v>468</v>
      </c>
      <c r="D47" s="7" t="s">
        <v>12</v>
      </c>
      <c r="E47" s="15">
        <v>10</v>
      </c>
    </row>
    <row r="48" spans="1:129" ht="13.5" customHeight="1" x14ac:dyDescent="0.3">
      <c r="B48" s="7" t="s">
        <v>469</v>
      </c>
      <c r="D48" s="7" t="s">
        <v>12</v>
      </c>
      <c r="E48" s="15">
        <v>2</v>
      </c>
    </row>
    <row r="49" spans="2:7" ht="13.5" customHeight="1" x14ac:dyDescent="0.3"/>
    <row r="50" spans="2:7" ht="13.5" customHeight="1" x14ac:dyDescent="0.3">
      <c r="B50" s="7" t="s">
        <v>274</v>
      </c>
      <c r="D50" s="7" t="s">
        <v>361</v>
      </c>
      <c r="E50" s="15">
        <v>12</v>
      </c>
      <c r="G50" s="7" t="s">
        <v>470</v>
      </c>
    </row>
    <row r="51" spans="2:7" ht="13.5" customHeight="1" x14ac:dyDescent="0.3">
      <c r="B51" s="7" t="s">
        <v>471</v>
      </c>
      <c r="D51" s="7" t="s">
        <v>361</v>
      </c>
      <c r="E51" s="15">
        <v>12</v>
      </c>
      <c r="G51" s="7" t="s">
        <v>470</v>
      </c>
    </row>
    <row r="52" spans="2:7" ht="13.5" customHeight="1" x14ac:dyDescent="0.3"/>
    <row r="53" spans="2:7" ht="13.5" customHeight="1" x14ac:dyDescent="0.3">
      <c r="B53" s="7" t="s">
        <v>471</v>
      </c>
      <c r="D53" s="20">
        <v>2026</v>
      </c>
      <c r="E53" s="49">
        <v>0</v>
      </c>
      <c r="F53" s="55">
        <f t="shared" ref="F53:F63" si="10">$E$3*E53</f>
        <v>0</v>
      </c>
    </row>
    <row r="54" spans="2:7" ht="13.5" customHeight="1" x14ac:dyDescent="0.3">
      <c r="D54" s="20">
        <f t="shared" ref="D54:D63" si="11">D53+1</f>
        <v>2027</v>
      </c>
      <c r="E54" s="49">
        <v>0</v>
      </c>
      <c r="F54" s="55">
        <f t="shared" si="10"/>
        <v>0</v>
      </c>
    </row>
    <row r="55" spans="2:7" ht="13.5" customHeight="1" x14ac:dyDescent="0.3">
      <c r="D55" s="20">
        <f t="shared" si="11"/>
        <v>2028</v>
      </c>
      <c r="E55" s="49">
        <v>0.03</v>
      </c>
      <c r="F55" s="55">
        <f t="shared" si="10"/>
        <v>10749.91121127</v>
      </c>
    </row>
    <row r="56" spans="2:7" ht="13.5" customHeight="1" x14ac:dyDescent="0.3">
      <c r="D56" s="20">
        <f t="shared" si="11"/>
        <v>2029</v>
      </c>
      <c r="E56" s="49">
        <v>0.03</v>
      </c>
      <c r="F56" s="55">
        <f t="shared" si="10"/>
        <v>10749.91121127</v>
      </c>
    </row>
    <row r="57" spans="2:7" ht="13.5" customHeight="1" x14ac:dyDescent="0.3">
      <c r="D57" s="20">
        <f t="shared" si="11"/>
        <v>2030</v>
      </c>
      <c r="E57" s="49">
        <v>0.05</v>
      </c>
      <c r="F57" s="55">
        <f t="shared" si="10"/>
        <v>17916.518685450003</v>
      </c>
    </row>
    <row r="58" spans="2:7" ht="13.5" customHeight="1" x14ac:dyDescent="0.3">
      <c r="D58" s="20">
        <f t="shared" si="11"/>
        <v>2031</v>
      </c>
      <c r="E58" s="49">
        <v>0.05</v>
      </c>
      <c r="F58" s="55">
        <f t="shared" si="10"/>
        <v>17916.518685450003</v>
      </c>
    </row>
    <row r="59" spans="2:7" ht="13.5" customHeight="1" x14ac:dyDescent="0.3">
      <c r="D59" s="20">
        <f t="shared" si="11"/>
        <v>2032</v>
      </c>
      <c r="E59" s="49">
        <v>0.1</v>
      </c>
      <c r="F59" s="55">
        <f t="shared" si="10"/>
        <v>35833.037370900005</v>
      </c>
    </row>
    <row r="60" spans="2:7" ht="13.5" customHeight="1" x14ac:dyDescent="0.3">
      <c r="D60" s="20">
        <f t="shared" si="11"/>
        <v>2033</v>
      </c>
      <c r="E60" s="49">
        <v>0.1</v>
      </c>
      <c r="F60" s="55">
        <f t="shared" si="10"/>
        <v>35833.037370900005</v>
      </c>
    </row>
    <row r="61" spans="2:7" ht="13.5" customHeight="1" x14ac:dyDescent="0.3">
      <c r="D61" s="20">
        <f t="shared" si="11"/>
        <v>2034</v>
      </c>
      <c r="E61" s="49">
        <v>0.2</v>
      </c>
      <c r="F61" s="55">
        <f t="shared" si="10"/>
        <v>71666.07474180001</v>
      </c>
    </row>
    <row r="62" spans="2:7" ht="13.5" customHeight="1" x14ac:dyDescent="0.3">
      <c r="D62" s="20">
        <f t="shared" si="11"/>
        <v>2035</v>
      </c>
      <c r="E62" s="49">
        <v>0.2</v>
      </c>
      <c r="F62" s="55">
        <f t="shared" si="10"/>
        <v>71666.07474180001</v>
      </c>
    </row>
    <row r="63" spans="2:7" ht="13.5" customHeight="1" x14ac:dyDescent="0.3">
      <c r="D63" s="20">
        <f t="shared" si="11"/>
        <v>2036</v>
      </c>
      <c r="E63" s="49">
        <f>100%-SUM(E53:E62)</f>
        <v>0.24</v>
      </c>
      <c r="F63" s="55">
        <f t="shared" si="10"/>
        <v>85999.289690160003</v>
      </c>
    </row>
    <row r="64" spans="2:7" ht="13.5" customHeight="1" x14ac:dyDescent="0.3">
      <c r="E64" s="49">
        <f t="shared" ref="E64" si="12">SUM(E53:E63)</f>
        <v>1</v>
      </c>
      <c r="F64" s="55">
        <f t="shared" ref="F64" si="13">SUM(F53:F63)</f>
        <v>358330.37370900006</v>
      </c>
    </row>
    <row r="65" spans="1:129" ht="13.5" customHeight="1" x14ac:dyDescent="0.3"/>
    <row r="66" spans="1:129" ht="13.5" customHeight="1" x14ac:dyDescent="0.3"/>
    <row r="67" spans="1:129" ht="13.5" customHeight="1" x14ac:dyDescent="0.3">
      <c r="J67" s="10">
        <f t="shared" ref="J67:DY67" si="14">YEAR(J70)</f>
        <v>2026</v>
      </c>
      <c r="K67" s="10">
        <f t="shared" si="14"/>
        <v>2026</v>
      </c>
      <c r="L67" s="10">
        <f t="shared" si="14"/>
        <v>2026</v>
      </c>
      <c r="M67" s="10">
        <f t="shared" si="14"/>
        <v>2026</v>
      </c>
      <c r="N67" s="10">
        <f t="shared" si="14"/>
        <v>2026</v>
      </c>
      <c r="O67" s="10">
        <f t="shared" si="14"/>
        <v>2027</v>
      </c>
      <c r="P67" s="10">
        <f t="shared" si="14"/>
        <v>2027</v>
      </c>
      <c r="Q67" s="10">
        <f t="shared" si="14"/>
        <v>2027</v>
      </c>
      <c r="R67" s="10">
        <f t="shared" si="14"/>
        <v>2027</v>
      </c>
      <c r="S67" s="10">
        <f t="shared" si="14"/>
        <v>2027</v>
      </c>
      <c r="T67" s="10">
        <f t="shared" si="14"/>
        <v>2027</v>
      </c>
      <c r="U67" s="10">
        <f t="shared" si="14"/>
        <v>2027</v>
      </c>
      <c r="V67" s="10">
        <f t="shared" si="14"/>
        <v>2027</v>
      </c>
      <c r="W67" s="10">
        <f t="shared" si="14"/>
        <v>2027</v>
      </c>
      <c r="X67" s="10">
        <f t="shared" si="14"/>
        <v>2027</v>
      </c>
      <c r="Y67" s="10">
        <f t="shared" si="14"/>
        <v>2027</v>
      </c>
      <c r="Z67" s="10">
        <f t="shared" si="14"/>
        <v>2027</v>
      </c>
      <c r="AA67" s="10">
        <f t="shared" si="14"/>
        <v>2028</v>
      </c>
      <c r="AB67" s="10">
        <f t="shared" si="14"/>
        <v>2028</v>
      </c>
      <c r="AC67" s="10">
        <f t="shared" si="14"/>
        <v>2028</v>
      </c>
      <c r="AD67" s="10">
        <f t="shared" si="14"/>
        <v>2028</v>
      </c>
      <c r="AE67" s="10">
        <f t="shared" si="14"/>
        <v>2028</v>
      </c>
      <c r="AF67" s="10">
        <f t="shared" si="14"/>
        <v>2028</v>
      </c>
      <c r="AG67" s="10">
        <f t="shared" si="14"/>
        <v>2028</v>
      </c>
      <c r="AH67" s="10">
        <f t="shared" si="14"/>
        <v>2028</v>
      </c>
      <c r="AI67" s="10">
        <f t="shared" si="14"/>
        <v>2028</v>
      </c>
      <c r="AJ67" s="10">
        <f t="shared" si="14"/>
        <v>2028</v>
      </c>
      <c r="AK67" s="10">
        <f t="shared" si="14"/>
        <v>2028</v>
      </c>
      <c r="AL67" s="10">
        <f t="shared" si="14"/>
        <v>2028</v>
      </c>
      <c r="AM67" s="10">
        <f t="shared" si="14"/>
        <v>2029</v>
      </c>
      <c r="AN67" s="10">
        <f t="shared" si="14"/>
        <v>2029</v>
      </c>
      <c r="AO67" s="10">
        <f t="shared" si="14"/>
        <v>2029</v>
      </c>
      <c r="AP67" s="10">
        <f t="shared" si="14"/>
        <v>2029</v>
      </c>
      <c r="AQ67" s="10">
        <f t="shared" si="14"/>
        <v>2029</v>
      </c>
      <c r="AR67" s="10">
        <f t="shared" si="14"/>
        <v>2029</v>
      </c>
      <c r="AS67" s="10">
        <f t="shared" si="14"/>
        <v>2029</v>
      </c>
      <c r="AT67" s="10">
        <f t="shared" si="14"/>
        <v>2029</v>
      </c>
      <c r="AU67" s="10">
        <f t="shared" si="14"/>
        <v>2029</v>
      </c>
      <c r="AV67" s="10">
        <f t="shared" si="14"/>
        <v>2029</v>
      </c>
      <c r="AW67" s="10">
        <f t="shared" si="14"/>
        <v>2029</v>
      </c>
      <c r="AX67" s="10">
        <f t="shared" si="14"/>
        <v>2029</v>
      </c>
      <c r="AY67" s="10">
        <f t="shared" si="14"/>
        <v>2030</v>
      </c>
      <c r="AZ67" s="10">
        <f t="shared" si="14"/>
        <v>2030</v>
      </c>
      <c r="BA67" s="10">
        <f t="shared" si="14"/>
        <v>2030</v>
      </c>
      <c r="BB67" s="10">
        <f t="shared" si="14"/>
        <v>2030</v>
      </c>
      <c r="BC67" s="10">
        <f t="shared" si="14"/>
        <v>2030</v>
      </c>
      <c r="BD67" s="10">
        <f t="shared" si="14"/>
        <v>2030</v>
      </c>
      <c r="BE67" s="10">
        <f t="shared" si="14"/>
        <v>2030</v>
      </c>
      <c r="BF67" s="10">
        <f t="shared" si="14"/>
        <v>2030</v>
      </c>
      <c r="BG67" s="10">
        <f t="shared" si="14"/>
        <v>2030</v>
      </c>
      <c r="BH67" s="10">
        <f t="shared" si="14"/>
        <v>2030</v>
      </c>
      <c r="BI67" s="10">
        <f t="shared" si="14"/>
        <v>2030</v>
      </c>
      <c r="BJ67" s="10">
        <f t="shared" si="14"/>
        <v>2030</v>
      </c>
      <c r="BK67" s="10">
        <f t="shared" si="14"/>
        <v>2031</v>
      </c>
      <c r="BL67" s="10">
        <f t="shared" si="14"/>
        <v>2031</v>
      </c>
      <c r="BM67" s="10">
        <f t="shared" si="14"/>
        <v>2031</v>
      </c>
      <c r="BN67" s="10">
        <f t="shared" si="14"/>
        <v>2031</v>
      </c>
      <c r="BO67" s="10">
        <f t="shared" si="14"/>
        <v>2031</v>
      </c>
      <c r="BP67" s="10">
        <f t="shared" si="14"/>
        <v>2031</v>
      </c>
      <c r="BQ67" s="10">
        <f t="shared" si="14"/>
        <v>2031</v>
      </c>
      <c r="BR67" s="10">
        <f t="shared" si="14"/>
        <v>2031</v>
      </c>
      <c r="BS67" s="10">
        <f t="shared" si="14"/>
        <v>2031</v>
      </c>
      <c r="BT67" s="10">
        <f t="shared" si="14"/>
        <v>2031</v>
      </c>
      <c r="BU67" s="10">
        <f t="shared" si="14"/>
        <v>2031</v>
      </c>
      <c r="BV67" s="10">
        <f t="shared" si="14"/>
        <v>2031</v>
      </c>
      <c r="BW67" s="10">
        <f t="shared" si="14"/>
        <v>2032</v>
      </c>
      <c r="BX67" s="10">
        <f t="shared" si="14"/>
        <v>2032</v>
      </c>
      <c r="BY67" s="10">
        <f t="shared" si="14"/>
        <v>2032</v>
      </c>
      <c r="BZ67" s="10">
        <f t="shared" si="14"/>
        <v>2032</v>
      </c>
      <c r="CA67" s="10">
        <f t="shared" si="14"/>
        <v>2032</v>
      </c>
      <c r="CB67" s="10">
        <f t="shared" si="14"/>
        <v>2032</v>
      </c>
      <c r="CC67" s="10">
        <f t="shared" si="14"/>
        <v>2032</v>
      </c>
      <c r="CD67" s="10">
        <f t="shared" si="14"/>
        <v>2032</v>
      </c>
      <c r="CE67" s="10">
        <f t="shared" si="14"/>
        <v>2032</v>
      </c>
      <c r="CF67" s="10">
        <f t="shared" si="14"/>
        <v>2032</v>
      </c>
      <c r="CG67" s="10">
        <f t="shared" si="14"/>
        <v>2032</v>
      </c>
      <c r="CH67" s="10">
        <f t="shared" si="14"/>
        <v>2032</v>
      </c>
      <c r="CI67" s="10">
        <f t="shared" si="14"/>
        <v>2033</v>
      </c>
      <c r="CJ67" s="10">
        <f t="shared" si="14"/>
        <v>2033</v>
      </c>
      <c r="CK67" s="10">
        <f t="shared" si="14"/>
        <v>2033</v>
      </c>
      <c r="CL67" s="10">
        <f t="shared" si="14"/>
        <v>2033</v>
      </c>
      <c r="CM67" s="10">
        <f t="shared" si="14"/>
        <v>2033</v>
      </c>
      <c r="CN67" s="10">
        <f t="shared" si="14"/>
        <v>2033</v>
      </c>
      <c r="CO67" s="10">
        <f t="shared" si="14"/>
        <v>2033</v>
      </c>
      <c r="CP67" s="10">
        <f t="shared" si="14"/>
        <v>2033</v>
      </c>
      <c r="CQ67" s="10">
        <f t="shared" si="14"/>
        <v>2033</v>
      </c>
      <c r="CR67" s="10">
        <f t="shared" si="14"/>
        <v>2033</v>
      </c>
      <c r="CS67" s="10">
        <f t="shared" si="14"/>
        <v>2033</v>
      </c>
      <c r="CT67" s="10">
        <f t="shared" si="14"/>
        <v>2033</v>
      </c>
      <c r="CU67" s="10">
        <f t="shared" si="14"/>
        <v>2034</v>
      </c>
      <c r="CV67" s="10">
        <f t="shared" si="14"/>
        <v>2034</v>
      </c>
      <c r="CW67" s="10">
        <f t="shared" si="14"/>
        <v>2034</v>
      </c>
      <c r="CX67" s="10">
        <f t="shared" si="14"/>
        <v>2034</v>
      </c>
      <c r="CY67" s="10">
        <f t="shared" si="14"/>
        <v>2034</v>
      </c>
      <c r="CZ67" s="10">
        <f t="shared" si="14"/>
        <v>2034</v>
      </c>
      <c r="DA67" s="10">
        <f t="shared" si="14"/>
        <v>2034</v>
      </c>
      <c r="DB67" s="10">
        <f t="shared" si="14"/>
        <v>2034</v>
      </c>
      <c r="DC67" s="10">
        <f t="shared" si="14"/>
        <v>2034</v>
      </c>
      <c r="DD67" s="10">
        <f t="shared" si="14"/>
        <v>2034</v>
      </c>
      <c r="DE67" s="10">
        <f t="shared" si="14"/>
        <v>2034</v>
      </c>
      <c r="DF67" s="10">
        <f t="shared" si="14"/>
        <v>2034</v>
      </c>
      <c r="DG67" s="10">
        <f t="shared" si="14"/>
        <v>2035</v>
      </c>
      <c r="DH67" s="10">
        <f t="shared" si="14"/>
        <v>2035</v>
      </c>
      <c r="DI67" s="10">
        <f t="shared" si="14"/>
        <v>2035</v>
      </c>
      <c r="DJ67" s="10">
        <f t="shared" si="14"/>
        <v>2035</v>
      </c>
      <c r="DK67" s="10">
        <f t="shared" si="14"/>
        <v>2035</v>
      </c>
      <c r="DL67" s="10">
        <f t="shared" si="14"/>
        <v>2035</v>
      </c>
      <c r="DM67" s="10">
        <f t="shared" si="14"/>
        <v>2035</v>
      </c>
      <c r="DN67" s="10">
        <f t="shared" si="14"/>
        <v>2035</v>
      </c>
      <c r="DO67" s="10">
        <f t="shared" si="14"/>
        <v>2035</v>
      </c>
      <c r="DP67" s="10">
        <f t="shared" si="14"/>
        <v>2035</v>
      </c>
      <c r="DQ67" s="10">
        <f t="shared" si="14"/>
        <v>2035</v>
      </c>
      <c r="DR67" s="10">
        <f t="shared" si="14"/>
        <v>2035</v>
      </c>
      <c r="DS67" s="10">
        <f t="shared" si="14"/>
        <v>2036</v>
      </c>
      <c r="DT67" s="10">
        <f t="shared" si="14"/>
        <v>2036</v>
      </c>
      <c r="DU67" s="10">
        <f t="shared" si="14"/>
        <v>2036</v>
      </c>
      <c r="DV67" s="10">
        <f t="shared" si="14"/>
        <v>2036</v>
      </c>
      <c r="DW67" s="10">
        <f t="shared" si="14"/>
        <v>2036</v>
      </c>
      <c r="DX67" s="10">
        <f t="shared" si="14"/>
        <v>2036</v>
      </c>
      <c r="DY67" s="10">
        <f t="shared" si="14"/>
        <v>2036</v>
      </c>
    </row>
    <row r="68" spans="1:129" ht="13.5" customHeight="1" x14ac:dyDescent="0.3">
      <c r="J68" s="15">
        <v>1</v>
      </c>
      <c r="K68" s="15">
        <f t="shared" ref="K68" si="15">J68+1</f>
        <v>2</v>
      </c>
      <c r="L68" s="15">
        <f t="shared" ref="L68" si="16">K68+1</f>
        <v>3</v>
      </c>
      <c r="M68" s="15">
        <f t="shared" ref="M68" si="17">L68+1</f>
        <v>4</v>
      </c>
      <c r="N68" s="15">
        <f t="shared" ref="N68" si="18">M68+1</f>
        <v>5</v>
      </c>
      <c r="O68" s="15">
        <f t="shared" ref="O68" si="19">N68+1</f>
        <v>6</v>
      </c>
      <c r="P68" s="15">
        <f t="shared" ref="P68" si="20">O68+1</f>
        <v>7</v>
      </c>
      <c r="Q68" s="15">
        <f t="shared" ref="Q68" si="21">P68+1</f>
        <v>8</v>
      </c>
      <c r="R68" s="15">
        <f t="shared" ref="R68" si="22">Q68+1</f>
        <v>9</v>
      </c>
      <c r="S68" s="15">
        <f t="shared" ref="S68" si="23">R68+1</f>
        <v>10</v>
      </c>
      <c r="T68" s="15">
        <f t="shared" ref="T68:DY68" si="24">S68+1</f>
        <v>11</v>
      </c>
      <c r="U68" s="15">
        <f t="shared" si="24"/>
        <v>12</v>
      </c>
      <c r="V68" s="15">
        <f t="shared" si="24"/>
        <v>13</v>
      </c>
      <c r="W68" s="15">
        <f t="shared" si="24"/>
        <v>14</v>
      </c>
      <c r="X68" s="15">
        <f t="shared" si="24"/>
        <v>15</v>
      </c>
      <c r="Y68" s="15">
        <f t="shared" si="24"/>
        <v>16</v>
      </c>
      <c r="Z68" s="15">
        <f t="shared" si="24"/>
        <v>17</v>
      </c>
      <c r="AA68" s="15">
        <f t="shared" si="24"/>
        <v>18</v>
      </c>
      <c r="AB68" s="15">
        <f t="shared" si="24"/>
        <v>19</v>
      </c>
      <c r="AC68" s="15">
        <f t="shared" si="24"/>
        <v>20</v>
      </c>
      <c r="AD68" s="15">
        <f t="shared" si="24"/>
        <v>21</v>
      </c>
      <c r="AE68" s="15">
        <f t="shared" si="24"/>
        <v>22</v>
      </c>
      <c r="AF68" s="15">
        <f t="shared" si="24"/>
        <v>23</v>
      </c>
      <c r="AG68" s="15">
        <f t="shared" si="24"/>
        <v>24</v>
      </c>
      <c r="AH68" s="15">
        <f t="shared" si="24"/>
        <v>25</v>
      </c>
      <c r="AI68" s="15">
        <f t="shared" si="24"/>
        <v>26</v>
      </c>
      <c r="AJ68" s="15">
        <f t="shared" si="24"/>
        <v>27</v>
      </c>
      <c r="AK68" s="15">
        <f t="shared" si="24"/>
        <v>28</v>
      </c>
      <c r="AL68" s="15">
        <f t="shared" si="24"/>
        <v>29</v>
      </c>
      <c r="AM68" s="15">
        <f t="shared" si="24"/>
        <v>30</v>
      </c>
      <c r="AN68" s="15">
        <f t="shared" si="24"/>
        <v>31</v>
      </c>
      <c r="AO68" s="15">
        <f t="shared" si="24"/>
        <v>32</v>
      </c>
      <c r="AP68" s="15">
        <f t="shared" si="24"/>
        <v>33</v>
      </c>
      <c r="AQ68" s="15">
        <f t="shared" si="24"/>
        <v>34</v>
      </c>
      <c r="AR68" s="15">
        <f t="shared" si="24"/>
        <v>35</v>
      </c>
      <c r="AS68" s="15">
        <f t="shared" si="24"/>
        <v>36</v>
      </c>
      <c r="AT68" s="15">
        <f t="shared" si="24"/>
        <v>37</v>
      </c>
      <c r="AU68" s="15">
        <f t="shared" si="24"/>
        <v>38</v>
      </c>
      <c r="AV68" s="15">
        <f t="shared" si="24"/>
        <v>39</v>
      </c>
      <c r="AW68" s="15">
        <f t="shared" si="24"/>
        <v>40</v>
      </c>
      <c r="AX68" s="15">
        <f t="shared" si="24"/>
        <v>41</v>
      </c>
      <c r="AY68" s="15">
        <f t="shared" si="24"/>
        <v>42</v>
      </c>
      <c r="AZ68" s="15">
        <f t="shared" si="24"/>
        <v>43</v>
      </c>
      <c r="BA68" s="15">
        <f t="shared" si="24"/>
        <v>44</v>
      </c>
      <c r="BB68" s="15">
        <f t="shared" si="24"/>
        <v>45</v>
      </c>
      <c r="BC68" s="15">
        <f t="shared" si="24"/>
        <v>46</v>
      </c>
      <c r="BD68" s="15">
        <f t="shared" si="24"/>
        <v>47</v>
      </c>
      <c r="BE68" s="15">
        <f t="shared" si="24"/>
        <v>48</v>
      </c>
      <c r="BF68" s="15">
        <f t="shared" si="24"/>
        <v>49</v>
      </c>
      <c r="BG68" s="15">
        <f t="shared" si="24"/>
        <v>50</v>
      </c>
      <c r="BH68" s="15">
        <f t="shared" si="24"/>
        <v>51</v>
      </c>
      <c r="BI68" s="15">
        <f t="shared" si="24"/>
        <v>52</v>
      </c>
      <c r="BJ68" s="15">
        <f t="shared" si="24"/>
        <v>53</v>
      </c>
      <c r="BK68" s="15">
        <f t="shared" si="24"/>
        <v>54</v>
      </c>
      <c r="BL68" s="15">
        <f t="shared" si="24"/>
        <v>55</v>
      </c>
      <c r="BM68" s="15">
        <f t="shared" si="24"/>
        <v>56</v>
      </c>
      <c r="BN68" s="15">
        <f t="shared" si="24"/>
        <v>57</v>
      </c>
      <c r="BO68" s="15">
        <f t="shared" si="24"/>
        <v>58</v>
      </c>
      <c r="BP68" s="15">
        <f t="shared" si="24"/>
        <v>59</v>
      </c>
      <c r="BQ68" s="15">
        <f t="shared" si="24"/>
        <v>60</v>
      </c>
      <c r="BR68" s="15">
        <f t="shared" si="24"/>
        <v>61</v>
      </c>
      <c r="BS68" s="15">
        <f t="shared" si="24"/>
        <v>62</v>
      </c>
      <c r="BT68" s="15">
        <f t="shared" si="24"/>
        <v>63</v>
      </c>
      <c r="BU68" s="15">
        <f t="shared" si="24"/>
        <v>64</v>
      </c>
      <c r="BV68" s="15">
        <f t="shared" si="24"/>
        <v>65</v>
      </c>
      <c r="BW68" s="15">
        <f t="shared" si="24"/>
        <v>66</v>
      </c>
      <c r="BX68" s="15">
        <f t="shared" si="24"/>
        <v>67</v>
      </c>
      <c r="BY68" s="15">
        <f t="shared" si="24"/>
        <v>68</v>
      </c>
      <c r="BZ68" s="15">
        <f t="shared" si="24"/>
        <v>69</v>
      </c>
      <c r="CA68" s="15">
        <f t="shared" si="24"/>
        <v>70</v>
      </c>
      <c r="CB68" s="15">
        <f t="shared" si="24"/>
        <v>71</v>
      </c>
      <c r="CC68" s="15">
        <f t="shared" si="24"/>
        <v>72</v>
      </c>
      <c r="CD68" s="15">
        <f t="shared" si="24"/>
        <v>73</v>
      </c>
      <c r="CE68" s="15">
        <f t="shared" si="24"/>
        <v>74</v>
      </c>
      <c r="CF68" s="15">
        <f t="shared" si="24"/>
        <v>75</v>
      </c>
      <c r="CG68" s="15">
        <f t="shared" si="24"/>
        <v>76</v>
      </c>
      <c r="CH68" s="15">
        <f t="shared" si="24"/>
        <v>77</v>
      </c>
      <c r="CI68" s="15">
        <f t="shared" si="24"/>
        <v>78</v>
      </c>
      <c r="CJ68" s="15">
        <f t="shared" si="24"/>
        <v>79</v>
      </c>
      <c r="CK68" s="15">
        <f t="shared" si="24"/>
        <v>80</v>
      </c>
      <c r="CL68" s="15">
        <f t="shared" si="24"/>
        <v>81</v>
      </c>
      <c r="CM68" s="15">
        <f t="shared" si="24"/>
        <v>82</v>
      </c>
      <c r="CN68" s="15">
        <f t="shared" si="24"/>
        <v>83</v>
      </c>
      <c r="CO68" s="15">
        <f t="shared" si="24"/>
        <v>84</v>
      </c>
      <c r="CP68" s="15">
        <f t="shared" si="24"/>
        <v>85</v>
      </c>
      <c r="CQ68" s="15">
        <f t="shared" si="24"/>
        <v>86</v>
      </c>
      <c r="CR68" s="15">
        <f t="shared" si="24"/>
        <v>87</v>
      </c>
      <c r="CS68" s="15">
        <f t="shared" si="24"/>
        <v>88</v>
      </c>
      <c r="CT68" s="15">
        <f t="shared" si="24"/>
        <v>89</v>
      </c>
      <c r="CU68" s="15">
        <f t="shared" si="24"/>
        <v>90</v>
      </c>
      <c r="CV68" s="15">
        <f t="shared" si="24"/>
        <v>91</v>
      </c>
      <c r="CW68" s="15">
        <f t="shared" si="24"/>
        <v>92</v>
      </c>
      <c r="CX68" s="15">
        <f t="shared" si="24"/>
        <v>93</v>
      </c>
      <c r="CY68" s="15">
        <f t="shared" si="24"/>
        <v>94</v>
      </c>
      <c r="CZ68" s="15">
        <f t="shared" si="24"/>
        <v>95</v>
      </c>
      <c r="DA68" s="15">
        <f t="shared" si="24"/>
        <v>96</v>
      </c>
      <c r="DB68" s="15">
        <f t="shared" si="24"/>
        <v>97</v>
      </c>
      <c r="DC68" s="15">
        <f t="shared" si="24"/>
        <v>98</v>
      </c>
      <c r="DD68" s="15">
        <f t="shared" si="24"/>
        <v>99</v>
      </c>
      <c r="DE68" s="15">
        <f t="shared" si="24"/>
        <v>100</v>
      </c>
      <c r="DF68" s="15">
        <f t="shared" si="24"/>
        <v>101</v>
      </c>
      <c r="DG68" s="15">
        <f t="shared" si="24"/>
        <v>102</v>
      </c>
      <c r="DH68" s="15">
        <f t="shared" si="24"/>
        <v>103</v>
      </c>
      <c r="DI68" s="15">
        <f t="shared" si="24"/>
        <v>104</v>
      </c>
      <c r="DJ68" s="15">
        <f t="shared" si="24"/>
        <v>105</v>
      </c>
      <c r="DK68" s="15">
        <f t="shared" si="24"/>
        <v>106</v>
      </c>
      <c r="DL68" s="15">
        <f t="shared" si="24"/>
        <v>107</v>
      </c>
      <c r="DM68" s="15">
        <f t="shared" si="24"/>
        <v>108</v>
      </c>
      <c r="DN68" s="15">
        <f t="shared" si="24"/>
        <v>109</v>
      </c>
      <c r="DO68" s="15">
        <f t="shared" si="24"/>
        <v>110</v>
      </c>
      <c r="DP68" s="15">
        <f t="shared" si="24"/>
        <v>111</v>
      </c>
      <c r="DQ68" s="15">
        <f t="shared" si="24"/>
        <v>112</v>
      </c>
      <c r="DR68" s="15">
        <f t="shared" si="24"/>
        <v>113</v>
      </c>
      <c r="DS68" s="15">
        <f t="shared" si="24"/>
        <v>114</v>
      </c>
      <c r="DT68" s="15">
        <f t="shared" si="24"/>
        <v>115</v>
      </c>
      <c r="DU68" s="15">
        <f t="shared" si="24"/>
        <v>116</v>
      </c>
      <c r="DV68" s="15">
        <f t="shared" si="24"/>
        <v>117</v>
      </c>
      <c r="DW68" s="15">
        <f t="shared" si="24"/>
        <v>118</v>
      </c>
      <c r="DX68" s="15">
        <f t="shared" si="24"/>
        <v>119</v>
      </c>
      <c r="DY68" s="15">
        <f t="shared" si="24"/>
        <v>120</v>
      </c>
    </row>
    <row r="69" spans="1:129" ht="13.5" customHeight="1" x14ac:dyDescent="0.3">
      <c r="A69" s="3" t="s">
        <v>0</v>
      </c>
      <c r="B69" s="3" t="s">
        <v>267</v>
      </c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  <c r="BB69" s="122"/>
      <c r="BC69" s="122"/>
      <c r="BD69" s="122"/>
      <c r="BE69" s="122"/>
      <c r="BF69" s="122"/>
      <c r="BG69" s="122"/>
      <c r="BH69" s="122"/>
      <c r="BI69" s="122"/>
      <c r="BJ69" s="122"/>
      <c r="BK69" s="122"/>
      <c r="BL69" s="122"/>
      <c r="BM69" s="122"/>
      <c r="BN69" s="122"/>
      <c r="BO69" s="122"/>
      <c r="BP69" s="122"/>
      <c r="BQ69" s="122"/>
      <c r="BR69" s="122"/>
      <c r="BS69" s="122"/>
      <c r="BT69" s="122"/>
      <c r="BU69" s="122"/>
      <c r="BV69" s="122"/>
      <c r="BW69" s="122"/>
      <c r="BX69" s="122"/>
      <c r="BY69" s="122"/>
      <c r="BZ69" s="122"/>
      <c r="CA69" s="122"/>
      <c r="CB69" s="122"/>
      <c r="CC69" s="122"/>
      <c r="CD69" s="122"/>
      <c r="CE69" s="122"/>
      <c r="CF69" s="122"/>
      <c r="CG69" s="122"/>
      <c r="CH69" s="122"/>
      <c r="CI69" s="122"/>
      <c r="CJ69" s="122"/>
      <c r="CK69" s="122"/>
      <c r="CL69" s="122"/>
      <c r="CM69" s="122"/>
      <c r="CN69" s="122"/>
      <c r="CO69" s="122"/>
      <c r="CP69" s="122"/>
      <c r="CQ69" s="122"/>
      <c r="CR69" s="122"/>
      <c r="CS69" s="122"/>
      <c r="CT69" s="122"/>
      <c r="CU69" s="122"/>
      <c r="CV69" s="122"/>
      <c r="CW69" s="122"/>
      <c r="CX69" s="122"/>
      <c r="CY69" s="122"/>
      <c r="CZ69" s="122"/>
      <c r="DA69" s="122"/>
      <c r="DB69" s="122"/>
      <c r="DC69" s="122"/>
      <c r="DD69" s="122"/>
      <c r="DE69" s="122"/>
      <c r="DF69" s="122"/>
      <c r="DG69" s="122"/>
      <c r="DH69" s="122"/>
      <c r="DI69" s="122"/>
      <c r="DJ69" s="122"/>
      <c r="DK69" s="122"/>
      <c r="DL69" s="122"/>
      <c r="DM69" s="122"/>
      <c r="DN69" s="122"/>
      <c r="DO69" s="122"/>
      <c r="DP69" s="122"/>
      <c r="DQ69" s="122"/>
      <c r="DR69" s="122"/>
      <c r="DS69" s="122"/>
      <c r="DT69" s="122"/>
      <c r="DU69" s="122"/>
      <c r="DV69" s="122"/>
      <c r="DW69" s="122"/>
      <c r="DX69" s="122"/>
      <c r="DY69" s="122"/>
    </row>
    <row r="70" spans="1:129" ht="15.75" customHeight="1" x14ac:dyDescent="0.3">
      <c r="A70" s="7"/>
      <c r="B70" s="5" t="s">
        <v>268</v>
      </c>
      <c r="C70" s="7"/>
      <c r="D70" s="7"/>
      <c r="E70" s="7"/>
      <c r="F70" s="7"/>
      <c r="G70" s="7"/>
      <c r="H70" s="7"/>
      <c r="I70" s="7"/>
      <c r="J70" s="83">
        <f>J26</f>
        <v>46265</v>
      </c>
      <c r="K70" s="83">
        <f t="shared" ref="K70:DY70" si="25">EDATE(J70,1)</f>
        <v>46295</v>
      </c>
      <c r="L70" s="83">
        <f t="shared" si="25"/>
        <v>46325</v>
      </c>
      <c r="M70" s="83">
        <f t="shared" si="25"/>
        <v>46356</v>
      </c>
      <c r="N70" s="83">
        <f t="shared" si="25"/>
        <v>46386</v>
      </c>
      <c r="O70" s="83">
        <f t="shared" si="25"/>
        <v>46417</v>
      </c>
      <c r="P70" s="83">
        <f t="shared" si="25"/>
        <v>46446</v>
      </c>
      <c r="Q70" s="83">
        <f t="shared" si="25"/>
        <v>46474</v>
      </c>
      <c r="R70" s="83">
        <f t="shared" si="25"/>
        <v>46505</v>
      </c>
      <c r="S70" s="83">
        <f t="shared" si="25"/>
        <v>46535</v>
      </c>
      <c r="T70" s="83">
        <f t="shared" si="25"/>
        <v>46566</v>
      </c>
      <c r="U70" s="83">
        <f t="shared" si="25"/>
        <v>46596</v>
      </c>
      <c r="V70" s="83">
        <f t="shared" si="25"/>
        <v>46627</v>
      </c>
      <c r="W70" s="83">
        <f t="shared" si="25"/>
        <v>46658</v>
      </c>
      <c r="X70" s="83">
        <f t="shared" si="25"/>
        <v>46688</v>
      </c>
      <c r="Y70" s="83">
        <f t="shared" si="25"/>
        <v>46719</v>
      </c>
      <c r="Z70" s="83">
        <f t="shared" si="25"/>
        <v>46749</v>
      </c>
      <c r="AA70" s="83">
        <f t="shared" si="25"/>
        <v>46780</v>
      </c>
      <c r="AB70" s="83">
        <f t="shared" si="25"/>
        <v>46811</v>
      </c>
      <c r="AC70" s="83">
        <f t="shared" si="25"/>
        <v>46840</v>
      </c>
      <c r="AD70" s="83">
        <f t="shared" si="25"/>
        <v>46871</v>
      </c>
      <c r="AE70" s="83">
        <f t="shared" si="25"/>
        <v>46901</v>
      </c>
      <c r="AF70" s="83">
        <f t="shared" si="25"/>
        <v>46932</v>
      </c>
      <c r="AG70" s="83">
        <f t="shared" si="25"/>
        <v>46962</v>
      </c>
      <c r="AH70" s="83">
        <f t="shared" si="25"/>
        <v>46993</v>
      </c>
      <c r="AI70" s="83">
        <f t="shared" si="25"/>
        <v>47024</v>
      </c>
      <c r="AJ70" s="83">
        <f t="shared" si="25"/>
        <v>47054</v>
      </c>
      <c r="AK70" s="83">
        <f t="shared" si="25"/>
        <v>47085</v>
      </c>
      <c r="AL70" s="83">
        <f t="shared" si="25"/>
        <v>47115</v>
      </c>
      <c r="AM70" s="83">
        <f t="shared" si="25"/>
        <v>47146</v>
      </c>
      <c r="AN70" s="83">
        <f t="shared" si="25"/>
        <v>47177</v>
      </c>
      <c r="AO70" s="83">
        <f t="shared" si="25"/>
        <v>47205</v>
      </c>
      <c r="AP70" s="83">
        <f t="shared" si="25"/>
        <v>47236</v>
      </c>
      <c r="AQ70" s="83">
        <f t="shared" si="25"/>
        <v>47266</v>
      </c>
      <c r="AR70" s="83">
        <f t="shared" si="25"/>
        <v>47297</v>
      </c>
      <c r="AS70" s="83">
        <f t="shared" si="25"/>
        <v>47327</v>
      </c>
      <c r="AT70" s="83">
        <f t="shared" si="25"/>
        <v>47358</v>
      </c>
      <c r="AU70" s="83">
        <f t="shared" si="25"/>
        <v>47389</v>
      </c>
      <c r="AV70" s="83">
        <f t="shared" si="25"/>
        <v>47419</v>
      </c>
      <c r="AW70" s="83">
        <f t="shared" si="25"/>
        <v>47450</v>
      </c>
      <c r="AX70" s="83">
        <f t="shared" si="25"/>
        <v>47480</v>
      </c>
      <c r="AY70" s="83">
        <f t="shared" si="25"/>
        <v>47511</v>
      </c>
      <c r="AZ70" s="83">
        <f t="shared" si="25"/>
        <v>47542</v>
      </c>
      <c r="BA70" s="83">
        <f t="shared" si="25"/>
        <v>47570</v>
      </c>
      <c r="BB70" s="83">
        <f t="shared" si="25"/>
        <v>47601</v>
      </c>
      <c r="BC70" s="83">
        <f t="shared" si="25"/>
        <v>47631</v>
      </c>
      <c r="BD70" s="83">
        <f t="shared" si="25"/>
        <v>47662</v>
      </c>
      <c r="BE70" s="83">
        <f t="shared" si="25"/>
        <v>47692</v>
      </c>
      <c r="BF70" s="83">
        <f t="shared" si="25"/>
        <v>47723</v>
      </c>
      <c r="BG70" s="83">
        <f t="shared" si="25"/>
        <v>47754</v>
      </c>
      <c r="BH70" s="83">
        <f t="shared" si="25"/>
        <v>47784</v>
      </c>
      <c r="BI70" s="83">
        <f t="shared" si="25"/>
        <v>47815</v>
      </c>
      <c r="BJ70" s="83">
        <f t="shared" si="25"/>
        <v>47845</v>
      </c>
      <c r="BK70" s="83">
        <f t="shared" si="25"/>
        <v>47876</v>
      </c>
      <c r="BL70" s="83">
        <f t="shared" si="25"/>
        <v>47907</v>
      </c>
      <c r="BM70" s="83">
        <f t="shared" si="25"/>
        <v>47935</v>
      </c>
      <c r="BN70" s="83">
        <f t="shared" si="25"/>
        <v>47966</v>
      </c>
      <c r="BO70" s="83">
        <f t="shared" si="25"/>
        <v>47996</v>
      </c>
      <c r="BP70" s="83">
        <f t="shared" si="25"/>
        <v>48027</v>
      </c>
      <c r="BQ70" s="83">
        <f t="shared" si="25"/>
        <v>48057</v>
      </c>
      <c r="BR70" s="83">
        <f t="shared" si="25"/>
        <v>48088</v>
      </c>
      <c r="BS70" s="83">
        <f t="shared" si="25"/>
        <v>48119</v>
      </c>
      <c r="BT70" s="83">
        <f t="shared" si="25"/>
        <v>48149</v>
      </c>
      <c r="BU70" s="83">
        <f t="shared" si="25"/>
        <v>48180</v>
      </c>
      <c r="BV70" s="83">
        <f t="shared" si="25"/>
        <v>48210</v>
      </c>
      <c r="BW70" s="83">
        <f t="shared" si="25"/>
        <v>48241</v>
      </c>
      <c r="BX70" s="83">
        <f t="shared" si="25"/>
        <v>48272</v>
      </c>
      <c r="BY70" s="83">
        <f t="shared" si="25"/>
        <v>48301</v>
      </c>
      <c r="BZ70" s="83">
        <f t="shared" si="25"/>
        <v>48332</v>
      </c>
      <c r="CA70" s="83">
        <f t="shared" si="25"/>
        <v>48362</v>
      </c>
      <c r="CB70" s="83">
        <f t="shared" si="25"/>
        <v>48393</v>
      </c>
      <c r="CC70" s="83">
        <f t="shared" si="25"/>
        <v>48423</v>
      </c>
      <c r="CD70" s="83">
        <f t="shared" si="25"/>
        <v>48454</v>
      </c>
      <c r="CE70" s="83">
        <f t="shared" si="25"/>
        <v>48485</v>
      </c>
      <c r="CF70" s="83">
        <f t="shared" si="25"/>
        <v>48515</v>
      </c>
      <c r="CG70" s="83">
        <f t="shared" si="25"/>
        <v>48546</v>
      </c>
      <c r="CH70" s="83">
        <f t="shared" si="25"/>
        <v>48576</v>
      </c>
      <c r="CI70" s="83">
        <f t="shared" si="25"/>
        <v>48607</v>
      </c>
      <c r="CJ70" s="83">
        <f t="shared" si="25"/>
        <v>48638</v>
      </c>
      <c r="CK70" s="83">
        <f t="shared" si="25"/>
        <v>48666</v>
      </c>
      <c r="CL70" s="83">
        <f t="shared" si="25"/>
        <v>48697</v>
      </c>
      <c r="CM70" s="83">
        <f t="shared" si="25"/>
        <v>48727</v>
      </c>
      <c r="CN70" s="83">
        <f t="shared" si="25"/>
        <v>48758</v>
      </c>
      <c r="CO70" s="83">
        <f t="shared" si="25"/>
        <v>48788</v>
      </c>
      <c r="CP70" s="83">
        <f t="shared" si="25"/>
        <v>48819</v>
      </c>
      <c r="CQ70" s="83">
        <f t="shared" si="25"/>
        <v>48850</v>
      </c>
      <c r="CR70" s="83">
        <f t="shared" si="25"/>
        <v>48880</v>
      </c>
      <c r="CS70" s="83">
        <f t="shared" si="25"/>
        <v>48911</v>
      </c>
      <c r="CT70" s="83">
        <f t="shared" si="25"/>
        <v>48941</v>
      </c>
      <c r="CU70" s="83">
        <f t="shared" si="25"/>
        <v>48972</v>
      </c>
      <c r="CV70" s="83">
        <f t="shared" si="25"/>
        <v>49003</v>
      </c>
      <c r="CW70" s="83">
        <f t="shared" si="25"/>
        <v>49031</v>
      </c>
      <c r="CX70" s="83">
        <f t="shared" si="25"/>
        <v>49062</v>
      </c>
      <c r="CY70" s="83">
        <f t="shared" si="25"/>
        <v>49092</v>
      </c>
      <c r="CZ70" s="83">
        <f t="shared" si="25"/>
        <v>49123</v>
      </c>
      <c r="DA70" s="83">
        <f t="shared" si="25"/>
        <v>49153</v>
      </c>
      <c r="DB70" s="83">
        <f t="shared" si="25"/>
        <v>49184</v>
      </c>
      <c r="DC70" s="83">
        <f t="shared" si="25"/>
        <v>49215</v>
      </c>
      <c r="DD70" s="83">
        <f t="shared" si="25"/>
        <v>49245</v>
      </c>
      <c r="DE70" s="83">
        <f t="shared" si="25"/>
        <v>49276</v>
      </c>
      <c r="DF70" s="83">
        <f t="shared" si="25"/>
        <v>49306</v>
      </c>
      <c r="DG70" s="83">
        <f t="shared" si="25"/>
        <v>49337</v>
      </c>
      <c r="DH70" s="83">
        <f t="shared" si="25"/>
        <v>49368</v>
      </c>
      <c r="DI70" s="83">
        <f t="shared" si="25"/>
        <v>49396</v>
      </c>
      <c r="DJ70" s="83">
        <f t="shared" si="25"/>
        <v>49427</v>
      </c>
      <c r="DK70" s="83">
        <f t="shared" si="25"/>
        <v>49457</v>
      </c>
      <c r="DL70" s="83">
        <f t="shared" si="25"/>
        <v>49488</v>
      </c>
      <c r="DM70" s="83">
        <f t="shared" si="25"/>
        <v>49518</v>
      </c>
      <c r="DN70" s="83">
        <f t="shared" si="25"/>
        <v>49549</v>
      </c>
      <c r="DO70" s="83">
        <f t="shared" si="25"/>
        <v>49580</v>
      </c>
      <c r="DP70" s="83">
        <f t="shared" si="25"/>
        <v>49610</v>
      </c>
      <c r="DQ70" s="83">
        <f t="shared" si="25"/>
        <v>49641</v>
      </c>
      <c r="DR70" s="83">
        <f t="shared" si="25"/>
        <v>49671</v>
      </c>
      <c r="DS70" s="83">
        <f t="shared" si="25"/>
        <v>49702</v>
      </c>
      <c r="DT70" s="83">
        <f t="shared" si="25"/>
        <v>49733</v>
      </c>
      <c r="DU70" s="83">
        <f t="shared" si="25"/>
        <v>49762</v>
      </c>
      <c r="DV70" s="83">
        <f t="shared" si="25"/>
        <v>49793</v>
      </c>
      <c r="DW70" s="83">
        <f t="shared" si="25"/>
        <v>49823</v>
      </c>
      <c r="DX70" s="83">
        <f t="shared" si="25"/>
        <v>49854</v>
      </c>
      <c r="DY70" s="83">
        <f t="shared" si="25"/>
        <v>49884</v>
      </c>
    </row>
    <row r="71" spans="1:129" ht="14.25" customHeight="1" x14ac:dyDescent="0.3">
      <c r="A71" s="7"/>
      <c r="B71" s="15" t="s">
        <v>269</v>
      </c>
      <c r="C71" s="7"/>
      <c r="D71" s="15" t="s">
        <v>4</v>
      </c>
      <c r="E71" s="7"/>
      <c r="F71" s="7"/>
      <c r="G71" s="7"/>
      <c r="H71" s="7"/>
      <c r="I71" s="7"/>
      <c r="J71" s="125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  <c r="AO71" s="126"/>
      <c r="AP71" s="126"/>
      <c r="AQ71" s="126"/>
      <c r="AR71" s="126"/>
      <c r="AS71" s="126"/>
      <c r="AT71" s="126"/>
      <c r="AU71" s="126"/>
      <c r="AV71" s="126"/>
      <c r="AW71" s="126"/>
      <c r="AX71" s="126"/>
      <c r="AY71" s="126"/>
      <c r="AZ71" s="126"/>
      <c r="BA71" s="126"/>
      <c r="BB71" s="126"/>
      <c r="BC71" s="126"/>
      <c r="BD71" s="126"/>
      <c r="BE71" s="126"/>
      <c r="BF71" s="126"/>
      <c r="BG71" s="126"/>
      <c r="BH71" s="126"/>
      <c r="BI71" s="126"/>
      <c r="BJ71" s="126"/>
      <c r="BK71" s="126"/>
      <c r="BL71" s="126"/>
      <c r="BM71" s="126"/>
      <c r="BN71" s="126"/>
      <c r="BO71" s="126"/>
      <c r="BP71" s="126"/>
      <c r="BQ71" s="126"/>
      <c r="BR71" s="126"/>
      <c r="BS71" s="126"/>
      <c r="BT71" s="126"/>
      <c r="BU71" s="126"/>
      <c r="BV71" s="126"/>
      <c r="BW71" s="126"/>
      <c r="BX71" s="126"/>
      <c r="BY71" s="126"/>
      <c r="BZ71" s="126"/>
      <c r="CA71" s="126"/>
      <c r="CB71" s="126"/>
      <c r="CC71" s="126"/>
      <c r="CD71" s="126"/>
      <c r="CE71" s="126"/>
      <c r="CF71" s="126"/>
      <c r="CG71" s="126"/>
      <c r="CH71" s="126"/>
      <c r="CI71" s="126"/>
      <c r="CJ71" s="126"/>
      <c r="CK71" s="126"/>
      <c r="CL71" s="126"/>
      <c r="CM71" s="126"/>
      <c r="CN71" s="126"/>
      <c r="CO71" s="126"/>
      <c r="CP71" s="126"/>
      <c r="CQ71" s="126"/>
      <c r="CR71" s="126"/>
      <c r="CS71" s="126"/>
      <c r="CT71" s="126"/>
      <c r="CU71" s="126"/>
      <c r="CV71" s="126"/>
      <c r="CW71" s="126"/>
      <c r="CX71" s="126"/>
      <c r="CY71" s="126"/>
      <c r="CZ71" s="126"/>
      <c r="DA71" s="126"/>
      <c r="DB71" s="126"/>
      <c r="DC71" s="126"/>
      <c r="DD71" s="126"/>
      <c r="DE71" s="126"/>
      <c r="DF71" s="126"/>
      <c r="DG71" s="126"/>
      <c r="DH71" s="126"/>
      <c r="DI71" s="126"/>
      <c r="DJ71" s="126"/>
      <c r="DK71" s="126"/>
      <c r="DL71" s="126"/>
      <c r="DM71" s="126"/>
      <c r="DN71" s="126"/>
      <c r="DO71" s="126"/>
      <c r="DP71" s="126"/>
      <c r="DQ71" s="126"/>
      <c r="DR71" s="126"/>
      <c r="DS71" s="126"/>
      <c r="DT71" s="126"/>
      <c r="DU71" s="126"/>
      <c r="DV71" s="126"/>
      <c r="DW71" s="126"/>
      <c r="DX71" s="126"/>
      <c r="DY71" s="126"/>
    </row>
    <row r="72" spans="1:129" ht="14.25" customHeight="1" x14ac:dyDescent="0.3">
      <c r="A72" s="7"/>
      <c r="B72" s="15" t="s">
        <v>270</v>
      </c>
      <c r="C72" s="7"/>
      <c r="D72" s="15" t="s">
        <v>4</v>
      </c>
      <c r="E72" s="7"/>
      <c r="F72" s="7"/>
      <c r="G72" s="7"/>
      <c r="H72" s="7"/>
      <c r="I72" s="7"/>
      <c r="J72" s="339">
        <v>0</v>
      </c>
      <c r="K72" s="126"/>
      <c r="L72" s="126"/>
      <c r="M72" s="126"/>
      <c r="N72" s="126"/>
      <c r="O72" s="126"/>
      <c r="P72" s="126"/>
      <c r="Q72" s="126"/>
      <c r="R72" s="126"/>
      <c r="S72" s="339">
        <f>E45</f>
        <v>0</v>
      </c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  <c r="AN72" s="126"/>
      <c r="AO72" s="126"/>
      <c r="AP72" s="126"/>
      <c r="AQ72" s="126"/>
      <c r="AR72" s="126"/>
      <c r="AS72" s="126"/>
      <c r="AT72" s="126"/>
      <c r="AU72" s="126"/>
      <c r="AV72" s="126"/>
      <c r="AW72" s="126"/>
      <c r="AX72" s="126"/>
      <c r="AY72" s="126"/>
      <c r="AZ72" s="126"/>
      <c r="BA72" s="126"/>
      <c r="BB72" s="126"/>
      <c r="BC72" s="126"/>
      <c r="BD72" s="126"/>
      <c r="BE72" s="126"/>
      <c r="BF72" s="126"/>
      <c r="BG72" s="126"/>
      <c r="BH72" s="126"/>
      <c r="BI72" s="126"/>
      <c r="BJ72" s="126"/>
      <c r="BK72" s="126"/>
      <c r="BL72" s="126"/>
      <c r="BM72" s="126"/>
      <c r="BN72" s="126"/>
      <c r="BO72" s="126"/>
      <c r="BP72" s="126"/>
      <c r="BQ72" s="126"/>
      <c r="BR72" s="126"/>
      <c r="BS72" s="126"/>
      <c r="BT72" s="126"/>
      <c r="BU72" s="126"/>
      <c r="BV72" s="126"/>
      <c r="BW72" s="126"/>
      <c r="BX72" s="126"/>
      <c r="BY72" s="126"/>
      <c r="BZ72" s="126"/>
      <c r="CA72" s="126"/>
      <c r="CB72" s="126"/>
      <c r="CC72" s="126"/>
      <c r="CD72" s="126"/>
      <c r="CE72" s="126"/>
      <c r="CF72" s="126"/>
      <c r="CG72" s="126"/>
      <c r="CH72" s="126"/>
      <c r="CI72" s="126"/>
      <c r="CJ72" s="126"/>
      <c r="CK72" s="126"/>
      <c r="CL72" s="126"/>
      <c r="CM72" s="126"/>
      <c r="CN72" s="126"/>
      <c r="CO72" s="126"/>
      <c r="CP72" s="126"/>
      <c r="CQ72" s="126"/>
      <c r="CR72" s="126"/>
      <c r="CS72" s="126"/>
      <c r="CT72" s="126"/>
      <c r="CU72" s="126"/>
      <c r="CV72" s="126"/>
      <c r="CW72" s="126"/>
      <c r="CX72" s="126"/>
      <c r="CY72" s="126"/>
      <c r="CZ72" s="126"/>
      <c r="DA72" s="126"/>
      <c r="DB72" s="126"/>
      <c r="DC72" s="126"/>
      <c r="DD72" s="126"/>
      <c r="DE72" s="126"/>
      <c r="DF72" s="126"/>
      <c r="DG72" s="126"/>
      <c r="DH72" s="126"/>
      <c r="DI72" s="126"/>
      <c r="DJ72" s="126"/>
      <c r="DK72" s="126"/>
      <c r="DL72" s="126"/>
      <c r="DM72" s="126"/>
      <c r="DN72" s="126"/>
      <c r="DO72" s="126"/>
      <c r="DP72" s="126"/>
      <c r="DQ72" s="126"/>
      <c r="DR72" s="126"/>
      <c r="DS72" s="126"/>
      <c r="DT72" s="126"/>
      <c r="DU72" s="126"/>
      <c r="DV72" s="126"/>
      <c r="DW72" s="126"/>
      <c r="DX72" s="126"/>
      <c r="DY72" s="126"/>
    </row>
    <row r="73" spans="1:129" ht="14.25" customHeight="1" x14ac:dyDescent="0.3">
      <c r="A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</row>
    <row r="74" spans="1:129" ht="14.2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55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</row>
    <row r="75" spans="1:129" ht="14.25" customHeight="1" x14ac:dyDescent="0.3">
      <c r="A75" s="7"/>
      <c r="B75" s="15" t="s">
        <v>272</v>
      </c>
      <c r="C75" s="7"/>
      <c r="D75" s="15" t="s">
        <v>4</v>
      </c>
      <c r="E75" s="19"/>
      <c r="F75" s="7"/>
      <c r="G75" s="7"/>
      <c r="H75" s="7"/>
      <c r="I75" s="7"/>
      <c r="J75" s="8">
        <v>0</v>
      </c>
      <c r="K75" s="8">
        <f>J80</f>
        <v>0</v>
      </c>
      <c r="L75" s="8">
        <f t="shared" ref="L75:R75" si="26">K80</f>
        <v>0</v>
      </c>
      <c r="M75" s="8">
        <f t="shared" si="26"/>
        <v>0</v>
      </c>
      <c r="N75" s="8">
        <f t="shared" si="26"/>
        <v>0</v>
      </c>
      <c r="O75" s="8">
        <f t="shared" si="26"/>
        <v>0</v>
      </c>
      <c r="P75" s="8">
        <f t="shared" si="26"/>
        <v>0</v>
      </c>
      <c r="Q75" s="8">
        <f t="shared" si="26"/>
        <v>0</v>
      </c>
      <c r="R75" s="8">
        <f t="shared" si="26"/>
        <v>0</v>
      </c>
      <c r="S75" s="8">
        <f>E45</f>
        <v>0</v>
      </c>
      <c r="T75" s="8">
        <f>S80</f>
        <v>0</v>
      </c>
      <c r="U75" s="8">
        <f t="shared" ref="U75:DY75" si="27">T80</f>
        <v>0</v>
      </c>
      <c r="V75" s="8">
        <f t="shared" si="27"/>
        <v>0</v>
      </c>
      <c r="W75" s="8">
        <f t="shared" si="27"/>
        <v>0</v>
      </c>
      <c r="X75" s="8">
        <f t="shared" si="27"/>
        <v>0</v>
      </c>
      <c r="Y75" s="8">
        <f t="shared" si="27"/>
        <v>0</v>
      </c>
      <c r="Z75" s="8">
        <f t="shared" si="27"/>
        <v>0</v>
      </c>
      <c r="AA75" s="8">
        <f t="shared" si="27"/>
        <v>0</v>
      </c>
      <c r="AB75" s="8">
        <f t="shared" si="27"/>
        <v>0</v>
      </c>
      <c r="AC75" s="8">
        <f t="shared" si="27"/>
        <v>0</v>
      </c>
      <c r="AD75" s="8">
        <f t="shared" si="27"/>
        <v>0</v>
      </c>
      <c r="AE75" s="8">
        <f t="shared" si="27"/>
        <v>0</v>
      </c>
      <c r="AF75" s="8">
        <f t="shared" si="27"/>
        <v>0</v>
      </c>
      <c r="AG75" s="8">
        <f t="shared" si="27"/>
        <v>0</v>
      </c>
      <c r="AH75" s="8">
        <f t="shared" si="27"/>
        <v>0</v>
      </c>
      <c r="AI75" s="8">
        <f t="shared" si="27"/>
        <v>0</v>
      </c>
      <c r="AJ75" s="8">
        <f t="shared" si="27"/>
        <v>0</v>
      </c>
      <c r="AK75" s="8">
        <f t="shared" si="27"/>
        <v>0</v>
      </c>
      <c r="AL75" s="8">
        <f t="shared" si="27"/>
        <v>0</v>
      </c>
      <c r="AM75" s="8">
        <f t="shared" si="27"/>
        <v>0</v>
      </c>
      <c r="AN75" s="8">
        <f t="shared" si="27"/>
        <v>0</v>
      </c>
      <c r="AO75" s="8">
        <f t="shared" si="27"/>
        <v>0</v>
      </c>
      <c r="AP75" s="8">
        <f t="shared" si="27"/>
        <v>0</v>
      </c>
      <c r="AQ75" s="8">
        <f t="shared" si="27"/>
        <v>0</v>
      </c>
      <c r="AR75" s="8">
        <f t="shared" si="27"/>
        <v>0</v>
      </c>
      <c r="AS75" s="8">
        <f t="shared" si="27"/>
        <v>0</v>
      </c>
      <c r="AT75" s="8">
        <f t="shared" si="27"/>
        <v>0</v>
      </c>
      <c r="AU75" s="8">
        <f t="shared" si="27"/>
        <v>0</v>
      </c>
      <c r="AV75" s="8">
        <f t="shared" si="27"/>
        <v>0</v>
      </c>
      <c r="AW75" s="8">
        <f t="shared" si="27"/>
        <v>0</v>
      </c>
      <c r="AX75" s="8">
        <f t="shared" si="27"/>
        <v>0</v>
      </c>
      <c r="AY75" s="8">
        <f t="shared" si="27"/>
        <v>0</v>
      </c>
      <c r="AZ75" s="8">
        <f t="shared" si="27"/>
        <v>0</v>
      </c>
      <c r="BA75" s="8">
        <f t="shared" si="27"/>
        <v>0</v>
      </c>
      <c r="BB75" s="8">
        <f t="shared" si="27"/>
        <v>0</v>
      </c>
      <c r="BC75" s="8">
        <f t="shared" si="27"/>
        <v>0</v>
      </c>
      <c r="BD75" s="8">
        <f t="shared" si="27"/>
        <v>0</v>
      </c>
      <c r="BE75" s="8">
        <f t="shared" si="27"/>
        <v>0</v>
      </c>
      <c r="BF75" s="8">
        <f t="shared" si="27"/>
        <v>0</v>
      </c>
      <c r="BG75" s="8">
        <f t="shared" si="27"/>
        <v>0</v>
      </c>
      <c r="BH75" s="8">
        <f t="shared" si="27"/>
        <v>0</v>
      </c>
      <c r="BI75" s="8">
        <f t="shared" si="27"/>
        <v>0</v>
      </c>
      <c r="BJ75" s="8">
        <f t="shared" si="27"/>
        <v>0</v>
      </c>
      <c r="BK75" s="8">
        <f t="shared" si="27"/>
        <v>0</v>
      </c>
      <c r="BL75" s="8">
        <f t="shared" si="27"/>
        <v>0</v>
      </c>
      <c r="BM75" s="8">
        <f t="shared" si="27"/>
        <v>0</v>
      </c>
      <c r="BN75" s="8">
        <f t="shared" si="27"/>
        <v>0</v>
      </c>
      <c r="BO75" s="8">
        <f t="shared" si="27"/>
        <v>0</v>
      </c>
      <c r="BP75" s="8">
        <f t="shared" si="27"/>
        <v>0</v>
      </c>
      <c r="BQ75" s="8">
        <f t="shared" si="27"/>
        <v>0</v>
      </c>
      <c r="BR75" s="8">
        <f t="shared" si="27"/>
        <v>0</v>
      </c>
      <c r="BS75" s="8">
        <f t="shared" si="27"/>
        <v>0</v>
      </c>
      <c r="BT75" s="8">
        <f t="shared" si="27"/>
        <v>0</v>
      </c>
      <c r="BU75" s="8">
        <f t="shared" si="27"/>
        <v>0</v>
      </c>
      <c r="BV75" s="8">
        <f t="shared" si="27"/>
        <v>0</v>
      </c>
      <c r="BW75" s="8">
        <f t="shared" si="27"/>
        <v>0</v>
      </c>
      <c r="BX75" s="8">
        <f t="shared" si="27"/>
        <v>0</v>
      </c>
      <c r="BY75" s="8">
        <f t="shared" si="27"/>
        <v>0</v>
      </c>
      <c r="BZ75" s="8">
        <f t="shared" si="27"/>
        <v>0</v>
      </c>
      <c r="CA75" s="8">
        <f t="shared" si="27"/>
        <v>0</v>
      </c>
      <c r="CB75" s="8">
        <f t="shared" si="27"/>
        <v>0</v>
      </c>
      <c r="CC75" s="8">
        <f t="shared" si="27"/>
        <v>0</v>
      </c>
      <c r="CD75" s="8">
        <f t="shared" si="27"/>
        <v>0</v>
      </c>
      <c r="CE75" s="8">
        <f t="shared" si="27"/>
        <v>0</v>
      </c>
      <c r="CF75" s="8">
        <f t="shared" si="27"/>
        <v>0</v>
      </c>
      <c r="CG75" s="8">
        <f t="shared" si="27"/>
        <v>0</v>
      </c>
      <c r="CH75" s="8">
        <f t="shared" si="27"/>
        <v>0</v>
      </c>
      <c r="CI75" s="8">
        <f t="shared" si="27"/>
        <v>0</v>
      </c>
      <c r="CJ75" s="8">
        <f t="shared" si="27"/>
        <v>0</v>
      </c>
      <c r="CK75" s="8">
        <f t="shared" si="27"/>
        <v>0</v>
      </c>
      <c r="CL75" s="8">
        <f t="shared" si="27"/>
        <v>0</v>
      </c>
      <c r="CM75" s="8">
        <f t="shared" si="27"/>
        <v>0</v>
      </c>
      <c r="CN75" s="8">
        <f t="shared" si="27"/>
        <v>0</v>
      </c>
      <c r="CO75" s="8">
        <f t="shared" si="27"/>
        <v>0</v>
      </c>
      <c r="CP75" s="8">
        <f t="shared" si="27"/>
        <v>0</v>
      </c>
      <c r="CQ75" s="8">
        <f t="shared" si="27"/>
        <v>0</v>
      </c>
      <c r="CR75" s="8">
        <f t="shared" si="27"/>
        <v>0</v>
      </c>
      <c r="CS75" s="8">
        <f t="shared" si="27"/>
        <v>0</v>
      </c>
      <c r="CT75" s="8">
        <f t="shared" si="27"/>
        <v>0</v>
      </c>
      <c r="CU75" s="8">
        <f t="shared" si="27"/>
        <v>0</v>
      </c>
      <c r="CV75" s="8">
        <f t="shared" si="27"/>
        <v>0</v>
      </c>
      <c r="CW75" s="8">
        <f t="shared" si="27"/>
        <v>0</v>
      </c>
      <c r="CX75" s="8">
        <f t="shared" si="27"/>
        <v>0</v>
      </c>
      <c r="CY75" s="8">
        <f t="shared" si="27"/>
        <v>0</v>
      </c>
      <c r="CZ75" s="8">
        <f t="shared" si="27"/>
        <v>0</v>
      </c>
      <c r="DA75" s="8">
        <f t="shared" si="27"/>
        <v>0</v>
      </c>
      <c r="DB75" s="8">
        <f t="shared" si="27"/>
        <v>0</v>
      </c>
      <c r="DC75" s="8">
        <f t="shared" si="27"/>
        <v>0</v>
      </c>
      <c r="DD75" s="8">
        <f t="shared" si="27"/>
        <v>0</v>
      </c>
      <c r="DE75" s="8">
        <f t="shared" si="27"/>
        <v>0</v>
      </c>
      <c r="DF75" s="8">
        <f t="shared" si="27"/>
        <v>0</v>
      </c>
      <c r="DG75" s="8">
        <f t="shared" si="27"/>
        <v>0</v>
      </c>
      <c r="DH75" s="8">
        <f t="shared" si="27"/>
        <v>0</v>
      </c>
      <c r="DI75" s="8">
        <f t="shared" si="27"/>
        <v>0</v>
      </c>
      <c r="DJ75" s="8">
        <f t="shared" si="27"/>
        <v>0</v>
      </c>
      <c r="DK75" s="8">
        <f t="shared" si="27"/>
        <v>0</v>
      </c>
      <c r="DL75" s="8">
        <f t="shared" si="27"/>
        <v>0</v>
      </c>
      <c r="DM75" s="8">
        <f t="shared" si="27"/>
        <v>0</v>
      </c>
      <c r="DN75" s="8">
        <f t="shared" si="27"/>
        <v>0</v>
      </c>
      <c r="DO75" s="8">
        <f t="shared" si="27"/>
        <v>0</v>
      </c>
      <c r="DP75" s="8">
        <f t="shared" si="27"/>
        <v>0</v>
      </c>
      <c r="DQ75" s="8">
        <f t="shared" si="27"/>
        <v>0</v>
      </c>
      <c r="DR75" s="8">
        <f t="shared" si="27"/>
        <v>0</v>
      </c>
      <c r="DS75" s="8">
        <f t="shared" si="27"/>
        <v>0</v>
      </c>
      <c r="DT75" s="8">
        <f t="shared" si="27"/>
        <v>0</v>
      </c>
      <c r="DU75" s="8">
        <f t="shared" si="27"/>
        <v>0</v>
      </c>
      <c r="DV75" s="8">
        <f t="shared" si="27"/>
        <v>0</v>
      </c>
      <c r="DW75" s="8">
        <f t="shared" si="27"/>
        <v>0</v>
      </c>
      <c r="DX75" s="8">
        <f t="shared" si="27"/>
        <v>0</v>
      </c>
      <c r="DY75" s="8">
        <f t="shared" si="27"/>
        <v>0</v>
      </c>
    </row>
    <row r="76" spans="1:129" ht="14.25" customHeight="1" x14ac:dyDescent="0.3">
      <c r="A76" s="7"/>
      <c r="B76" s="15" t="s">
        <v>273</v>
      </c>
      <c r="C76" s="7"/>
      <c r="D76" s="15" t="s">
        <v>4</v>
      </c>
      <c r="E76" s="7"/>
      <c r="F76" s="7"/>
      <c r="G76" s="7"/>
      <c r="H76" s="7"/>
      <c r="I76" s="7"/>
      <c r="J76" s="8">
        <f>J75*$E$46*(J70-E44)/365</f>
        <v>0</v>
      </c>
      <c r="K76" s="8">
        <f>K75*$E$46*(K70-J70)/365</f>
        <v>0</v>
      </c>
      <c r="L76" s="8">
        <f t="shared" ref="L76:BW76" si="28">L75*$E$46*(L70-K70)/365</f>
        <v>0</v>
      </c>
      <c r="M76" s="8">
        <f t="shared" si="28"/>
        <v>0</v>
      </c>
      <c r="N76" s="8">
        <f t="shared" si="28"/>
        <v>0</v>
      </c>
      <c r="O76" s="8">
        <f t="shared" si="28"/>
        <v>0</v>
      </c>
      <c r="P76" s="8">
        <f t="shared" si="28"/>
        <v>0</v>
      </c>
      <c r="Q76" s="8">
        <f t="shared" si="28"/>
        <v>0</v>
      </c>
      <c r="R76" s="8">
        <f t="shared" si="28"/>
        <v>0</v>
      </c>
      <c r="S76" s="8">
        <f t="shared" si="28"/>
        <v>0</v>
      </c>
      <c r="T76" s="8">
        <f t="shared" si="28"/>
        <v>0</v>
      </c>
      <c r="U76" s="8">
        <f t="shared" si="28"/>
        <v>0</v>
      </c>
      <c r="V76" s="8">
        <f t="shared" si="28"/>
        <v>0</v>
      </c>
      <c r="W76" s="8">
        <f t="shared" si="28"/>
        <v>0</v>
      </c>
      <c r="X76" s="8">
        <f t="shared" si="28"/>
        <v>0</v>
      </c>
      <c r="Y76" s="8">
        <f t="shared" si="28"/>
        <v>0</v>
      </c>
      <c r="Z76" s="8">
        <f t="shared" si="28"/>
        <v>0</v>
      </c>
      <c r="AA76" s="8">
        <f t="shared" si="28"/>
        <v>0</v>
      </c>
      <c r="AB76" s="8">
        <f t="shared" si="28"/>
        <v>0</v>
      </c>
      <c r="AC76" s="8">
        <f t="shared" si="28"/>
        <v>0</v>
      </c>
      <c r="AD76" s="8">
        <f t="shared" si="28"/>
        <v>0</v>
      </c>
      <c r="AE76" s="8">
        <f t="shared" si="28"/>
        <v>0</v>
      </c>
      <c r="AF76" s="8">
        <f t="shared" si="28"/>
        <v>0</v>
      </c>
      <c r="AG76" s="8">
        <f t="shared" si="28"/>
        <v>0</v>
      </c>
      <c r="AH76" s="8">
        <f t="shared" si="28"/>
        <v>0</v>
      </c>
      <c r="AI76" s="8">
        <f t="shared" si="28"/>
        <v>0</v>
      </c>
      <c r="AJ76" s="8">
        <f t="shared" si="28"/>
        <v>0</v>
      </c>
      <c r="AK76" s="8">
        <f t="shared" si="28"/>
        <v>0</v>
      </c>
      <c r="AL76" s="8">
        <f t="shared" si="28"/>
        <v>0</v>
      </c>
      <c r="AM76" s="8">
        <f t="shared" si="28"/>
        <v>0</v>
      </c>
      <c r="AN76" s="8">
        <f t="shared" si="28"/>
        <v>0</v>
      </c>
      <c r="AO76" s="8">
        <f t="shared" si="28"/>
        <v>0</v>
      </c>
      <c r="AP76" s="8">
        <f t="shared" si="28"/>
        <v>0</v>
      </c>
      <c r="AQ76" s="8">
        <f t="shared" si="28"/>
        <v>0</v>
      </c>
      <c r="AR76" s="8">
        <f t="shared" si="28"/>
        <v>0</v>
      </c>
      <c r="AS76" s="8">
        <f t="shared" si="28"/>
        <v>0</v>
      </c>
      <c r="AT76" s="8">
        <f t="shared" si="28"/>
        <v>0</v>
      </c>
      <c r="AU76" s="8">
        <f t="shared" si="28"/>
        <v>0</v>
      </c>
      <c r="AV76" s="8">
        <f t="shared" si="28"/>
        <v>0</v>
      </c>
      <c r="AW76" s="8">
        <f t="shared" si="28"/>
        <v>0</v>
      </c>
      <c r="AX76" s="8">
        <f t="shared" si="28"/>
        <v>0</v>
      </c>
      <c r="AY76" s="8">
        <f t="shared" si="28"/>
        <v>0</v>
      </c>
      <c r="AZ76" s="8">
        <f t="shared" si="28"/>
        <v>0</v>
      </c>
      <c r="BA76" s="8">
        <f t="shared" si="28"/>
        <v>0</v>
      </c>
      <c r="BB76" s="8">
        <f t="shared" si="28"/>
        <v>0</v>
      </c>
      <c r="BC76" s="8">
        <f t="shared" si="28"/>
        <v>0</v>
      </c>
      <c r="BD76" s="8">
        <f t="shared" si="28"/>
        <v>0</v>
      </c>
      <c r="BE76" s="8">
        <f t="shared" si="28"/>
        <v>0</v>
      </c>
      <c r="BF76" s="8">
        <f t="shared" si="28"/>
        <v>0</v>
      </c>
      <c r="BG76" s="8">
        <f t="shared" si="28"/>
        <v>0</v>
      </c>
      <c r="BH76" s="8">
        <f t="shared" si="28"/>
        <v>0</v>
      </c>
      <c r="BI76" s="8">
        <f t="shared" si="28"/>
        <v>0</v>
      </c>
      <c r="BJ76" s="8">
        <f t="shared" si="28"/>
        <v>0</v>
      </c>
      <c r="BK76" s="8">
        <f t="shared" si="28"/>
        <v>0</v>
      </c>
      <c r="BL76" s="8">
        <f t="shared" si="28"/>
        <v>0</v>
      </c>
      <c r="BM76" s="8">
        <f t="shared" si="28"/>
        <v>0</v>
      </c>
      <c r="BN76" s="8">
        <f t="shared" si="28"/>
        <v>0</v>
      </c>
      <c r="BO76" s="8">
        <f t="shared" si="28"/>
        <v>0</v>
      </c>
      <c r="BP76" s="8">
        <f t="shared" si="28"/>
        <v>0</v>
      </c>
      <c r="BQ76" s="8">
        <f t="shared" si="28"/>
        <v>0</v>
      </c>
      <c r="BR76" s="8">
        <f t="shared" si="28"/>
        <v>0</v>
      </c>
      <c r="BS76" s="8">
        <f t="shared" si="28"/>
        <v>0</v>
      </c>
      <c r="BT76" s="8">
        <f t="shared" si="28"/>
        <v>0</v>
      </c>
      <c r="BU76" s="8">
        <f t="shared" si="28"/>
        <v>0</v>
      </c>
      <c r="BV76" s="8">
        <f t="shared" si="28"/>
        <v>0</v>
      </c>
      <c r="BW76" s="8">
        <f t="shared" si="28"/>
        <v>0</v>
      </c>
      <c r="BX76" s="8">
        <f t="shared" ref="BX76:DY76" si="29">BX75*$E$46*(BX70-BW70)/365</f>
        <v>0</v>
      </c>
      <c r="BY76" s="8">
        <f t="shared" si="29"/>
        <v>0</v>
      </c>
      <c r="BZ76" s="8">
        <f t="shared" si="29"/>
        <v>0</v>
      </c>
      <c r="CA76" s="8">
        <f t="shared" si="29"/>
        <v>0</v>
      </c>
      <c r="CB76" s="8">
        <f t="shared" si="29"/>
        <v>0</v>
      </c>
      <c r="CC76" s="8">
        <f t="shared" si="29"/>
        <v>0</v>
      </c>
      <c r="CD76" s="8">
        <f t="shared" si="29"/>
        <v>0</v>
      </c>
      <c r="CE76" s="8">
        <f t="shared" si="29"/>
        <v>0</v>
      </c>
      <c r="CF76" s="8">
        <f t="shared" si="29"/>
        <v>0</v>
      </c>
      <c r="CG76" s="8">
        <f t="shared" si="29"/>
        <v>0</v>
      </c>
      <c r="CH76" s="8">
        <f t="shared" si="29"/>
        <v>0</v>
      </c>
      <c r="CI76" s="8">
        <f t="shared" si="29"/>
        <v>0</v>
      </c>
      <c r="CJ76" s="8">
        <f t="shared" si="29"/>
        <v>0</v>
      </c>
      <c r="CK76" s="8">
        <f t="shared" si="29"/>
        <v>0</v>
      </c>
      <c r="CL76" s="8">
        <f t="shared" si="29"/>
        <v>0</v>
      </c>
      <c r="CM76" s="8">
        <f t="shared" si="29"/>
        <v>0</v>
      </c>
      <c r="CN76" s="8">
        <f t="shared" si="29"/>
        <v>0</v>
      </c>
      <c r="CO76" s="8">
        <f t="shared" si="29"/>
        <v>0</v>
      </c>
      <c r="CP76" s="8">
        <f t="shared" si="29"/>
        <v>0</v>
      </c>
      <c r="CQ76" s="8">
        <f t="shared" si="29"/>
        <v>0</v>
      </c>
      <c r="CR76" s="8">
        <f t="shared" si="29"/>
        <v>0</v>
      </c>
      <c r="CS76" s="8">
        <f t="shared" si="29"/>
        <v>0</v>
      </c>
      <c r="CT76" s="8">
        <f t="shared" si="29"/>
        <v>0</v>
      </c>
      <c r="CU76" s="8">
        <f t="shared" si="29"/>
        <v>0</v>
      </c>
      <c r="CV76" s="8">
        <f t="shared" si="29"/>
        <v>0</v>
      </c>
      <c r="CW76" s="8">
        <f t="shared" si="29"/>
        <v>0</v>
      </c>
      <c r="CX76" s="8">
        <f t="shared" si="29"/>
        <v>0</v>
      </c>
      <c r="CY76" s="8">
        <f t="shared" si="29"/>
        <v>0</v>
      </c>
      <c r="CZ76" s="8">
        <f t="shared" si="29"/>
        <v>0</v>
      </c>
      <c r="DA76" s="8">
        <f t="shared" si="29"/>
        <v>0</v>
      </c>
      <c r="DB76" s="8">
        <f t="shared" si="29"/>
        <v>0</v>
      </c>
      <c r="DC76" s="8">
        <f t="shared" si="29"/>
        <v>0</v>
      </c>
      <c r="DD76" s="8">
        <f t="shared" si="29"/>
        <v>0</v>
      </c>
      <c r="DE76" s="8">
        <f t="shared" si="29"/>
        <v>0</v>
      </c>
      <c r="DF76" s="8">
        <f t="shared" si="29"/>
        <v>0</v>
      </c>
      <c r="DG76" s="8">
        <f t="shared" si="29"/>
        <v>0</v>
      </c>
      <c r="DH76" s="8">
        <f t="shared" si="29"/>
        <v>0</v>
      </c>
      <c r="DI76" s="8">
        <f t="shared" si="29"/>
        <v>0</v>
      </c>
      <c r="DJ76" s="8">
        <f t="shared" si="29"/>
        <v>0</v>
      </c>
      <c r="DK76" s="8">
        <f t="shared" si="29"/>
        <v>0</v>
      </c>
      <c r="DL76" s="8">
        <f t="shared" si="29"/>
        <v>0</v>
      </c>
      <c r="DM76" s="8">
        <f t="shared" si="29"/>
        <v>0</v>
      </c>
      <c r="DN76" s="8">
        <f t="shared" si="29"/>
        <v>0</v>
      </c>
      <c r="DO76" s="8">
        <f t="shared" si="29"/>
        <v>0</v>
      </c>
      <c r="DP76" s="8">
        <f t="shared" si="29"/>
        <v>0</v>
      </c>
      <c r="DQ76" s="8">
        <f t="shared" si="29"/>
        <v>0</v>
      </c>
      <c r="DR76" s="8">
        <f t="shared" si="29"/>
        <v>0</v>
      </c>
      <c r="DS76" s="8">
        <f t="shared" si="29"/>
        <v>0</v>
      </c>
      <c r="DT76" s="8">
        <f t="shared" si="29"/>
        <v>0</v>
      </c>
      <c r="DU76" s="8">
        <f t="shared" si="29"/>
        <v>0</v>
      </c>
      <c r="DV76" s="8">
        <f t="shared" si="29"/>
        <v>0</v>
      </c>
      <c r="DW76" s="8">
        <f t="shared" si="29"/>
        <v>0</v>
      </c>
      <c r="DX76" s="8">
        <f t="shared" si="29"/>
        <v>0</v>
      </c>
      <c r="DY76" s="8">
        <f t="shared" si="29"/>
        <v>0</v>
      </c>
    </row>
    <row r="77" spans="1:129" ht="14.25" customHeight="1" x14ac:dyDescent="0.3">
      <c r="A77" s="7"/>
      <c r="B77" s="15" t="s">
        <v>274</v>
      </c>
      <c r="C77" s="7"/>
      <c r="D77" s="15" t="s">
        <v>4</v>
      </c>
      <c r="E77" s="7"/>
      <c r="F77" s="7"/>
      <c r="G77" s="7"/>
      <c r="H77" s="7"/>
      <c r="I77" s="7"/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f>SUM(J76:U76)</f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f>SUM(V76:AG76)</f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f>SUM(AH76:AS76)</f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f>SUM(AT76:BE76)</f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f>SUM(BF76:BQ76)</f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f>SUM(BR76:CC76)</f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f>SUM(CD76:CO76)</f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f>SUM(CP76:DA76)</f>
        <v>0</v>
      </c>
      <c r="DB77" s="8">
        <v>0</v>
      </c>
      <c r="DC77" s="8">
        <v>0</v>
      </c>
      <c r="DD77" s="8">
        <v>0</v>
      </c>
      <c r="DE77" s="8">
        <v>0</v>
      </c>
      <c r="DF77" s="8">
        <v>0</v>
      </c>
      <c r="DG77" s="8">
        <v>0</v>
      </c>
      <c r="DH77" s="8">
        <v>0</v>
      </c>
      <c r="DI77" s="8">
        <v>0</v>
      </c>
      <c r="DJ77" s="8">
        <v>0</v>
      </c>
      <c r="DK77" s="8">
        <v>0</v>
      </c>
      <c r="DL77" s="8">
        <v>0</v>
      </c>
      <c r="DM77" s="8">
        <f>SUM(DB76:DM76)</f>
        <v>0</v>
      </c>
      <c r="DN77" s="8">
        <v>0</v>
      </c>
      <c r="DO77" s="8">
        <v>0</v>
      </c>
      <c r="DP77" s="8">
        <v>0</v>
      </c>
      <c r="DQ77" s="8">
        <v>0</v>
      </c>
      <c r="DR77" s="8">
        <v>0</v>
      </c>
      <c r="DS77" s="8">
        <v>0</v>
      </c>
      <c r="DT77" s="8">
        <v>0</v>
      </c>
      <c r="DU77" s="8">
        <v>0</v>
      </c>
      <c r="DV77" s="8">
        <v>0</v>
      </c>
      <c r="DW77" s="8">
        <v>0</v>
      </c>
      <c r="DX77" s="8">
        <v>0</v>
      </c>
      <c r="DY77" s="8">
        <f>SUM(DN76:DY76)</f>
        <v>0</v>
      </c>
    </row>
    <row r="78" spans="1:129" ht="14.25" customHeight="1" x14ac:dyDescent="0.3">
      <c r="A78" s="7"/>
      <c r="B78" s="15" t="s">
        <v>275</v>
      </c>
      <c r="C78" s="7"/>
      <c r="D78" s="15" t="s">
        <v>4</v>
      </c>
      <c r="E78" s="7"/>
      <c r="F78" s="7"/>
      <c r="G78" s="7"/>
      <c r="H78" s="7"/>
      <c r="I78" s="7"/>
      <c r="J78" s="8">
        <f>J76-J77+I78</f>
        <v>0</v>
      </c>
      <c r="K78" s="8">
        <f t="shared" ref="K78:DY78" si="30">K76-K77+J78</f>
        <v>0</v>
      </c>
      <c r="L78" s="8">
        <f t="shared" si="30"/>
        <v>0</v>
      </c>
      <c r="M78" s="8">
        <f t="shared" si="30"/>
        <v>0</v>
      </c>
      <c r="N78" s="8">
        <f t="shared" si="30"/>
        <v>0</v>
      </c>
      <c r="O78" s="8">
        <f t="shared" si="30"/>
        <v>0</v>
      </c>
      <c r="P78" s="8">
        <f t="shared" si="30"/>
        <v>0</v>
      </c>
      <c r="Q78" s="8">
        <f t="shared" si="30"/>
        <v>0</v>
      </c>
      <c r="R78" s="8">
        <f t="shared" si="30"/>
        <v>0</v>
      </c>
      <c r="S78" s="8">
        <f>S76-S77+R78</f>
        <v>0</v>
      </c>
      <c r="T78" s="8">
        <f t="shared" si="30"/>
        <v>0</v>
      </c>
      <c r="U78" s="8">
        <f t="shared" si="30"/>
        <v>0</v>
      </c>
      <c r="V78" s="8">
        <f t="shared" si="30"/>
        <v>0</v>
      </c>
      <c r="W78" s="8">
        <f t="shared" si="30"/>
        <v>0</v>
      </c>
      <c r="X78" s="8">
        <f t="shared" si="30"/>
        <v>0</v>
      </c>
      <c r="Y78" s="8">
        <f t="shared" si="30"/>
        <v>0</v>
      </c>
      <c r="Z78" s="8">
        <f t="shared" si="30"/>
        <v>0</v>
      </c>
      <c r="AA78" s="8">
        <f t="shared" si="30"/>
        <v>0</v>
      </c>
      <c r="AB78" s="8">
        <f t="shared" si="30"/>
        <v>0</v>
      </c>
      <c r="AC78" s="8">
        <f t="shared" si="30"/>
        <v>0</v>
      </c>
      <c r="AD78" s="8">
        <f t="shared" si="30"/>
        <v>0</v>
      </c>
      <c r="AE78" s="8">
        <f t="shared" ref="AE78:AO78" si="31">AE76-AE77+AD78</f>
        <v>0</v>
      </c>
      <c r="AF78" s="8">
        <f t="shared" si="31"/>
        <v>0</v>
      </c>
      <c r="AG78" s="8">
        <f t="shared" si="31"/>
        <v>0</v>
      </c>
      <c r="AH78" s="8">
        <f t="shared" si="31"/>
        <v>0</v>
      </c>
      <c r="AI78" s="8">
        <f t="shared" si="31"/>
        <v>0</v>
      </c>
      <c r="AJ78" s="8">
        <f t="shared" si="31"/>
        <v>0</v>
      </c>
      <c r="AK78" s="8">
        <f t="shared" si="31"/>
        <v>0</v>
      </c>
      <c r="AL78" s="8">
        <f t="shared" si="31"/>
        <v>0</v>
      </c>
      <c r="AM78" s="8">
        <f t="shared" si="31"/>
        <v>0</v>
      </c>
      <c r="AN78" s="8">
        <f t="shared" si="31"/>
        <v>0</v>
      </c>
      <c r="AO78" s="8">
        <f t="shared" si="31"/>
        <v>0</v>
      </c>
      <c r="AP78" s="8">
        <f t="shared" si="30"/>
        <v>0</v>
      </c>
      <c r="AQ78" s="8">
        <f>AQ76-AQ77+AP78</f>
        <v>0</v>
      </c>
      <c r="AR78" s="8">
        <f t="shared" si="30"/>
        <v>0</v>
      </c>
      <c r="AS78" s="8">
        <f t="shared" si="30"/>
        <v>0</v>
      </c>
      <c r="AT78" s="8">
        <f t="shared" si="30"/>
        <v>0</v>
      </c>
      <c r="AU78" s="8">
        <f t="shared" si="30"/>
        <v>0</v>
      </c>
      <c r="AV78" s="8">
        <f t="shared" si="30"/>
        <v>0</v>
      </c>
      <c r="AW78" s="8">
        <f t="shared" si="30"/>
        <v>0</v>
      </c>
      <c r="AX78" s="8">
        <f t="shared" si="30"/>
        <v>0</v>
      </c>
      <c r="AY78" s="8">
        <f t="shared" si="30"/>
        <v>0</v>
      </c>
      <c r="AZ78" s="8">
        <f t="shared" si="30"/>
        <v>0</v>
      </c>
      <c r="BA78" s="8">
        <f t="shared" si="30"/>
        <v>0</v>
      </c>
      <c r="BB78" s="8">
        <f t="shared" si="30"/>
        <v>0</v>
      </c>
      <c r="BC78" s="8">
        <f t="shared" si="30"/>
        <v>0</v>
      </c>
      <c r="BD78" s="8">
        <f t="shared" si="30"/>
        <v>0</v>
      </c>
      <c r="BE78" s="8">
        <f t="shared" si="30"/>
        <v>0</v>
      </c>
      <c r="BF78" s="8">
        <f t="shared" si="30"/>
        <v>0</v>
      </c>
      <c r="BG78" s="8">
        <f t="shared" si="30"/>
        <v>0</v>
      </c>
      <c r="BH78" s="8">
        <f t="shared" si="30"/>
        <v>0</v>
      </c>
      <c r="BI78" s="8">
        <f t="shared" si="30"/>
        <v>0</v>
      </c>
      <c r="BJ78" s="8">
        <f t="shared" si="30"/>
        <v>0</v>
      </c>
      <c r="BK78" s="8">
        <f t="shared" si="30"/>
        <v>0</v>
      </c>
      <c r="BL78" s="8">
        <f t="shared" si="30"/>
        <v>0</v>
      </c>
      <c r="BM78" s="8">
        <f t="shared" si="30"/>
        <v>0</v>
      </c>
      <c r="BN78" s="8">
        <f t="shared" si="30"/>
        <v>0</v>
      </c>
      <c r="BO78" s="8">
        <f t="shared" si="30"/>
        <v>0</v>
      </c>
      <c r="BP78" s="8">
        <f t="shared" si="30"/>
        <v>0</v>
      </c>
      <c r="BQ78" s="8">
        <f t="shared" si="30"/>
        <v>0</v>
      </c>
      <c r="BR78" s="8">
        <f t="shared" si="30"/>
        <v>0</v>
      </c>
      <c r="BS78" s="8">
        <f t="shared" si="30"/>
        <v>0</v>
      </c>
      <c r="BT78" s="8">
        <f t="shared" si="30"/>
        <v>0</v>
      </c>
      <c r="BU78" s="8">
        <f t="shared" si="30"/>
        <v>0</v>
      </c>
      <c r="BV78" s="8">
        <f t="shared" si="30"/>
        <v>0</v>
      </c>
      <c r="BW78" s="8">
        <f t="shared" si="30"/>
        <v>0</v>
      </c>
      <c r="BX78" s="8">
        <f t="shared" si="30"/>
        <v>0</v>
      </c>
      <c r="BY78" s="8">
        <f t="shared" si="30"/>
        <v>0</v>
      </c>
      <c r="BZ78" s="8">
        <f t="shared" si="30"/>
        <v>0</v>
      </c>
      <c r="CA78" s="8">
        <f t="shared" si="30"/>
        <v>0</v>
      </c>
      <c r="CB78" s="8">
        <f t="shared" si="30"/>
        <v>0</v>
      </c>
      <c r="CC78" s="8">
        <f t="shared" si="30"/>
        <v>0</v>
      </c>
      <c r="CD78" s="8">
        <f t="shared" si="30"/>
        <v>0</v>
      </c>
      <c r="CE78" s="8">
        <f t="shared" si="30"/>
        <v>0</v>
      </c>
      <c r="CF78" s="8">
        <f t="shared" si="30"/>
        <v>0</v>
      </c>
      <c r="CG78" s="8">
        <f t="shared" si="30"/>
        <v>0</v>
      </c>
      <c r="CH78" s="8">
        <f t="shared" si="30"/>
        <v>0</v>
      </c>
      <c r="CI78" s="8">
        <f t="shared" si="30"/>
        <v>0</v>
      </c>
      <c r="CJ78" s="8">
        <f t="shared" si="30"/>
        <v>0</v>
      </c>
      <c r="CK78" s="8">
        <f t="shared" si="30"/>
        <v>0</v>
      </c>
      <c r="CL78" s="8">
        <f t="shared" si="30"/>
        <v>0</v>
      </c>
      <c r="CM78" s="8">
        <f t="shared" si="30"/>
        <v>0</v>
      </c>
      <c r="CN78" s="8">
        <f t="shared" si="30"/>
        <v>0</v>
      </c>
      <c r="CO78" s="8">
        <f t="shared" si="30"/>
        <v>0</v>
      </c>
      <c r="CP78" s="8">
        <f t="shared" si="30"/>
        <v>0</v>
      </c>
      <c r="CQ78" s="8">
        <f t="shared" si="30"/>
        <v>0</v>
      </c>
      <c r="CR78" s="8">
        <f t="shared" si="30"/>
        <v>0</v>
      </c>
      <c r="CS78" s="8">
        <f t="shared" si="30"/>
        <v>0</v>
      </c>
      <c r="CT78" s="8">
        <f t="shared" si="30"/>
        <v>0</v>
      </c>
      <c r="CU78" s="8">
        <f t="shared" si="30"/>
        <v>0</v>
      </c>
      <c r="CV78" s="8">
        <f t="shared" si="30"/>
        <v>0</v>
      </c>
      <c r="CW78" s="8">
        <f t="shared" si="30"/>
        <v>0</v>
      </c>
      <c r="CX78" s="8">
        <f t="shared" si="30"/>
        <v>0</v>
      </c>
      <c r="CY78" s="8">
        <f t="shared" si="30"/>
        <v>0</v>
      </c>
      <c r="CZ78" s="8">
        <f t="shared" si="30"/>
        <v>0</v>
      </c>
      <c r="DA78" s="8">
        <f t="shared" si="30"/>
        <v>0</v>
      </c>
      <c r="DB78" s="8">
        <f t="shared" si="30"/>
        <v>0</v>
      </c>
      <c r="DC78" s="8">
        <f t="shared" si="30"/>
        <v>0</v>
      </c>
      <c r="DD78" s="8">
        <f t="shared" si="30"/>
        <v>0</v>
      </c>
      <c r="DE78" s="8">
        <f t="shared" si="30"/>
        <v>0</v>
      </c>
      <c r="DF78" s="8">
        <f t="shared" si="30"/>
        <v>0</v>
      </c>
      <c r="DG78" s="8">
        <f t="shared" si="30"/>
        <v>0</v>
      </c>
      <c r="DH78" s="8">
        <f t="shared" si="30"/>
        <v>0</v>
      </c>
      <c r="DI78" s="8">
        <f t="shared" si="30"/>
        <v>0</v>
      </c>
      <c r="DJ78" s="8">
        <f t="shared" si="30"/>
        <v>0</v>
      </c>
      <c r="DK78" s="8">
        <f t="shared" si="30"/>
        <v>0</v>
      </c>
      <c r="DL78" s="8">
        <f t="shared" si="30"/>
        <v>0</v>
      </c>
      <c r="DM78" s="8">
        <f t="shared" si="30"/>
        <v>0</v>
      </c>
      <c r="DN78" s="8">
        <f t="shared" si="30"/>
        <v>0</v>
      </c>
      <c r="DO78" s="8">
        <f t="shared" si="30"/>
        <v>0</v>
      </c>
      <c r="DP78" s="8">
        <f t="shared" si="30"/>
        <v>0</v>
      </c>
      <c r="DQ78" s="8">
        <f t="shared" si="30"/>
        <v>0</v>
      </c>
      <c r="DR78" s="8">
        <f t="shared" si="30"/>
        <v>0</v>
      </c>
      <c r="DS78" s="8">
        <f t="shared" si="30"/>
        <v>0</v>
      </c>
      <c r="DT78" s="8">
        <f t="shared" si="30"/>
        <v>0</v>
      </c>
      <c r="DU78" s="8">
        <f t="shared" si="30"/>
        <v>0</v>
      </c>
      <c r="DV78" s="8">
        <f t="shared" si="30"/>
        <v>0</v>
      </c>
      <c r="DW78" s="8">
        <f t="shared" si="30"/>
        <v>0</v>
      </c>
      <c r="DX78" s="8">
        <f t="shared" si="30"/>
        <v>0</v>
      </c>
      <c r="DY78" s="8">
        <f t="shared" si="30"/>
        <v>0</v>
      </c>
    </row>
    <row r="79" spans="1:129" ht="14.25" customHeight="1" x14ac:dyDescent="0.3">
      <c r="A79" s="7"/>
      <c r="B79" s="7" t="s">
        <v>276</v>
      </c>
      <c r="C79" s="7"/>
      <c r="D79" s="15" t="s">
        <v>4</v>
      </c>
      <c r="E79" s="7"/>
      <c r="F79" s="7"/>
      <c r="G79" s="7"/>
      <c r="H79" s="7"/>
      <c r="I79" s="7"/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f>$E$45*E55</f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55">
        <v>0</v>
      </c>
      <c r="AQ79" s="8">
        <v>0</v>
      </c>
      <c r="AR79" s="8">
        <v>0</v>
      </c>
      <c r="AS79" s="8">
        <f>$E$45*E56</f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55">
        <v>0</v>
      </c>
      <c r="BC79" s="8">
        <v>0</v>
      </c>
      <c r="BD79" s="8">
        <v>0</v>
      </c>
      <c r="BE79" s="8">
        <f>$E$45*E57</f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55">
        <v>0</v>
      </c>
      <c r="BO79" s="8">
        <v>0</v>
      </c>
      <c r="BP79" s="8">
        <v>0</v>
      </c>
      <c r="BQ79" s="8">
        <f>$E$45*E58</f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55">
        <v>0</v>
      </c>
      <c r="CA79" s="8">
        <v>0</v>
      </c>
      <c r="CB79" s="8">
        <v>0</v>
      </c>
      <c r="CC79" s="8">
        <f>$E$45*E59</f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55">
        <v>0</v>
      </c>
      <c r="CM79" s="8">
        <v>0</v>
      </c>
      <c r="CN79" s="8">
        <v>0</v>
      </c>
      <c r="CO79" s="8">
        <f>$E$45*E60</f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55">
        <v>0</v>
      </c>
      <c r="CY79" s="8">
        <v>0</v>
      </c>
      <c r="CZ79" s="8">
        <v>0</v>
      </c>
      <c r="DA79" s="8">
        <f>$E$45*E61</f>
        <v>0</v>
      </c>
      <c r="DB79" s="8">
        <v>0</v>
      </c>
      <c r="DC79" s="8">
        <v>0</v>
      </c>
      <c r="DD79" s="8">
        <v>0</v>
      </c>
      <c r="DE79" s="8">
        <v>0</v>
      </c>
      <c r="DF79" s="8">
        <v>0</v>
      </c>
      <c r="DG79" s="8">
        <v>0</v>
      </c>
      <c r="DH79" s="8">
        <v>0</v>
      </c>
      <c r="DI79" s="8">
        <v>0</v>
      </c>
      <c r="DJ79" s="55">
        <v>0</v>
      </c>
      <c r="DK79" s="8">
        <v>0</v>
      </c>
      <c r="DL79" s="8">
        <v>0</v>
      </c>
      <c r="DM79" s="8">
        <f>$E$45*E62</f>
        <v>0</v>
      </c>
      <c r="DN79" s="8">
        <v>0</v>
      </c>
      <c r="DO79" s="8">
        <v>0</v>
      </c>
      <c r="DP79" s="8">
        <v>0</v>
      </c>
      <c r="DQ79" s="8">
        <v>0</v>
      </c>
      <c r="DR79" s="8">
        <v>0</v>
      </c>
      <c r="DS79" s="8">
        <v>0</v>
      </c>
      <c r="DT79" s="8">
        <v>0</v>
      </c>
      <c r="DU79" s="8">
        <v>0</v>
      </c>
      <c r="DV79" s="55">
        <v>0</v>
      </c>
      <c r="DW79" s="8">
        <v>0</v>
      </c>
      <c r="DX79" s="8">
        <v>0</v>
      </c>
      <c r="DY79" s="8">
        <f>$E$45*E63</f>
        <v>0</v>
      </c>
    </row>
    <row r="80" spans="1:129" ht="14.25" customHeight="1" x14ac:dyDescent="0.3">
      <c r="A80" s="7"/>
      <c r="B80" s="15" t="s">
        <v>277</v>
      </c>
      <c r="C80" s="7"/>
      <c r="D80" s="15" t="s">
        <v>4</v>
      </c>
      <c r="E80" s="7"/>
      <c r="F80" s="7"/>
      <c r="G80" s="7"/>
      <c r="H80" s="7"/>
      <c r="I80" s="7"/>
      <c r="J80" s="8">
        <f t="shared" ref="J80:DY80" si="32">J75-J79</f>
        <v>0</v>
      </c>
      <c r="K80" s="8">
        <f t="shared" si="32"/>
        <v>0</v>
      </c>
      <c r="L80" s="8">
        <f t="shared" si="32"/>
        <v>0</v>
      </c>
      <c r="M80" s="8">
        <f t="shared" si="32"/>
        <v>0</v>
      </c>
      <c r="N80" s="8">
        <f t="shared" si="32"/>
        <v>0</v>
      </c>
      <c r="O80" s="8">
        <f t="shared" si="32"/>
        <v>0</v>
      </c>
      <c r="P80" s="8">
        <f t="shared" si="32"/>
        <v>0</v>
      </c>
      <c r="Q80" s="8">
        <f t="shared" si="32"/>
        <v>0</v>
      </c>
      <c r="R80" s="8">
        <f t="shared" si="32"/>
        <v>0</v>
      </c>
      <c r="S80" s="8">
        <f t="shared" si="32"/>
        <v>0</v>
      </c>
      <c r="T80" s="8">
        <f t="shared" si="32"/>
        <v>0</v>
      </c>
      <c r="U80" s="8">
        <f t="shared" si="32"/>
        <v>0</v>
      </c>
      <c r="V80" s="8">
        <f t="shared" si="32"/>
        <v>0</v>
      </c>
      <c r="W80" s="8">
        <f t="shared" si="32"/>
        <v>0</v>
      </c>
      <c r="X80" s="8">
        <f t="shared" si="32"/>
        <v>0</v>
      </c>
      <c r="Y80" s="8">
        <f t="shared" si="32"/>
        <v>0</v>
      </c>
      <c r="Z80" s="8">
        <f t="shared" si="32"/>
        <v>0</v>
      </c>
      <c r="AA80" s="8">
        <f t="shared" si="32"/>
        <v>0</v>
      </c>
      <c r="AB80" s="8">
        <f t="shared" si="32"/>
        <v>0</v>
      </c>
      <c r="AC80" s="8">
        <f t="shared" si="32"/>
        <v>0</v>
      </c>
      <c r="AD80" s="8">
        <f t="shared" si="32"/>
        <v>0</v>
      </c>
      <c r="AE80" s="8">
        <f t="shared" si="32"/>
        <v>0</v>
      </c>
      <c r="AF80" s="8">
        <f t="shared" si="32"/>
        <v>0</v>
      </c>
      <c r="AG80" s="8">
        <f t="shared" si="32"/>
        <v>0</v>
      </c>
      <c r="AH80" s="8">
        <f t="shared" si="32"/>
        <v>0</v>
      </c>
      <c r="AI80" s="8">
        <f t="shared" si="32"/>
        <v>0</v>
      </c>
      <c r="AJ80" s="8">
        <f t="shared" si="32"/>
        <v>0</v>
      </c>
      <c r="AK80" s="8">
        <f t="shared" si="32"/>
        <v>0</v>
      </c>
      <c r="AL80" s="8">
        <f t="shared" si="32"/>
        <v>0</v>
      </c>
      <c r="AM80" s="8">
        <f t="shared" si="32"/>
        <v>0</v>
      </c>
      <c r="AN80" s="8">
        <f t="shared" si="32"/>
        <v>0</v>
      </c>
      <c r="AO80" s="8">
        <f t="shared" si="32"/>
        <v>0</v>
      </c>
      <c r="AP80" s="8">
        <f t="shared" si="32"/>
        <v>0</v>
      </c>
      <c r="AQ80" s="8">
        <f t="shared" si="32"/>
        <v>0</v>
      </c>
      <c r="AR80" s="8">
        <f t="shared" si="32"/>
        <v>0</v>
      </c>
      <c r="AS80" s="8">
        <f t="shared" si="32"/>
        <v>0</v>
      </c>
      <c r="AT80" s="8">
        <f t="shared" si="32"/>
        <v>0</v>
      </c>
      <c r="AU80" s="8">
        <f t="shared" si="32"/>
        <v>0</v>
      </c>
      <c r="AV80" s="8">
        <f t="shared" si="32"/>
        <v>0</v>
      </c>
      <c r="AW80" s="8">
        <f t="shared" si="32"/>
        <v>0</v>
      </c>
      <c r="AX80" s="8">
        <f t="shared" si="32"/>
        <v>0</v>
      </c>
      <c r="AY80" s="8">
        <f t="shared" si="32"/>
        <v>0</v>
      </c>
      <c r="AZ80" s="8">
        <f t="shared" si="32"/>
        <v>0</v>
      </c>
      <c r="BA80" s="8">
        <f t="shared" si="32"/>
        <v>0</v>
      </c>
      <c r="BB80" s="8">
        <f t="shared" si="32"/>
        <v>0</v>
      </c>
      <c r="BC80" s="8">
        <f t="shared" si="32"/>
        <v>0</v>
      </c>
      <c r="BD80" s="8">
        <f t="shared" si="32"/>
        <v>0</v>
      </c>
      <c r="BE80" s="8">
        <f t="shared" si="32"/>
        <v>0</v>
      </c>
      <c r="BF80" s="8">
        <f t="shared" si="32"/>
        <v>0</v>
      </c>
      <c r="BG80" s="8">
        <f t="shared" si="32"/>
        <v>0</v>
      </c>
      <c r="BH80" s="8">
        <f t="shared" si="32"/>
        <v>0</v>
      </c>
      <c r="BI80" s="8">
        <f t="shared" si="32"/>
        <v>0</v>
      </c>
      <c r="BJ80" s="8">
        <f t="shared" si="32"/>
        <v>0</v>
      </c>
      <c r="BK80" s="8">
        <f t="shared" si="32"/>
        <v>0</v>
      </c>
      <c r="BL80" s="8">
        <f t="shared" si="32"/>
        <v>0</v>
      </c>
      <c r="BM80" s="8">
        <f t="shared" si="32"/>
        <v>0</v>
      </c>
      <c r="BN80" s="8">
        <f t="shared" si="32"/>
        <v>0</v>
      </c>
      <c r="BO80" s="8">
        <f t="shared" si="32"/>
        <v>0</v>
      </c>
      <c r="BP80" s="8">
        <f t="shared" si="32"/>
        <v>0</v>
      </c>
      <c r="BQ80" s="8">
        <f t="shared" si="32"/>
        <v>0</v>
      </c>
      <c r="BR80" s="8">
        <f t="shared" si="32"/>
        <v>0</v>
      </c>
      <c r="BS80" s="8">
        <f t="shared" si="32"/>
        <v>0</v>
      </c>
      <c r="BT80" s="8">
        <f t="shared" si="32"/>
        <v>0</v>
      </c>
      <c r="BU80" s="8">
        <f t="shared" si="32"/>
        <v>0</v>
      </c>
      <c r="BV80" s="8">
        <f t="shared" si="32"/>
        <v>0</v>
      </c>
      <c r="BW80" s="8">
        <f t="shared" si="32"/>
        <v>0</v>
      </c>
      <c r="BX80" s="8">
        <f t="shared" si="32"/>
        <v>0</v>
      </c>
      <c r="BY80" s="8">
        <f t="shared" si="32"/>
        <v>0</v>
      </c>
      <c r="BZ80" s="8">
        <f t="shared" si="32"/>
        <v>0</v>
      </c>
      <c r="CA80" s="8">
        <f t="shared" si="32"/>
        <v>0</v>
      </c>
      <c r="CB80" s="8">
        <f t="shared" si="32"/>
        <v>0</v>
      </c>
      <c r="CC80" s="8">
        <f t="shared" si="32"/>
        <v>0</v>
      </c>
      <c r="CD80" s="8">
        <f t="shared" si="32"/>
        <v>0</v>
      </c>
      <c r="CE80" s="8">
        <f t="shared" si="32"/>
        <v>0</v>
      </c>
      <c r="CF80" s="8">
        <f t="shared" si="32"/>
        <v>0</v>
      </c>
      <c r="CG80" s="8">
        <f t="shared" si="32"/>
        <v>0</v>
      </c>
      <c r="CH80" s="8">
        <f t="shared" si="32"/>
        <v>0</v>
      </c>
      <c r="CI80" s="8">
        <f t="shared" si="32"/>
        <v>0</v>
      </c>
      <c r="CJ80" s="8">
        <f t="shared" si="32"/>
        <v>0</v>
      </c>
      <c r="CK80" s="8">
        <f t="shared" si="32"/>
        <v>0</v>
      </c>
      <c r="CL80" s="8">
        <f t="shared" si="32"/>
        <v>0</v>
      </c>
      <c r="CM80" s="8">
        <f t="shared" si="32"/>
        <v>0</v>
      </c>
      <c r="CN80" s="8">
        <f t="shared" si="32"/>
        <v>0</v>
      </c>
      <c r="CO80" s="8">
        <f t="shared" si="32"/>
        <v>0</v>
      </c>
      <c r="CP80" s="8">
        <f t="shared" si="32"/>
        <v>0</v>
      </c>
      <c r="CQ80" s="8">
        <f t="shared" si="32"/>
        <v>0</v>
      </c>
      <c r="CR80" s="8">
        <f t="shared" si="32"/>
        <v>0</v>
      </c>
      <c r="CS80" s="8">
        <f t="shared" si="32"/>
        <v>0</v>
      </c>
      <c r="CT80" s="8">
        <f t="shared" si="32"/>
        <v>0</v>
      </c>
      <c r="CU80" s="8">
        <f t="shared" si="32"/>
        <v>0</v>
      </c>
      <c r="CV80" s="8">
        <f t="shared" si="32"/>
        <v>0</v>
      </c>
      <c r="CW80" s="8">
        <f t="shared" si="32"/>
        <v>0</v>
      </c>
      <c r="CX80" s="8">
        <f t="shared" si="32"/>
        <v>0</v>
      </c>
      <c r="CY80" s="8">
        <f t="shared" si="32"/>
        <v>0</v>
      </c>
      <c r="CZ80" s="8">
        <f t="shared" si="32"/>
        <v>0</v>
      </c>
      <c r="DA80" s="8">
        <f t="shared" si="32"/>
        <v>0</v>
      </c>
      <c r="DB80" s="8">
        <f t="shared" si="32"/>
        <v>0</v>
      </c>
      <c r="DC80" s="8">
        <f t="shared" si="32"/>
        <v>0</v>
      </c>
      <c r="DD80" s="8">
        <f t="shared" si="32"/>
        <v>0</v>
      </c>
      <c r="DE80" s="8">
        <f t="shared" si="32"/>
        <v>0</v>
      </c>
      <c r="DF80" s="8">
        <f t="shared" si="32"/>
        <v>0</v>
      </c>
      <c r="DG80" s="8">
        <f t="shared" si="32"/>
        <v>0</v>
      </c>
      <c r="DH80" s="8">
        <f t="shared" si="32"/>
        <v>0</v>
      </c>
      <c r="DI80" s="8">
        <f t="shared" si="32"/>
        <v>0</v>
      </c>
      <c r="DJ80" s="8">
        <f t="shared" si="32"/>
        <v>0</v>
      </c>
      <c r="DK80" s="8">
        <f t="shared" si="32"/>
        <v>0</v>
      </c>
      <c r="DL80" s="8">
        <f t="shared" si="32"/>
        <v>0</v>
      </c>
      <c r="DM80" s="8">
        <f t="shared" si="32"/>
        <v>0</v>
      </c>
      <c r="DN80" s="8">
        <f t="shared" si="32"/>
        <v>0</v>
      </c>
      <c r="DO80" s="8">
        <f t="shared" si="32"/>
        <v>0</v>
      </c>
      <c r="DP80" s="8">
        <f t="shared" si="32"/>
        <v>0</v>
      </c>
      <c r="DQ80" s="8">
        <f t="shared" si="32"/>
        <v>0</v>
      </c>
      <c r="DR80" s="8">
        <f t="shared" si="32"/>
        <v>0</v>
      </c>
      <c r="DS80" s="8">
        <f t="shared" si="32"/>
        <v>0</v>
      </c>
      <c r="DT80" s="8">
        <f t="shared" si="32"/>
        <v>0</v>
      </c>
      <c r="DU80" s="8">
        <f t="shared" si="32"/>
        <v>0</v>
      </c>
      <c r="DV80" s="8">
        <f t="shared" si="32"/>
        <v>0</v>
      </c>
      <c r="DW80" s="8">
        <f t="shared" si="32"/>
        <v>0</v>
      </c>
      <c r="DX80" s="8">
        <f t="shared" si="32"/>
        <v>0</v>
      </c>
      <c r="DY80" s="8">
        <f t="shared" si="32"/>
        <v>0</v>
      </c>
    </row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</sheetData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T374"/>
  <sheetViews>
    <sheetView topLeftCell="A38" zoomScale="70" zoomScaleNormal="70" workbookViewId="0">
      <selection activeCell="J51" sqref="J51"/>
    </sheetView>
  </sheetViews>
  <sheetFormatPr defaultColWidth="14.44140625" defaultRowHeight="15" customHeight="1" outlineLevelCol="1" x14ac:dyDescent="0.3"/>
  <cols>
    <col min="1" max="1" width="3.44140625" customWidth="1"/>
    <col min="2" max="2" width="3.6640625" customWidth="1"/>
    <col min="3" max="3" width="51" customWidth="1"/>
    <col min="4" max="4" width="15" customWidth="1"/>
    <col min="5" max="5" width="11.33203125" customWidth="1"/>
    <col min="6" max="6" width="10.6640625" customWidth="1"/>
    <col min="7" max="7" width="8.88671875" customWidth="1"/>
    <col min="8" max="8" width="6.33203125" customWidth="1"/>
    <col min="9" max="9" width="14.33203125" customWidth="1"/>
    <col min="10" max="33" width="14.44140625" outlineLevel="1"/>
    <col min="34" max="35" width="11.6640625" customWidth="1"/>
    <col min="36" max="36" width="10.5546875" customWidth="1"/>
    <col min="37" max="37" width="11.5546875" customWidth="1"/>
    <col min="38" max="38" width="12.44140625" customWidth="1"/>
    <col min="39" max="43" width="10.5546875" customWidth="1"/>
    <col min="44" max="46" width="12" customWidth="1"/>
  </cols>
  <sheetData>
    <row r="1" spans="1:46" ht="13.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181">
        <f>'Operating Model'!AI2</f>
        <v>46387</v>
      </c>
      <c r="AJ1" s="181">
        <f>'Operating Model'!AJ2</f>
        <v>46752</v>
      </c>
      <c r="AK1" s="181">
        <f>'Operating Model'!AK2</f>
        <v>47118</v>
      </c>
      <c r="AL1" s="181">
        <f>'Operating Model'!AL2</f>
        <v>47483</v>
      </c>
      <c r="AM1" s="181">
        <f>'Operating Model'!AM2</f>
        <v>47848</v>
      </c>
      <c r="AN1" s="181">
        <f>'Operating Model'!AN2</f>
        <v>48213</v>
      </c>
      <c r="AO1" s="181">
        <f>'Operating Model'!AO2</f>
        <v>48579</v>
      </c>
      <c r="AP1" s="181">
        <f>'Operating Model'!AP2</f>
        <v>48944</v>
      </c>
      <c r="AQ1" s="181">
        <f>'Operating Model'!AQ2</f>
        <v>49309</v>
      </c>
      <c r="AR1" s="181">
        <f>'Operating Model'!AR2</f>
        <v>49674</v>
      </c>
      <c r="AS1" s="181">
        <f>'Operating Model'!AS2</f>
        <v>50040</v>
      </c>
      <c r="AT1" s="181">
        <f>'Operating Model'!AT2</f>
        <v>50405</v>
      </c>
    </row>
    <row r="2" spans="1:46" ht="13.5" customHeight="1" x14ac:dyDescent="0.3">
      <c r="A2" s="2" t="s">
        <v>0</v>
      </c>
      <c r="B2" s="3" t="s">
        <v>472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3.5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</row>
    <row r="4" spans="1:46" ht="13.5" customHeight="1" x14ac:dyDescent="0.3">
      <c r="A4" s="80" t="s">
        <v>0</v>
      </c>
      <c r="B4" s="80" t="s">
        <v>138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</row>
    <row r="5" spans="1:46" ht="13.5" customHeight="1" x14ac:dyDescent="0.3">
      <c r="A5" s="7"/>
      <c r="B5" s="7"/>
      <c r="C5" s="7"/>
      <c r="D5" s="7"/>
      <c r="E5" s="7"/>
      <c r="F5" s="7"/>
      <c r="G5" s="7"/>
      <c r="H5" s="7"/>
      <c r="I5" s="7"/>
      <c r="J5" s="79">
        <f>J13</f>
        <v>46265</v>
      </c>
      <c r="K5" s="79">
        <f t="shared" ref="K5:AG5" si="0">EOMONTH(J5,1)</f>
        <v>46295</v>
      </c>
      <c r="L5" s="79">
        <f t="shared" si="0"/>
        <v>46326</v>
      </c>
      <c r="M5" s="79">
        <f t="shared" si="0"/>
        <v>46356</v>
      </c>
      <c r="N5" s="79">
        <f t="shared" si="0"/>
        <v>46387</v>
      </c>
      <c r="O5" s="79">
        <f t="shared" si="0"/>
        <v>46418</v>
      </c>
      <c r="P5" s="79">
        <f t="shared" si="0"/>
        <v>46446</v>
      </c>
      <c r="Q5" s="79">
        <f t="shared" si="0"/>
        <v>46477</v>
      </c>
      <c r="R5" s="79">
        <f t="shared" si="0"/>
        <v>46507</v>
      </c>
      <c r="S5" s="79">
        <f t="shared" si="0"/>
        <v>46538</v>
      </c>
      <c r="T5" s="79">
        <f t="shared" si="0"/>
        <v>46568</v>
      </c>
      <c r="U5" s="79">
        <f t="shared" si="0"/>
        <v>46599</v>
      </c>
      <c r="V5" s="79">
        <f t="shared" si="0"/>
        <v>46630</v>
      </c>
      <c r="W5" s="79">
        <f t="shared" si="0"/>
        <v>46660</v>
      </c>
      <c r="X5" s="79">
        <f t="shared" si="0"/>
        <v>46691</v>
      </c>
      <c r="Y5" s="79">
        <f t="shared" si="0"/>
        <v>46721</v>
      </c>
      <c r="Z5" s="79">
        <f t="shared" si="0"/>
        <v>46752</v>
      </c>
      <c r="AA5" s="79">
        <f t="shared" si="0"/>
        <v>46783</v>
      </c>
      <c r="AB5" s="79">
        <f t="shared" si="0"/>
        <v>46812</v>
      </c>
      <c r="AC5" s="79">
        <f t="shared" si="0"/>
        <v>46843</v>
      </c>
      <c r="AD5" s="79">
        <f t="shared" si="0"/>
        <v>46873</v>
      </c>
      <c r="AE5" s="79">
        <f t="shared" si="0"/>
        <v>46904</v>
      </c>
      <c r="AF5" s="79">
        <f t="shared" si="0"/>
        <v>46934</v>
      </c>
      <c r="AG5" s="79">
        <f t="shared" si="0"/>
        <v>46965</v>
      </c>
      <c r="AH5" s="7"/>
      <c r="AI5" s="6">
        <f t="shared" ref="AI5:AS5" si="1">AI13</f>
        <v>2026</v>
      </c>
      <c r="AJ5" s="6">
        <f t="shared" si="1"/>
        <v>2027</v>
      </c>
      <c r="AK5" s="6">
        <f t="shared" si="1"/>
        <v>2028</v>
      </c>
      <c r="AL5" s="6">
        <f t="shared" si="1"/>
        <v>2029</v>
      </c>
      <c r="AM5" s="6">
        <f t="shared" si="1"/>
        <v>2030</v>
      </c>
      <c r="AN5" s="6">
        <f t="shared" si="1"/>
        <v>2031</v>
      </c>
      <c r="AO5" s="6">
        <f t="shared" si="1"/>
        <v>2032</v>
      </c>
      <c r="AP5" s="6">
        <f t="shared" si="1"/>
        <v>2033</v>
      </c>
      <c r="AQ5" s="6">
        <f t="shared" si="1"/>
        <v>2034</v>
      </c>
      <c r="AR5" s="6">
        <f t="shared" si="1"/>
        <v>2035</v>
      </c>
      <c r="AS5" s="6">
        <f t="shared" si="1"/>
        <v>2036</v>
      </c>
      <c r="AT5" s="6">
        <f t="shared" ref="AT5" si="2">AT13</f>
        <v>2037</v>
      </c>
    </row>
    <row r="6" spans="1:46" ht="13.5" customHeight="1" x14ac:dyDescent="0.3">
      <c r="A6" s="7"/>
      <c r="B6" s="15" t="s">
        <v>142</v>
      </c>
      <c r="C6" s="7"/>
      <c r="D6" s="7" t="s">
        <v>10</v>
      </c>
      <c r="E6" s="57" t="s">
        <v>140</v>
      </c>
      <c r="F6" s="218" t="s">
        <v>141</v>
      </c>
      <c r="G6" s="7"/>
      <c r="H6" s="7"/>
      <c r="I6" s="7"/>
      <c r="J6" s="30">
        <f>AI6</f>
        <v>0.11</v>
      </c>
      <c r="K6" s="19">
        <v>0</v>
      </c>
      <c r="L6" s="19">
        <f t="shared" ref="L6:N6" si="3">K6</f>
        <v>0</v>
      </c>
      <c r="M6" s="19">
        <f t="shared" si="3"/>
        <v>0</v>
      </c>
      <c r="N6" s="19">
        <f t="shared" si="3"/>
        <v>0</v>
      </c>
      <c r="O6" s="19">
        <f>AJ6</f>
        <v>0.105</v>
      </c>
      <c r="P6" s="19">
        <v>0</v>
      </c>
      <c r="Q6" s="19">
        <f t="shared" ref="Q6:Z6" si="4">P6</f>
        <v>0</v>
      </c>
      <c r="R6" s="19">
        <f t="shared" si="4"/>
        <v>0</v>
      </c>
      <c r="S6" s="19">
        <f t="shared" si="4"/>
        <v>0</v>
      </c>
      <c r="T6" s="19">
        <f t="shared" si="4"/>
        <v>0</v>
      </c>
      <c r="U6" s="19">
        <f t="shared" si="4"/>
        <v>0</v>
      </c>
      <c r="V6" s="19">
        <f t="shared" si="4"/>
        <v>0</v>
      </c>
      <c r="W6" s="19">
        <f t="shared" si="4"/>
        <v>0</v>
      </c>
      <c r="X6" s="19">
        <f t="shared" si="4"/>
        <v>0</v>
      </c>
      <c r="Y6" s="19">
        <f t="shared" si="4"/>
        <v>0</v>
      </c>
      <c r="Z6" s="19">
        <f t="shared" si="4"/>
        <v>0</v>
      </c>
      <c r="AA6" s="19">
        <f>AK6</f>
        <v>0.1</v>
      </c>
      <c r="AB6" s="19">
        <v>0</v>
      </c>
      <c r="AC6" s="19">
        <f t="shared" ref="AC6:AG6" si="5">AB6</f>
        <v>0</v>
      </c>
      <c r="AD6" s="19">
        <f t="shared" si="5"/>
        <v>0</v>
      </c>
      <c r="AE6" s="19">
        <f t="shared" si="5"/>
        <v>0</v>
      </c>
      <c r="AF6" s="19">
        <f t="shared" si="5"/>
        <v>0</v>
      </c>
      <c r="AG6" s="19">
        <f t="shared" si="5"/>
        <v>0</v>
      </c>
      <c r="AH6" s="7"/>
      <c r="AI6" s="30">
        <f>'Operating Model'!AI31</f>
        <v>0.11</v>
      </c>
      <c r="AJ6" s="30">
        <f>'Operating Model'!AJ31</f>
        <v>0.105</v>
      </c>
      <c r="AK6" s="30">
        <f>'Operating Model'!AK31</f>
        <v>0.1</v>
      </c>
      <c r="AL6" s="30">
        <f>'Operating Model'!AL31</f>
        <v>9.5000000000000001E-2</v>
      </c>
      <c r="AM6" s="30">
        <f>'Operating Model'!AM31</f>
        <v>0.09</v>
      </c>
      <c r="AN6" s="30">
        <f>'Operating Model'!AN31</f>
        <v>8.5000000000000006E-2</v>
      </c>
      <c r="AO6" s="30">
        <f>'Operating Model'!AO31</f>
        <v>0.08</v>
      </c>
      <c r="AP6" s="30">
        <f>'Operating Model'!AP31</f>
        <v>7.0000000000000007E-2</v>
      </c>
      <c r="AQ6" s="30">
        <f>'Operating Model'!AQ31</f>
        <v>6.5000000000000002E-2</v>
      </c>
      <c r="AR6" s="30">
        <f>'Operating Model'!AR31</f>
        <v>0.06</v>
      </c>
      <c r="AS6" s="30">
        <f>'Operating Model'!AS31</f>
        <v>0.05</v>
      </c>
      <c r="AT6" s="30">
        <f>'Operating Model'!AT31</f>
        <v>0.05</v>
      </c>
    </row>
    <row r="7" spans="1:46" ht="13.5" customHeight="1" x14ac:dyDescent="0.3">
      <c r="A7" s="7"/>
      <c r="B7" s="15"/>
      <c r="C7" s="7" t="s">
        <v>473</v>
      </c>
      <c r="D7" s="7"/>
      <c r="E7" s="57"/>
      <c r="F7" s="7"/>
      <c r="G7" s="119">
        <f>1/12</f>
        <v>8.3333333333333329E-2</v>
      </c>
      <c r="H7" s="7"/>
      <c r="I7" s="7"/>
      <c r="J7" s="30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7"/>
      <c r="AI7" s="30"/>
      <c r="AJ7" s="30"/>
      <c r="AK7" s="30"/>
      <c r="AL7" s="30"/>
      <c r="AM7" s="30"/>
      <c r="AN7" s="19"/>
      <c r="AO7" s="19"/>
      <c r="AP7" s="19"/>
      <c r="AQ7" s="19"/>
      <c r="AR7" s="19"/>
      <c r="AS7" s="19"/>
      <c r="AT7" s="19"/>
    </row>
    <row r="8" spans="1:46" ht="13.5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</row>
    <row r="9" spans="1:46" ht="13.5" customHeight="1" x14ac:dyDescent="0.3">
      <c r="A9" s="80" t="s">
        <v>0</v>
      </c>
      <c r="B9" s="80" t="s">
        <v>474</v>
      </c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</row>
    <row r="10" spans="1:46" ht="13.5" customHeight="1" x14ac:dyDescent="0.3">
      <c r="A10" s="7"/>
      <c r="B10" s="7"/>
      <c r="C10" s="7"/>
      <c r="D10" s="7"/>
      <c r="E10" s="7"/>
      <c r="F10" s="7"/>
      <c r="G10" s="7"/>
      <c r="H10" s="7"/>
      <c r="I10" s="7"/>
      <c r="J10" s="15">
        <v>1</v>
      </c>
      <c r="K10" s="15">
        <f t="shared" ref="K10:AG10" si="6">J10+1</f>
        <v>2</v>
      </c>
      <c r="L10" s="15">
        <f t="shared" si="6"/>
        <v>3</v>
      </c>
      <c r="M10" s="15">
        <f t="shared" si="6"/>
        <v>4</v>
      </c>
      <c r="N10" s="15">
        <f t="shared" si="6"/>
        <v>5</v>
      </c>
      <c r="O10" s="15">
        <f t="shared" si="6"/>
        <v>6</v>
      </c>
      <c r="P10" s="15">
        <f t="shared" si="6"/>
        <v>7</v>
      </c>
      <c r="Q10" s="15">
        <f t="shared" si="6"/>
        <v>8</v>
      </c>
      <c r="R10" s="15">
        <f t="shared" si="6"/>
        <v>9</v>
      </c>
      <c r="S10" s="15">
        <f t="shared" si="6"/>
        <v>10</v>
      </c>
      <c r="T10" s="15">
        <f t="shared" si="6"/>
        <v>11</v>
      </c>
      <c r="U10" s="15">
        <f t="shared" si="6"/>
        <v>12</v>
      </c>
      <c r="V10" s="15">
        <f t="shared" si="6"/>
        <v>13</v>
      </c>
      <c r="W10" s="15">
        <f t="shared" si="6"/>
        <v>14</v>
      </c>
      <c r="X10" s="15">
        <f t="shared" si="6"/>
        <v>15</v>
      </c>
      <c r="Y10" s="15">
        <f t="shared" si="6"/>
        <v>16</v>
      </c>
      <c r="Z10" s="15">
        <f t="shared" si="6"/>
        <v>17</v>
      </c>
      <c r="AA10" s="15">
        <f t="shared" si="6"/>
        <v>18</v>
      </c>
      <c r="AB10" s="15">
        <f t="shared" si="6"/>
        <v>19</v>
      </c>
      <c r="AC10" s="15">
        <f t="shared" si="6"/>
        <v>20</v>
      </c>
      <c r="AD10" s="15">
        <f t="shared" si="6"/>
        <v>21</v>
      </c>
      <c r="AE10" s="15">
        <f t="shared" si="6"/>
        <v>22</v>
      </c>
      <c r="AF10" s="15">
        <f t="shared" si="6"/>
        <v>23</v>
      </c>
      <c r="AG10" s="15">
        <f t="shared" si="6"/>
        <v>24</v>
      </c>
      <c r="AH10" s="7"/>
      <c r="AI10" s="15">
        <v>5</v>
      </c>
      <c r="AJ10" s="15">
        <v>12</v>
      </c>
      <c r="AK10" s="15">
        <v>12</v>
      </c>
      <c r="AL10" s="15">
        <v>12</v>
      </c>
      <c r="AM10" s="15">
        <v>12</v>
      </c>
      <c r="AN10" s="15">
        <v>12</v>
      </c>
      <c r="AO10" s="15">
        <v>12</v>
      </c>
      <c r="AP10" s="15">
        <v>12</v>
      </c>
      <c r="AQ10" s="15">
        <v>12</v>
      </c>
      <c r="AR10" s="15">
        <v>12</v>
      </c>
      <c r="AS10" s="15">
        <v>12</v>
      </c>
      <c r="AT10" s="15">
        <v>12</v>
      </c>
    </row>
    <row r="11" spans="1:46" ht="13.5" customHeight="1" x14ac:dyDescent="0.3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</row>
    <row r="12" spans="1:46" ht="13.5" customHeight="1" x14ac:dyDescent="0.3">
      <c r="A12" s="7"/>
      <c r="B12" s="7"/>
      <c r="C12" s="7"/>
      <c r="D12" s="7"/>
      <c r="E12" s="7"/>
      <c r="F12" s="7"/>
      <c r="G12" s="7"/>
      <c r="H12" s="7"/>
      <c r="I12" s="7"/>
      <c r="J12" s="10">
        <f t="shared" ref="J12:AG12" si="7">YEAR(J14)</f>
        <v>2026</v>
      </c>
      <c r="K12" s="10">
        <f t="shared" si="7"/>
        <v>2026</v>
      </c>
      <c r="L12" s="10">
        <f t="shared" si="7"/>
        <v>2026</v>
      </c>
      <c r="M12" s="10">
        <f t="shared" si="7"/>
        <v>2026</v>
      </c>
      <c r="N12" s="10">
        <f t="shared" si="7"/>
        <v>2026</v>
      </c>
      <c r="O12" s="10">
        <f t="shared" si="7"/>
        <v>2027</v>
      </c>
      <c r="P12" s="10">
        <f t="shared" si="7"/>
        <v>2027</v>
      </c>
      <c r="Q12" s="10">
        <f t="shared" si="7"/>
        <v>2027</v>
      </c>
      <c r="R12" s="10">
        <f t="shared" si="7"/>
        <v>2027</v>
      </c>
      <c r="S12" s="10">
        <f t="shared" si="7"/>
        <v>2027</v>
      </c>
      <c r="T12" s="10">
        <f t="shared" si="7"/>
        <v>2027</v>
      </c>
      <c r="U12" s="10">
        <f t="shared" si="7"/>
        <v>2027</v>
      </c>
      <c r="V12" s="10">
        <f t="shared" si="7"/>
        <v>2027</v>
      </c>
      <c r="W12" s="10">
        <f t="shared" si="7"/>
        <v>2027</v>
      </c>
      <c r="X12" s="10">
        <f t="shared" si="7"/>
        <v>2027</v>
      </c>
      <c r="Y12" s="10">
        <f t="shared" si="7"/>
        <v>2027</v>
      </c>
      <c r="Z12" s="10">
        <f t="shared" si="7"/>
        <v>2027</v>
      </c>
      <c r="AA12" s="10">
        <f t="shared" si="7"/>
        <v>2028</v>
      </c>
      <c r="AB12" s="10">
        <f t="shared" si="7"/>
        <v>2028</v>
      </c>
      <c r="AC12" s="10">
        <f t="shared" si="7"/>
        <v>2028</v>
      </c>
      <c r="AD12" s="10">
        <f t="shared" si="7"/>
        <v>2028</v>
      </c>
      <c r="AE12" s="10">
        <f t="shared" si="7"/>
        <v>2028</v>
      </c>
      <c r="AF12" s="10">
        <f t="shared" si="7"/>
        <v>2028</v>
      </c>
      <c r="AG12" s="10">
        <f t="shared" si="7"/>
        <v>2028</v>
      </c>
      <c r="AH12" s="7"/>
      <c r="AI12" s="10">
        <f t="shared" ref="AI12:AS12" si="8">YEAR(AI14)</f>
        <v>2026</v>
      </c>
      <c r="AJ12" s="10">
        <f t="shared" si="8"/>
        <v>2027</v>
      </c>
      <c r="AK12" s="10">
        <f t="shared" si="8"/>
        <v>2028</v>
      </c>
      <c r="AL12" s="10">
        <f t="shared" si="8"/>
        <v>2029</v>
      </c>
      <c r="AM12" s="10">
        <f t="shared" si="8"/>
        <v>2030</v>
      </c>
      <c r="AN12" s="10">
        <f t="shared" si="8"/>
        <v>2031</v>
      </c>
      <c r="AO12" s="10">
        <f t="shared" si="8"/>
        <v>2032</v>
      </c>
      <c r="AP12" s="10">
        <f t="shared" si="8"/>
        <v>2033</v>
      </c>
      <c r="AQ12" s="10">
        <f t="shared" si="8"/>
        <v>2034</v>
      </c>
      <c r="AR12" s="10">
        <f t="shared" si="8"/>
        <v>2035</v>
      </c>
      <c r="AS12" s="10">
        <f t="shared" si="8"/>
        <v>2036</v>
      </c>
      <c r="AT12" s="10">
        <f t="shared" ref="AT12" si="9">YEAR(AT14)</f>
        <v>2037</v>
      </c>
    </row>
    <row r="13" spans="1:46" ht="13.5" customHeight="1" x14ac:dyDescent="0.3">
      <c r="A13" s="7"/>
      <c r="B13" s="7"/>
      <c r="C13" s="7"/>
      <c r="D13" s="7"/>
      <c r="E13" s="82" t="s">
        <v>146</v>
      </c>
      <c r="F13" s="82"/>
      <c r="G13" s="82" t="s">
        <v>147</v>
      </c>
      <c r="H13" s="7"/>
      <c r="I13" s="7"/>
      <c r="J13" s="79">
        <v>46265</v>
      </c>
      <c r="K13" s="79">
        <f t="shared" ref="K13:AG13" si="10">EDATE(J13,1)</f>
        <v>46295</v>
      </c>
      <c r="L13" s="79">
        <f t="shared" si="10"/>
        <v>46325</v>
      </c>
      <c r="M13" s="79">
        <f t="shared" si="10"/>
        <v>46356</v>
      </c>
      <c r="N13" s="79">
        <f t="shared" si="10"/>
        <v>46386</v>
      </c>
      <c r="O13" s="79">
        <f t="shared" si="10"/>
        <v>46417</v>
      </c>
      <c r="P13" s="79">
        <f t="shared" si="10"/>
        <v>46446</v>
      </c>
      <c r="Q13" s="79">
        <f t="shared" si="10"/>
        <v>46474</v>
      </c>
      <c r="R13" s="79">
        <f t="shared" si="10"/>
        <v>46505</v>
      </c>
      <c r="S13" s="79">
        <f t="shared" si="10"/>
        <v>46535</v>
      </c>
      <c r="T13" s="79">
        <f t="shared" si="10"/>
        <v>46566</v>
      </c>
      <c r="U13" s="79">
        <f t="shared" si="10"/>
        <v>46596</v>
      </c>
      <c r="V13" s="79">
        <f t="shared" si="10"/>
        <v>46627</v>
      </c>
      <c r="W13" s="79">
        <f t="shared" si="10"/>
        <v>46658</v>
      </c>
      <c r="X13" s="79">
        <f t="shared" si="10"/>
        <v>46688</v>
      </c>
      <c r="Y13" s="79">
        <f t="shared" si="10"/>
        <v>46719</v>
      </c>
      <c r="Z13" s="79">
        <f t="shared" si="10"/>
        <v>46749</v>
      </c>
      <c r="AA13" s="79">
        <f t="shared" si="10"/>
        <v>46780</v>
      </c>
      <c r="AB13" s="79">
        <f t="shared" si="10"/>
        <v>46811</v>
      </c>
      <c r="AC13" s="79">
        <f t="shared" si="10"/>
        <v>46840</v>
      </c>
      <c r="AD13" s="79">
        <f t="shared" si="10"/>
        <v>46871</v>
      </c>
      <c r="AE13" s="79">
        <f t="shared" si="10"/>
        <v>46901</v>
      </c>
      <c r="AF13" s="79">
        <f t="shared" si="10"/>
        <v>46932</v>
      </c>
      <c r="AG13" s="79">
        <f t="shared" si="10"/>
        <v>46962</v>
      </c>
      <c r="AH13" s="7"/>
      <c r="AI13" s="6">
        <f t="shared" ref="AI13:AS13" si="11">YEAR(AI1)</f>
        <v>2026</v>
      </c>
      <c r="AJ13" s="6">
        <f t="shared" si="11"/>
        <v>2027</v>
      </c>
      <c r="AK13" s="6">
        <f t="shared" si="11"/>
        <v>2028</v>
      </c>
      <c r="AL13" s="6">
        <f t="shared" si="11"/>
        <v>2029</v>
      </c>
      <c r="AM13" s="6">
        <f t="shared" si="11"/>
        <v>2030</v>
      </c>
      <c r="AN13" s="6">
        <f t="shared" si="11"/>
        <v>2031</v>
      </c>
      <c r="AO13" s="6">
        <f t="shared" si="11"/>
        <v>2032</v>
      </c>
      <c r="AP13" s="6">
        <f t="shared" si="11"/>
        <v>2033</v>
      </c>
      <c r="AQ13" s="6">
        <f t="shared" si="11"/>
        <v>2034</v>
      </c>
      <c r="AR13" s="6">
        <f t="shared" si="11"/>
        <v>2035</v>
      </c>
      <c r="AS13" s="6">
        <f t="shared" si="11"/>
        <v>2036</v>
      </c>
      <c r="AT13" s="6">
        <f t="shared" ref="AT13" si="12">YEAR(AT1)</f>
        <v>2037</v>
      </c>
    </row>
    <row r="14" spans="1:46" ht="13.5" customHeight="1" x14ac:dyDescent="0.3">
      <c r="A14" s="7"/>
      <c r="B14" s="7"/>
      <c r="C14" s="7"/>
      <c r="D14" s="7"/>
      <c r="E14" s="82"/>
      <c r="F14" s="82"/>
      <c r="G14" s="82"/>
      <c r="H14" s="7"/>
      <c r="I14" s="7"/>
      <c r="J14" s="83">
        <v>46265</v>
      </c>
      <c r="K14" s="83">
        <f t="shared" ref="K14:AG14" si="13">EOMONTH(J14,1)</f>
        <v>46295</v>
      </c>
      <c r="L14" s="83">
        <f t="shared" si="13"/>
        <v>46326</v>
      </c>
      <c r="M14" s="83">
        <f t="shared" si="13"/>
        <v>46356</v>
      </c>
      <c r="N14" s="83">
        <f t="shared" si="13"/>
        <v>46387</v>
      </c>
      <c r="O14" s="83">
        <f t="shared" si="13"/>
        <v>46418</v>
      </c>
      <c r="P14" s="83">
        <f t="shared" si="13"/>
        <v>46446</v>
      </c>
      <c r="Q14" s="83">
        <f t="shared" si="13"/>
        <v>46477</v>
      </c>
      <c r="R14" s="83">
        <f t="shared" si="13"/>
        <v>46507</v>
      </c>
      <c r="S14" s="83">
        <f t="shared" si="13"/>
        <v>46538</v>
      </c>
      <c r="T14" s="83">
        <f t="shared" si="13"/>
        <v>46568</v>
      </c>
      <c r="U14" s="83">
        <f t="shared" si="13"/>
        <v>46599</v>
      </c>
      <c r="V14" s="83">
        <f t="shared" si="13"/>
        <v>46630</v>
      </c>
      <c r="W14" s="83">
        <f t="shared" si="13"/>
        <v>46660</v>
      </c>
      <c r="X14" s="83">
        <f t="shared" si="13"/>
        <v>46691</v>
      </c>
      <c r="Y14" s="83">
        <f t="shared" si="13"/>
        <v>46721</v>
      </c>
      <c r="Z14" s="83">
        <f t="shared" si="13"/>
        <v>46752</v>
      </c>
      <c r="AA14" s="83">
        <f t="shared" si="13"/>
        <v>46783</v>
      </c>
      <c r="AB14" s="83">
        <f t="shared" si="13"/>
        <v>46812</v>
      </c>
      <c r="AC14" s="83">
        <f t="shared" si="13"/>
        <v>46843</v>
      </c>
      <c r="AD14" s="83">
        <f t="shared" si="13"/>
        <v>46873</v>
      </c>
      <c r="AE14" s="83">
        <f t="shared" si="13"/>
        <v>46904</v>
      </c>
      <c r="AF14" s="83">
        <f t="shared" si="13"/>
        <v>46934</v>
      </c>
      <c r="AG14" s="83">
        <f t="shared" si="13"/>
        <v>46965</v>
      </c>
      <c r="AH14" s="7"/>
      <c r="AI14" s="83">
        <v>46387</v>
      </c>
      <c r="AJ14" s="83">
        <f t="shared" ref="AJ14:AT14" si="14">EOMONTH(AI14,12)</f>
        <v>46752</v>
      </c>
      <c r="AK14" s="83">
        <f t="shared" si="14"/>
        <v>47118</v>
      </c>
      <c r="AL14" s="83">
        <f t="shared" si="14"/>
        <v>47483</v>
      </c>
      <c r="AM14" s="83">
        <f t="shared" si="14"/>
        <v>47848</v>
      </c>
      <c r="AN14" s="83">
        <f t="shared" si="14"/>
        <v>48213</v>
      </c>
      <c r="AO14" s="83">
        <f t="shared" si="14"/>
        <v>48579</v>
      </c>
      <c r="AP14" s="83">
        <f t="shared" si="14"/>
        <v>48944</v>
      </c>
      <c r="AQ14" s="83">
        <f t="shared" si="14"/>
        <v>49309</v>
      </c>
      <c r="AR14" s="83">
        <f t="shared" si="14"/>
        <v>49674</v>
      </c>
      <c r="AS14" s="83">
        <f t="shared" si="14"/>
        <v>50040</v>
      </c>
      <c r="AT14" s="83">
        <f t="shared" si="14"/>
        <v>50405</v>
      </c>
    </row>
    <row r="15" spans="1:46" ht="13.5" customHeight="1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</row>
    <row r="16" spans="1:46" ht="13.5" customHeight="1" x14ac:dyDescent="0.3">
      <c r="A16" s="7"/>
      <c r="B16" s="7"/>
      <c r="C16" s="219" t="s">
        <v>475</v>
      </c>
      <c r="D16" s="220" t="s">
        <v>87</v>
      </c>
      <c r="E16" s="7"/>
      <c r="F16" s="7"/>
      <c r="G16" s="7"/>
      <c r="H16" s="7"/>
      <c r="I16" s="7"/>
      <c r="J16" s="221">
        <v>3932</v>
      </c>
      <c r="K16" s="221">
        <v>3932</v>
      </c>
      <c r="L16" s="221">
        <v>3932</v>
      </c>
      <c r="M16" s="221">
        <v>3932</v>
      </c>
      <c r="N16" s="221">
        <v>3932</v>
      </c>
      <c r="O16" s="221">
        <f t="shared" ref="O16:O17" si="15">N16*(1+O$6)</f>
        <v>4344.8599999999997</v>
      </c>
      <c r="P16" s="55">
        <f t="shared" ref="P16:Z16" si="16">O16</f>
        <v>4344.8599999999997</v>
      </c>
      <c r="Q16" s="55">
        <f t="shared" si="16"/>
        <v>4344.8599999999997</v>
      </c>
      <c r="R16" s="55">
        <f t="shared" si="16"/>
        <v>4344.8599999999997</v>
      </c>
      <c r="S16" s="55">
        <f t="shared" si="16"/>
        <v>4344.8599999999997</v>
      </c>
      <c r="T16" s="55">
        <f t="shared" si="16"/>
        <v>4344.8599999999997</v>
      </c>
      <c r="U16" s="55">
        <f t="shared" si="16"/>
        <v>4344.8599999999997</v>
      </c>
      <c r="V16" s="55">
        <f t="shared" si="16"/>
        <v>4344.8599999999997</v>
      </c>
      <c r="W16" s="55">
        <f t="shared" si="16"/>
        <v>4344.8599999999997</v>
      </c>
      <c r="X16" s="55">
        <f t="shared" si="16"/>
        <v>4344.8599999999997</v>
      </c>
      <c r="Y16" s="55">
        <f t="shared" si="16"/>
        <v>4344.8599999999997</v>
      </c>
      <c r="Z16" s="55">
        <f t="shared" si="16"/>
        <v>4344.8599999999997</v>
      </c>
      <c r="AA16" s="221">
        <f>Z16*(1+AA6)</f>
        <v>4779.3460000000005</v>
      </c>
      <c r="AB16" s="55">
        <f t="shared" ref="AB16:AG16" si="17">AA16</f>
        <v>4779.3460000000005</v>
      </c>
      <c r="AC16" s="55">
        <f t="shared" si="17"/>
        <v>4779.3460000000005</v>
      </c>
      <c r="AD16" s="55">
        <f t="shared" si="17"/>
        <v>4779.3460000000005</v>
      </c>
      <c r="AE16" s="55">
        <f t="shared" si="17"/>
        <v>4779.3460000000005</v>
      </c>
      <c r="AF16" s="55">
        <f t="shared" si="17"/>
        <v>4779.3460000000005</v>
      </c>
      <c r="AG16" s="55">
        <f t="shared" si="17"/>
        <v>4779.3460000000005</v>
      </c>
      <c r="AH16" s="7"/>
      <c r="AI16" s="221">
        <v>3932</v>
      </c>
      <c r="AJ16" s="221">
        <f t="shared" ref="AJ16:AT16" si="18">AI16*(1+AJ6)</f>
        <v>4344.8599999999997</v>
      </c>
      <c r="AK16" s="221">
        <f t="shared" si="18"/>
        <v>4779.3460000000005</v>
      </c>
      <c r="AL16" s="221">
        <f t="shared" si="18"/>
        <v>5233.3838700000006</v>
      </c>
      <c r="AM16" s="221">
        <f t="shared" si="18"/>
        <v>5704.3884183000009</v>
      </c>
      <c r="AN16" s="221">
        <f t="shared" si="18"/>
        <v>6189.2614338555004</v>
      </c>
      <c r="AO16" s="221">
        <f t="shared" si="18"/>
        <v>6684.4023485639409</v>
      </c>
      <c r="AP16" s="221">
        <f t="shared" si="18"/>
        <v>7152.3105129634168</v>
      </c>
      <c r="AQ16" s="221">
        <f t="shared" si="18"/>
        <v>7617.2106963060387</v>
      </c>
      <c r="AR16" s="221">
        <f t="shared" si="18"/>
        <v>8074.2433380844013</v>
      </c>
      <c r="AS16" s="221">
        <f t="shared" si="18"/>
        <v>8477.9555049886221</v>
      </c>
      <c r="AT16" s="221">
        <f t="shared" si="18"/>
        <v>8901.8532802380541</v>
      </c>
    </row>
    <row r="17" spans="1:46" ht="13.5" customHeight="1" x14ac:dyDescent="0.3">
      <c r="A17" s="7"/>
      <c r="B17" s="7"/>
      <c r="C17" s="219" t="s">
        <v>476</v>
      </c>
      <c r="D17" s="89" t="s">
        <v>477</v>
      </c>
      <c r="E17" s="89"/>
      <c r="F17" s="7"/>
      <c r="G17" s="222"/>
      <c r="H17" s="7"/>
      <c r="I17" s="7"/>
      <c r="J17" s="223">
        <v>93</v>
      </c>
      <c r="K17" s="223">
        <f t="shared" ref="K17:N17" si="19">J17</f>
        <v>93</v>
      </c>
      <c r="L17" s="223">
        <f t="shared" si="19"/>
        <v>93</v>
      </c>
      <c r="M17" s="223">
        <f t="shared" si="19"/>
        <v>93</v>
      </c>
      <c r="N17" s="223">
        <f t="shared" si="19"/>
        <v>93</v>
      </c>
      <c r="O17" s="221">
        <f t="shared" si="15"/>
        <v>102.765</v>
      </c>
      <c r="P17" s="223">
        <f t="shared" ref="P17:Z17" si="20">O17</f>
        <v>102.765</v>
      </c>
      <c r="Q17" s="223">
        <f t="shared" si="20"/>
        <v>102.765</v>
      </c>
      <c r="R17" s="223">
        <f t="shared" si="20"/>
        <v>102.765</v>
      </c>
      <c r="S17" s="223">
        <f t="shared" si="20"/>
        <v>102.765</v>
      </c>
      <c r="T17" s="223">
        <f t="shared" si="20"/>
        <v>102.765</v>
      </c>
      <c r="U17" s="223">
        <f t="shared" si="20"/>
        <v>102.765</v>
      </c>
      <c r="V17" s="223">
        <f t="shared" si="20"/>
        <v>102.765</v>
      </c>
      <c r="W17" s="223">
        <f t="shared" si="20"/>
        <v>102.765</v>
      </c>
      <c r="X17" s="223">
        <f t="shared" si="20"/>
        <v>102.765</v>
      </c>
      <c r="Y17" s="223">
        <f t="shared" si="20"/>
        <v>102.765</v>
      </c>
      <c r="Z17" s="223">
        <f t="shared" si="20"/>
        <v>102.765</v>
      </c>
      <c r="AA17" s="221">
        <f>Z17*(1+AA$6)</f>
        <v>113.04150000000001</v>
      </c>
      <c r="AB17" s="223">
        <f t="shared" ref="AB17:AG17" si="21">AA17</f>
        <v>113.04150000000001</v>
      </c>
      <c r="AC17" s="223">
        <f t="shared" si="21"/>
        <v>113.04150000000001</v>
      </c>
      <c r="AD17" s="223">
        <f t="shared" si="21"/>
        <v>113.04150000000001</v>
      </c>
      <c r="AE17" s="223">
        <f t="shared" si="21"/>
        <v>113.04150000000001</v>
      </c>
      <c r="AF17" s="223">
        <f t="shared" si="21"/>
        <v>113.04150000000001</v>
      </c>
      <c r="AG17" s="223">
        <f t="shared" si="21"/>
        <v>113.04150000000001</v>
      </c>
      <c r="AH17" s="7"/>
      <c r="AI17" s="223">
        <v>85</v>
      </c>
      <c r="AJ17" s="221">
        <f t="shared" ref="AJ17:AT17" si="22">AI17*(1+AJ$6)</f>
        <v>93.924999999999997</v>
      </c>
      <c r="AK17" s="221">
        <f t="shared" si="22"/>
        <v>103.31750000000001</v>
      </c>
      <c r="AL17" s="221">
        <f t="shared" si="22"/>
        <v>113.13266250000001</v>
      </c>
      <c r="AM17" s="221">
        <f t="shared" si="22"/>
        <v>123.31460212500002</v>
      </c>
      <c r="AN17" s="221">
        <f t="shared" si="22"/>
        <v>133.79634330562502</v>
      </c>
      <c r="AO17" s="221">
        <f t="shared" si="22"/>
        <v>144.50005077007503</v>
      </c>
      <c r="AP17" s="221">
        <f t="shared" si="22"/>
        <v>154.6150543239803</v>
      </c>
      <c r="AQ17" s="221">
        <f t="shared" si="22"/>
        <v>164.66503285503902</v>
      </c>
      <c r="AR17" s="221">
        <f t="shared" si="22"/>
        <v>174.54493482634138</v>
      </c>
      <c r="AS17" s="221">
        <f t="shared" si="22"/>
        <v>183.27218156765846</v>
      </c>
      <c r="AT17" s="221">
        <f t="shared" si="22"/>
        <v>192.4357906460414</v>
      </c>
    </row>
    <row r="18" spans="1:46" ht="13.5" customHeight="1" x14ac:dyDescent="0.3">
      <c r="A18" s="7"/>
      <c r="B18" s="7"/>
      <c r="C18" s="219" t="s">
        <v>478</v>
      </c>
      <c r="D18" s="89" t="s">
        <v>477</v>
      </c>
      <c r="E18" s="224" t="s">
        <v>479</v>
      </c>
      <c r="F18" s="225">
        <v>7</v>
      </c>
      <c r="G18" s="7"/>
      <c r="H18" s="7"/>
      <c r="I18" s="7"/>
      <c r="J18" s="223">
        <f t="shared" ref="J18:AG18" si="23">$F18*J$17</f>
        <v>651</v>
      </c>
      <c r="K18" s="223">
        <f t="shared" si="23"/>
        <v>651</v>
      </c>
      <c r="L18" s="223">
        <f t="shared" si="23"/>
        <v>651</v>
      </c>
      <c r="M18" s="223">
        <f t="shared" si="23"/>
        <v>651</v>
      </c>
      <c r="N18" s="223">
        <f t="shared" si="23"/>
        <v>651</v>
      </c>
      <c r="O18" s="223">
        <f t="shared" si="23"/>
        <v>719.35500000000002</v>
      </c>
      <c r="P18" s="223">
        <f t="shared" si="23"/>
        <v>719.35500000000002</v>
      </c>
      <c r="Q18" s="223">
        <f t="shared" si="23"/>
        <v>719.35500000000002</v>
      </c>
      <c r="R18" s="223">
        <f t="shared" si="23"/>
        <v>719.35500000000002</v>
      </c>
      <c r="S18" s="223">
        <f t="shared" si="23"/>
        <v>719.35500000000002</v>
      </c>
      <c r="T18" s="223">
        <f t="shared" si="23"/>
        <v>719.35500000000002</v>
      </c>
      <c r="U18" s="223">
        <f t="shared" si="23"/>
        <v>719.35500000000002</v>
      </c>
      <c r="V18" s="223">
        <f t="shared" si="23"/>
        <v>719.35500000000002</v>
      </c>
      <c r="W18" s="223">
        <f t="shared" si="23"/>
        <v>719.35500000000002</v>
      </c>
      <c r="X18" s="223">
        <f t="shared" si="23"/>
        <v>719.35500000000002</v>
      </c>
      <c r="Y18" s="223">
        <f t="shared" si="23"/>
        <v>719.35500000000002</v>
      </c>
      <c r="Z18" s="223">
        <f t="shared" si="23"/>
        <v>719.35500000000002</v>
      </c>
      <c r="AA18" s="223">
        <f t="shared" si="23"/>
        <v>791.29050000000007</v>
      </c>
      <c r="AB18" s="223">
        <f t="shared" si="23"/>
        <v>791.29050000000007</v>
      </c>
      <c r="AC18" s="223">
        <f t="shared" si="23"/>
        <v>791.29050000000007</v>
      </c>
      <c r="AD18" s="223">
        <f t="shared" si="23"/>
        <v>791.29050000000007</v>
      </c>
      <c r="AE18" s="223">
        <f t="shared" si="23"/>
        <v>791.29050000000007</v>
      </c>
      <c r="AF18" s="223">
        <f t="shared" si="23"/>
        <v>791.29050000000007</v>
      </c>
      <c r="AG18" s="223">
        <f t="shared" si="23"/>
        <v>791.29050000000007</v>
      </c>
      <c r="AH18" s="7"/>
      <c r="AI18" s="223">
        <f t="shared" ref="AI18:AT18" si="24">$F18*AI$17</f>
        <v>595</v>
      </c>
      <c r="AJ18" s="223">
        <f t="shared" si="24"/>
        <v>657.47500000000002</v>
      </c>
      <c r="AK18" s="223">
        <f t="shared" si="24"/>
        <v>723.22250000000008</v>
      </c>
      <c r="AL18" s="223">
        <f t="shared" si="24"/>
        <v>791.92863750000004</v>
      </c>
      <c r="AM18" s="223">
        <f t="shared" si="24"/>
        <v>863.20221487500021</v>
      </c>
      <c r="AN18" s="223">
        <f t="shared" si="24"/>
        <v>936.57440313937514</v>
      </c>
      <c r="AO18" s="223">
        <f t="shared" si="24"/>
        <v>1011.5003553905252</v>
      </c>
      <c r="AP18" s="223">
        <f t="shared" si="24"/>
        <v>1082.3053802678621</v>
      </c>
      <c r="AQ18" s="223">
        <f t="shared" si="24"/>
        <v>1152.6552299852731</v>
      </c>
      <c r="AR18" s="223">
        <f t="shared" si="24"/>
        <v>1221.8145437843896</v>
      </c>
      <c r="AS18" s="223">
        <f t="shared" si="24"/>
        <v>1282.9052709736093</v>
      </c>
      <c r="AT18" s="223">
        <f t="shared" si="24"/>
        <v>1347.0505345222898</v>
      </c>
    </row>
    <row r="19" spans="1:46" ht="13.5" customHeight="1" x14ac:dyDescent="0.3">
      <c r="A19" s="7"/>
      <c r="B19" s="7"/>
      <c r="C19" s="219" t="s">
        <v>480</v>
      </c>
      <c r="D19" s="89" t="s">
        <v>477</v>
      </c>
      <c r="E19" s="224" t="s">
        <v>479</v>
      </c>
      <c r="F19" s="225">
        <v>10</v>
      </c>
      <c r="G19" s="7"/>
      <c r="H19" s="7"/>
      <c r="I19" s="7"/>
      <c r="J19" s="223">
        <f t="shared" ref="J19:AG19" si="25">$F19*J$17</f>
        <v>930</v>
      </c>
      <c r="K19" s="223">
        <f t="shared" si="25"/>
        <v>930</v>
      </c>
      <c r="L19" s="223">
        <f t="shared" si="25"/>
        <v>930</v>
      </c>
      <c r="M19" s="223">
        <f t="shared" si="25"/>
        <v>930</v>
      </c>
      <c r="N19" s="223">
        <f t="shared" si="25"/>
        <v>930</v>
      </c>
      <c r="O19" s="223">
        <f t="shared" si="25"/>
        <v>1027.6500000000001</v>
      </c>
      <c r="P19" s="223">
        <f t="shared" si="25"/>
        <v>1027.6500000000001</v>
      </c>
      <c r="Q19" s="223">
        <f t="shared" si="25"/>
        <v>1027.6500000000001</v>
      </c>
      <c r="R19" s="223">
        <f t="shared" si="25"/>
        <v>1027.6500000000001</v>
      </c>
      <c r="S19" s="223">
        <f t="shared" si="25"/>
        <v>1027.6500000000001</v>
      </c>
      <c r="T19" s="223">
        <f t="shared" si="25"/>
        <v>1027.6500000000001</v>
      </c>
      <c r="U19" s="223">
        <f t="shared" si="25"/>
        <v>1027.6500000000001</v>
      </c>
      <c r="V19" s="223">
        <f t="shared" si="25"/>
        <v>1027.6500000000001</v>
      </c>
      <c r="W19" s="223">
        <f t="shared" si="25"/>
        <v>1027.6500000000001</v>
      </c>
      <c r="X19" s="223">
        <f t="shared" si="25"/>
        <v>1027.6500000000001</v>
      </c>
      <c r="Y19" s="223">
        <f t="shared" si="25"/>
        <v>1027.6500000000001</v>
      </c>
      <c r="Z19" s="223">
        <f t="shared" si="25"/>
        <v>1027.6500000000001</v>
      </c>
      <c r="AA19" s="223">
        <f t="shared" si="25"/>
        <v>1130.4150000000002</v>
      </c>
      <c r="AB19" s="223">
        <f t="shared" si="25"/>
        <v>1130.4150000000002</v>
      </c>
      <c r="AC19" s="223">
        <f t="shared" si="25"/>
        <v>1130.4150000000002</v>
      </c>
      <c r="AD19" s="223">
        <f t="shared" si="25"/>
        <v>1130.4150000000002</v>
      </c>
      <c r="AE19" s="223">
        <f t="shared" si="25"/>
        <v>1130.4150000000002</v>
      </c>
      <c r="AF19" s="223">
        <f t="shared" si="25"/>
        <v>1130.4150000000002</v>
      </c>
      <c r="AG19" s="223">
        <f t="shared" si="25"/>
        <v>1130.4150000000002</v>
      </c>
      <c r="AH19" s="7"/>
      <c r="AI19" s="223">
        <f t="shared" ref="AI19:AT19" si="26">$F19*AI$17</f>
        <v>850</v>
      </c>
      <c r="AJ19" s="223">
        <f t="shared" si="26"/>
        <v>939.25</v>
      </c>
      <c r="AK19" s="223">
        <f t="shared" si="26"/>
        <v>1033.1750000000002</v>
      </c>
      <c r="AL19" s="223">
        <f t="shared" si="26"/>
        <v>1131.3266250000001</v>
      </c>
      <c r="AM19" s="223">
        <f t="shared" si="26"/>
        <v>1233.1460212500001</v>
      </c>
      <c r="AN19" s="223">
        <f t="shared" si="26"/>
        <v>1337.9634330562501</v>
      </c>
      <c r="AO19" s="223">
        <f t="shared" si="26"/>
        <v>1445.0005077007504</v>
      </c>
      <c r="AP19" s="223">
        <f t="shared" si="26"/>
        <v>1546.150543239803</v>
      </c>
      <c r="AQ19" s="223">
        <f t="shared" si="26"/>
        <v>1646.6503285503902</v>
      </c>
      <c r="AR19" s="223">
        <f t="shared" si="26"/>
        <v>1745.4493482634139</v>
      </c>
      <c r="AS19" s="223">
        <f t="shared" si="26"/>
        <v>1832.7218156765846</v>
      </c>
      <c r="AT19" s="223">
        <f t="shared" si="26"/>
        <v>1924.3579064604139</v>
      </c>
    </row>
    <row r="20" spans="1:46" ht="13.5" customHeight="1" x14ac:dyDescent="0.3">
      <c r="A20" s="7"/>
      <c r="B20" s="7"/>
      <c r="C20" s="219" t="s">
        <v>481</v>
      </c>
      <c r="D20" s="89" t="s">
        <v>482</v>
      </c>
      <c r="E20" s="89"/>
      <c r="F20" s="225">
        <v>300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</row>
    <row r="21" spans="1:46" ht="13.5" customHeight="1" x14ac:dyDescent="0.3">
      <c r="A21" s="7"/>
      <c r="B21" s="7"/>
      <c r="C21" s="7"/>
      <c r="D21" s="89"/>
      <c r="E21" s="89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</row>
    <row r="22" spans="1:46" ht="13.5" customHeight="1" x14ac:dyDescent="0.3">
      <c r="A22" s="7"/>
      <c r="B22" s="7"/>
      <c r="C22" s="219" t="s">
        <v>483</v>
      </c>
      <c r="D22" s="89" t="s">
        <v>10</v>
      </c>
      <c r="E22" s="224" t="s">
        <v>479</v>
      </c>
      <c r="F22" s="222">
        <v>3.5000000000000003E-2</v>
      </c>
      <c r="G22" s="7"/>
      <c r="H22" s="7"/>
      <c r="I22" s="7"/>
      <c r="J22" s="226">
        <f t="shared" ref="J22:AG22" si="27">$F22</f>
        <v>3.5000000000000003E-2</v>
      </c>
      <c r="K22" s="226">
        <f t="shared" si="27"/>
        <v>3.5000000000000003E-2</v>
      </c>
      <c r="L22" s="226">
        <f t="shared" si="27"/>
        <v>3.5000000000000003E-2</v>
      </c>
      <c r="M22" s="226">
        <f t="shared" si="27"/>
        <v>3.5000000000000003E-2</v>
      </c>
      <c r="N22" s="226">
        <f t="shared" si="27"/>
        <v>3.5000000000000003E-2</v>
      </c>
      <c r="O22" s="226">
        <f t="shared" si="27"/>
        <v>3.5000000000000003E-2</v>
      </c>
      <c r="P22" s="226">
        <f t="shared" si="27"/>
        <v>3.5000000000000003E-2</v>
      </c>
      <c r="Q22" s="226">
        <f t="shared" si="27"/>
        <v>3.5000000000000003E-2</v>
      </c>
      <c r="R22" s="226">
        <f t="shared" si="27"/>
        <v>3.5000000000000003E-2</v>
      </c>
      <c r="S22" s="226">
        <f t="shared" si="27"/>
        <v>3.5000000000000003E-2</v>
      </c>
      <c r="T22" s="226">
        <f t="shared" si="27"/>
        <v>3.5000000000000003E-2</v>
      </c>
      <c r="U22" s="226">
        <f t="shared" si="27"/>
        <v>3.5000000000000003E-2</v>
      </c>
      <c r="V22" s="226">
        <f t="shared" si="27"/>
        <v>3.5000000000000003E-2</v>
      </c>
      <c r="W22" s="226">
        <f t="shared" si="27"/>
        <v>3.5000000000000003E-2</v>
      </c>
      <c r="X22" s="226">
        <f t="shared" si="27"/>
        <v>3.5000000000000003E-2</v>
      </c>
      <c r="Y22" s="226">
        <f t="shared" si="27"/>
        <v>3.5000000000000003E-2</v>
      </c>
      <c r="Z22" s="226">
        <f t="shared" si="27"/>
        <v>3.5000000000000003E-2</v>
      </c>
      <c r="AA22" s="226">
        <f t="shared" si="27"/>
        <v>3.5000000000000003E-2</v>
      </c>
      <c r="AB22" s="226">
        <f t="shared" si="27"/>
        <v>3.5000000000000003E-2</v>
      </c>
      <c r="AC22" s="226">
        <f t="shared" si="27"/>
        <v>3.5000000000000003E-2</v>
      </c>
      <c r="AD22" s="226">
        <f t="shared" si="27"/>
        <v>3.5000000000000003E-2</v>
      </c>
      <c r="AE22" s="226">
        <f t="shared" si="27"/>
        <v>3.5000000000000003E-2</v>
      </c>
      <c r="AF22" s="226">
        <f t="shared" si="27"/>
        <v>3.5000000000000003E-2</v>
      </c>
      <c r="AG22" s="226">
        <f t="shared" si="27"/>
        <v>3.5000000000000003E-2</v>
      </c>
      <c r="AH22" s="7"/>
      <c r="AI22" s="226">
        <f t="shared" ref="AI22:AT22" si="28">$F22</f>
        <v>3.5000000000000003E-2</v>
      </c>
      <c r="AJ22" s="226">
        <f t="shared" si="28"/>
        <v>3.5000000000000003E-2</v>
      </c>
      <c r="AK22" s="226">
        <f t="shared" si="28"/>
        <v>3.5000000000000003E-2</v>
      </c>
      <c r="AL22" s="226">
        <f t="shared" si="28"/>
        <v>3.5000000000000003E-2</v>
      </c>
      <c r="AM22" s="226">
        <f t="shared" si="28"/>
        <v>3.5000000000000003E-2</v>
      </c>
      <c r="AN22" s="226">
        <f t="shared" si="28"/>
        <v>3.5000000000000003E-2</v>
      </c>
      <c r="AO22" s="226">
        <f t="shared" si="28"/>
        <v>3.5000000000000003E-2</v>
      </c>
      <c r="AP22" s="226">
        <f t="shared" si="28"/>
        <v>3.5000000000000003E-2</v>
      </c>
      <c r="AQ22" s="226">
        <f t="shared" si="28"/>
        <v>3.5000000000000003E-2</v>
      </c>
      <c r="AR22" s="226">
        <f t="shared" si="28"/>
        <v>3.5000000000000003E-2</v>
      </c>
      <c r="AS22" s="226">
        <f t="shared" si="28"/>
        <v>3.5000000000000003E-2</v>
      </c>
      <c r="AT22" s="226">
        <f t="shared" si="28"/>
        <v>3.5000000000000003E-2</v>
      </c>
    </row>
    <row r="23" spans="1:46" ht="13.5" customHeight="1" x14ac:dyDescent="0.3">
      <c r="A23" s="7"/>
      <c r="B23" s="7"/>
      <c r="C23" s="219" t="s">
        <v>484</v>
      </c>
      <c r="D23" s="89" t="s">
        <v>10</v>
      </c>
      <c r="E23" s="224" t="s">
        <v>479</v>
      </c>
      <c r="F23" s="222">
        <v>9.5000000000000001E-2</v>
      </c>
      <c r="G23" s="7"/>
      <c r="H23" s="7"/>
      <c r="I23" s="7"/>
      <c r="J23" s="226">
        <f t="shared" ref="J23:AG23" si="29">$F23</f>
        <v>9.5000000000000001E-2</v>
      </c>
      <c r="K23" s="226">
        <f t="shared" si="29"/>
        <v>9.5000000000000001E-2</v>
      </c>
      <c r="L23" s="226">
        <f t="shared" si="29"/>
        <v>9.5000000000000001E-2</v>
      </c>
      <c r="M23" s="226">
        <f t="shared" si="29"/>
        <v>9.5000000000000001E-2</v>
      </c>
      <c r="N23" s="226">
        <f t="shared" si="29"/>
        <v>9.5000000000000001E-2</v>
      </c>
      <c r="O23" s="226">
        <f t="shared" si="29"/>
        <v>9.5000000000000001E-2</v>
      </c>
      <c r="P23" s="226">
        <f t="shared" si="29"/>
        <v>9.5000000000000001E-2</v>
      </c>
      <c r="Q23" s="226">
        <f t="shared" si="29"/>
        <v>9.5000000000000001E-2</v>
      </c>
      <c r="R23" s="226">
        <f t="shared" si="29"/>
        <v>9.5000000000000001E-2</v>
      </c>
      <c r="S23" s="226">
        <f t="shared" si="29"/>
        <v>9.5000000000000001E-2</v>
      </c>
      <c r="T23" s="226">
        <f t="shared" si="29"/>
        <v>9.5000000000000001E-2</v>
      </c>
      <c r="U23" s="226">
        <f t="shared" si="29"/>
        <v>9.5000000000000001E-2</v>
      </c>
      <c r="V23" s="226">
        <f t="shared" si="29"/>
        <v>9.5000000000000001E-2</v>
      </c>
      <c r="W23" s="226">
        <f t="shared" si="29"/>
        <v>9.5000000000000001E-2</v>
      </c>
      <c r="X23" s="226">
        <f t="shared" si="29"/>
        <v>9.5000000000000001E-2</v>
      </c>
      <c r="Y23" s="226">
        <f t="shared" si="29"/>
        <v>9.5000000000000001E-2</v>
      </c>
      <c r="Z23" s="226">
        <f t="shared" si="29"/>
        <v>9.5000000000000001E-2</v>
      </c>
      <c r="AA23" s="226">
        <f t="shared" si="29"/>
        <v>9.5000000000000001E-2</v>
      </c>
      <c r="AB23" s="226">
        <f t="shared" si="29"/>
        <v>9.5000000000000001E-2</v>
      </c>
      <c r="AC23" s="226">
        <f t="shared" si="29"/>
        <v>9.5000000000000001E-2</v>
      </c>
      <c r="AD23" s="226">
        <f t="shared" si="29"/>
        <v>9.5000000000000001E-2</v>
      </c>
      <c r="AE23" s="226">
        <f t="shared" si="29"/>
        <v>9.5000000000000001E-2</v>
      </c>
      <c r="AF23" s="226">
        <f t="shared" si="29"/>
        <v>9.5000000000000001E-2</v>
      </c>
      <c r="AG23" s="226">
        <f t="shared" si="29"/>
        <v>9.5000000000000001E-2</v>
      </c>
      <c r="AH23" s="7"/>
      <c r="AI23" s="226">
        <f t="shared" ref="AI23:AT23" si="30">$F23</f>
        <v>9.5000000000000001E-2</v>
      </c>
      <c r="AJ23" s="226">
        <f t="shared" si="30"/>
        <v>9.5000000000000001E-2</v>
      </c>
      <c r="AK23" s="226">
        <f t="shared" si="30"/>
        <v>9.5000000000000001E-2</v>
      </c>
      <c r="AL23" s="226">
        <f t="shared" si="30"/>
        <v>9.5000000000000001E-2</v>
      </c>
      <c r="AM23" s="226">
        <f t="shared" si="30"/>
        <v>9.5000000000000001E-2</v>
      </c>
      <c r="AN23" s="226">
        <f t="shared" si="30"/>
        <v>9.5000000000000001E-2</v>
      </c>
      <c r="AO23" s="226">
        <f t="shared" si="30"/>
        <v>9.5000000000000001E-2</v>
      </c>
      <c r="AP23" s="226">
        <f t="shared" si="30"/>
        <v>9.5000000000000001E-2</v>
      </c>
      <c r="AQ23" s="226">
        <f t="shared" si="30"/>
        <v>9.5000000000000001E-2</v>
      </c>
      <c r="AR23" s="226">
        <f t="shared" si="30"/>
        <v>9.5000000000000001E-2</v>
      </c>
      <c r="AS23" s="226">
        <f t="shared" si="30"/>
        <v>9.5000000000000001E-2</v>
      </c>
      <c r="AT23" s="226">
        <f t="shared" si="30"/>
        <v>9.5000000000000001E-2</v>
      </c>
    </row>
    <row r="24" spans="1:46" ht="13.5" customHeight="1" x14ac:dyDescent="0.3">
      <c r="A24" s="7"/>
      <c r="B24" s="7"/>
      <c r="C24" s="219" t="s">
        <v>485</v>
      </c>
      <c r="D24" s="89" t="s">
        <v>10</v>
      </c>
      <c r="E24" s="224" t="s">
        <v>479</v>
      </c>
      <c r="F24" s="222">
        <v>0.03</v>
      </c>
      <c r="G24" s="7"/>
      <c r="H24" s="7"/>
      <c r="I24" s="7"/>
      <c r="J24" s="226">
        <f t="shared" ref="J24:AG24" si="31">$F24</f>
        <v>0.03</v>
      </c>
      <c r="K24" s="226">
        <f t="shared" si="31"/>
        <v>0.03</v>
      </c>
      <c r="L24" s="226">
        <f t="shared" si="31"/>
        <v>0.03</v>
      </c>
      <c r="M24" s="226">
        <f t="shared" si="31"/>
        <v>0.03</v>
      </c>
      <c r="N24" s="226">
        <f t="shared" si="31"/>
        <v>0.03</v>
      </c>
      <c r="O24" s="226">
        <f t="shared" si="31"/>
        <v>0.03</v>
      </c>
      <c r="P24" s="226">
        <f t="shared" si="31"/>
        <v>0.03</v>
      </c>
      <c r="Q24" s="226">
        <f t="shared" si="31"/>
        <v>0.03</v>
      </c>
      <c r="R24" s="226">
        <f t="shared" si="31"/>
        <v>0.03</v>
      </c>
      <c r="S24" s="226">
        <f t="shared" si="31"/>
        <v>0.03</v>
      </c>
      <c r="T24" s="226">
        <f t="shared" si="31"/>
        <v>0.03</v>
      </c>
      <c r="U24" s="226">
        <f t="shared" si="31"/>
        <v>0.03</v>
      </c>
      <c r="V24" s="226">
        <f t="shared" si="31"/>
        <v>0.03</v>
      </c>
      <c r="W24" s="226">
        <f t="shared" si="31"/>
        <v>0.03</v>
      </c>
      <c r="X24" s="226">
        <f t="shared" si="31"/>
        <v>0.03</v>
      </c>
      <c r="Y24" s="226">
        <f t="shared" si="31"/>
        <v>0.03</v>
      </c>
      <c r="Z24" s="226">
        <f t="shared" si="31"/>
        <v>0.03</v>
      </c>
      <c r="AA24" s="226">
        <f t="shared" si="31"/>
        <v>0.03</v>
      </c>
      <c r="AB24" s="226">
        <f t="shared" si="31"/>
        <v>0.03</v>
      </c>
      <c r="AC24" s="226">
        <f t="shared" si="31"/>
        <v>0.03</v>
      </c>
      <c r="AD24" s="226">
        <f t="shared" si="31"/>
        <v>0.03</v>
      </c>
      <c r="AE24" s="226">
        <f t="shared" si="31"/>
        <v>0.03</v>
      </c>
      <c r="AF24" s="226">
        <f t="shared" si="31"/>
        <v>0.03</v>
      </c>
      <c r="AG24" s="226">
        <f t="shared" si="31"/>
        <v>0.03</v>
      </c>
      <c r="AH24" s="7"/>
      <c r="AI24" s="226">
        <f t="shared" ref="AI24:AT24" si="32">$F24</f>
        <v>0.03</v>
      </c>
      <c r="AJ24" s="226">
        <f t="shared" si="32"/>
        <v>0.03</v>
      </c>
      <c r="AK24" s="226">
        <f t="shared" si="32"/>
        <v>0.03</v>
      </c>
      <c r="AL24" s="226">
        <f t="shared" si="32"/>
        <v>0.03</v>
      </c>
      <c r="AM24" s="226">
        <f t="shared" si="32"/>
        <v>0.03</v>
      </c>
      <c r="AN24" s="226">
        <f t="shared" si="32"/>
        <v>0.03</v>
      </c>
      <c r="AO24" s="226">
        <f t="shared" si="32"/>
        <v>0.03</v>
      </c>
      <c r="AP24" s="226">
        <f t="shared" si="32"/>
        <v>0.03</v>
      </c>
      <c r="AQ24" s="226">
        <f t="shared" si="32"/>
        <v>0.03</v>
      </c>
      <c r="AR24" s="226">
        <f t="shared" si="32"/>
        <v>0.03</v>
      </c>
      <c r="AS24" s="226">
        <f t="shared" si="32"/>
        <v>0.03</v>
      </c>
      <c r="AT24" s="226">
        <f t="shared" si="32"/>
        <v>0.03</v>
      </c>
    </row>
    <row r="25" spans="1:46" ht="13.5" customHeight="1" x14ac:dyDescent="0.3">
      <c r="A25" s="7"/>
      <c r="B25" s="7"/>
      <c r="C25" s="219" t="s">
        <v>486</v>
      </c>
      <c r="D25" s="89" t="s">
        <v>10</v>
      </c>
      <c r="E25" s="224" t="s">
        <v>479</v>
      </c>
      <c r="F25" s="222">
        <v>0.02</v>
      </c>
      <c r="G25" s="7"/>
      <c r="H25" s="7"/>
      <c r="I25" s="7"/>
      <c r="J25" s="226">
        <f t="shared" ref="J25:AG25" si="33">$F25</f>
        <v>0.02</v>
      </c>
      <c r="K25" s="226">
        <f t="shared" si="33"/>
        <v>0.02</v>
      </c>
      <c r="L25" s="226">
        <f t="shared" si="33"/>
        <v>0.02</v>
      </c>
      <c r="M25" s="226">
        <f t="shared" si="33"/>
        <v>0.02</v>
      </c>
      <c r="N25" s="226">
        <f t="shared" si="33"/>
        <v>0.02</v>
      </c>
      <c r="O25" s="226">
        <f t="shared" si="33"/>
        <v>0.02</v>
      </c>
      <c r="P25" s="226">
        <f t="shared" si="33"/>
        <v>0.02</v>
      </c>
      <c r="Q25" s="226">
        <f t="shared" si="33"/>
        <v>0.02</v>
      </c>
      <c r="R25" s="226">
        <f t="shared" si="33"/>
        <v>0.02</v>
      </c>
      <c r="S25" s="226">
        <f t="shared" si="33"/>
        <v>0.02</v>
      </c>
      <c r="T25" s="226">
        <f t="shared" si="33"/>
        <v>0.02</v>
      </c>
      <c r="U25" s="226">
        <f t="shared" si="33"/>
        <v>0.02</v>
      </c>
      <c r="V25" s="226">
        <f t="shared" si="33"/>
        <v>0.02</v>
      </c>
      <c r="W25" s="226">
        <f t="shared" si="33"/>
        <v>0.02</v>
      </c>
      <c r="X25" s="226">
        <f t="shared" si="33"/>
        <v>0.02</v>
      </c>
      <c r="Y25" s="226">
        <f t="shared" si="33"/>
        <v>0.02</v>
      </c>
      <c r="Z25" s="226">
        <f t="shared" si="33"/>
        <v>0.02</v>
      </c>
      <c r="AA25" s="226">
        <f t="shared" si="33"/>
        <v>0.02</v>
      </c>
      <c r="AB25" s="226">
        <f t="shared" si="33"/>
        <v>0.02</v>
      </c>
      <c r="AC25" s="226">
        <f t="shared" si="33"/>
        <v>0.02</v>
      </c>
      <c r="AD25" s="226">
        <f t="shared" si="33"/>
        <v>0.02</v>
      </c>
      <c r="AE25" s="226">
        <f t="shared" si="33"/>
        <v>0.02</v>
      </c>
      <c r="AF25" s="226">
        <f t="shared" si="33"/>
        <v>0.02</v>
      </c>
      <c r="AG25" s="226">
        <f t="shared" si="33"/>
        <v>0.02</v>
      </c>
      <c r="AH25" s="7"/>
      <c r="AI25" s="226">
        <f t="shared" ref="AI25:AT25" si="34">$F25</f>
        <v>0.02</v>
      </c>
      <c r="AJ25" s="226">
        <f t="shared" si="34"/>
        <v>0.02</v>
      </c>
      <c r="AK25" s="226">
        <f t="shared" si="34"/>
        <v>0.02</v>
      </c>
      <c r="AL25" s="226">
        <f t="shared" si="34"/>
        <v>0.02</v>
      </c>
      <c r="AM25" s="226">
        <f t="shared" si="34"/>
        <v>0.02</v>
      </c>
      <c r="AN25" s="226">
        <f t="shared" si="34"/>
        <v>0.02</v>
      </c>
      <c r="AO25" s="226">
        <f t="shared" si="34"/>
        <v>0.02</v>
      </c>
      <c r="AP25" s="226">
        <f t="shared" si="34"/>
        <v>0.02</v>
      </c>
      <c r="AQ25" s="226">
        <f t="shared" si="34"/>
        <v>0.02</v>
      </c>
      <c r="AR25" s="226">
        <f t="shared" si="34"/>
        <v>0.02</v>
      </c>
      <c r="AS25" s="226">
        <f t="shared" si="34"/>
        <v>0.02</v>
      </c>
      <c r="AT25" s="226">
        <f t="shared" si="34"/>
        <v>0.02</v>
      </c>
    </row>
    <row r="26" spans="1:46" ht="13.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</row>
    <row r="27" spans="1:46" ht="13.5" customHeight="1" x14ac:dyDescent="0.3">
      <c r="A27" s="7"/>
      <c r="B27" s="7"/>
      <c r="C27" s="7" t="s">
        <v>487</v>
      </c>
      <c r="D27" s="7"/>
      <c r="E27" s="224" t="s">
        <v>479</v>
      </c>
      <c r="F27" s="227">
        <v>0.1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</row>
    <row r="28" spans="1:46" ht="13.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</row>
    <row r="29" spans="1:46" ht="13.5" customHeight="1" x14ac:dyDescent="0.3">
      <c r="A29" s="7"/>
      <c r="B29" s="7"/>
      <c r="C29" s="228" t="s">
        <v>488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</row>
    <row r="30" spans="1:46" ht="13.5" customHeight="1" x14ac:dyDescent="0.3">
      <c r="A30" s="7"/>
      <c r="B30" s="7"/>
      <c r="C30" s="219" t="s">
        <v>489</v>
      </c>
      <c r="D30" s="7"/>
      <c r="E30" s="7"/>
      <c r="F30" s="229">
        <v>1.21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</row>
    <row r="31" spans="1:46" ht="13.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</row>
    <row r="32" spans="1:46" ht="13.5" customHeight="1" x14ac:dyDescent="0.3">
      <c r="A32" s="80" t="s">
        <v>0</v>
      </c>
      <c r="B32" s="80" t="s">
        <v>490</v>
      </c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</row>
    <row r="33" spans="1:46" ht="13.5" customHeight="1" x14ac:dyDescent="0.3">
      <c r="A33" s="219"/>
      <c r="B33" s="219"/>
      <c r="C33" s="219"/>
      <c r="D33" s="89"/>
      <c r="E33" s="89"/>
      <c r="F33" s="219"/>
      <c r="G33" s="219"/>
      <c r="H33" s="2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  <c r="AA33" s="219"/>
      <c r="AB33" s="219"/>
      <c r="AC33" s="219"/>
      <c r="AD33" s="219"/>
      <c r="AE33" s="219"/>
      <c r="AF33" s="219"/>
      <c r="AG33" s="219"/>
      <c r="AH33" s="219"/>
      <c r="AI33" s="219"/>
      <c r="AJ33" s="219"/>
      <c r="AK33" s="219"/>
      <c r="AL33" s="219"/>
      <c r="AM33" s="219"/>
      <c r="AN33" s="219"/>
      <c r="AO33" s="219"/>
      <c r="AP33" s="219"/>
      <c r="AQ33" s="219"/>
      <c r="AR33" s="219"/>
      <c r="AS33" s="219"/>
      <c r="AT33" s="219"/>
    </row>
    <row r="34" spans="1:46" ht="13.5" customHeight="1" x14ac:dyDescent="0.3">
      <c r="A34" s="219"/>
      <c r="B34" s="228" t="s">
        <v>491</v>
      </c>
      <c r="C34" s="219"/>
      <c r="D34" s="89"/>
      <c r="E34" s="89"/>
      <c r="F34" s="219"/>
      <c r="G34" s="219"/>
      <c r="H34" s="219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  <c r="AA34" s="219"/>
      <c r="AB34" s="219"/>
      <c r="AC34" s="219"/>
      <c r="AD34" s="219"/>
      <c r="AE34" s="219"/>
      <c r="AF34" s="219"/>
      <c r="AG34" s="219"/>
      <c r="AH34" s="219"/>
      <c r="AI34" s="219"/>
      <c r="AJ34" s="219"/>
      <c r="AK34" s="219"/>
      <c r="AL34" s="219"/>
      <c r="AM34" s="219"/>
      <c r="AN34" s="219"/>
      <c r="AO34" s="219"/>
      <c r="AP34" s="219"/>
      <c r="AQ34" s="219"/>
      <c r="AR34" s="219"/>
      <c r="AS34" s="219"/>
      <c r="AT34" s="219"/>
    </row>
    <row r="35" spans="1:46" ht="13.5" customHeight="1" x14ac:dyDescent="0.3">
      <c r="A35" s="219"/>
      <c r="B35" s="219"/>
      <c r="C35" s="219"/>
      <c r="D35" s="89"/>
      <c r="E35" s="89"/>
      <c r="F35" s="219"/>
      <c r="G35" s="219"/>
      <c r="H35" s="2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  <c r="AA35" s="219"/>
      <c r="AB35" s="219"/>
      <c r="AC35" s="219"/>
      <c r="AD35" s="219"/>
      <c r="AE35" s="219"/>
      <c r="AF35" s="219"/>
      <c r="AG35" s="219"/>
      <c r="AH35" s="7"/>
      <c r="AI35" s="219"/>
      <c r="AJ35" s="219"/>
      <c r="AK35" s="219"/>
      <c r="AL35" s="219"/>
      <c r="AM35" s="219"/>
      <c r="AN35" s="219"/>
      <c r="AO35" s="219"/>
      <c r="AP35" s="219"/>
      <c r="AQ35" s="219"/>
      <c r="AR35" s="219"/>
      <c r="AS35" s="219"/>
      <c r="AT35" s="219"/>
    </row>
    <row r="36" spans="1:46" ht="13.5" customHeight="1" x14ac:dyDescent="0.3">
      <c r="A36" s="230"/>
      <c r="B36" s="230" t="s">
        <v>492</v>
      </c>
      <c r="C36" s="230"/>
      <c r="D36" s="231" t="s">
        <v>4</v>
      </c>
      <c r="E36" s="89"/>
      <c r="F36" s="219"/>
      <c r="G36" s="219"/>
      <c r="H36" s="7"/>
      <c r="I36" s="7"/>
      <c r="J36" s="232">
        <f>SUM(J37:J40)</f>
        <v>1940.33664</v>
      </c>
      <c r="K36" s="232">
        <f t="shared" ref="K36:AG36" si="35">SUM(K37:K40)</f>
        <v>1940.33664</v>
      </c>
      <c r="L36" s="232">
        <f t="shared" si="35"/>
        <v>1940.33664</v>
      </c>
      <c r="M36" s="232">
        <f t="shared" si="35"/>
        <v>1940.33664</v>
      </c>
      <c r="N36" s="232">
        <f t="shared" si="35"/>
        <v>1940.33664</v>
      </c>
      <c r="O36" s="232">
        <f t="shared" si="35"/>
        <v>2144.0719871999995</v>
      </c>
      <c r="P36" s="232">
        <f t="shared" si="35"/>
        <v>2144.0719871999995</v>
      </c>
      <c r="Q36" s="232">
        <f t="shared" si="35"/>
        <v>2144.0719871999995</v>
      </c>
      <c r="R36" s="232">
        <f t="shared" si="35"/>
        <v>2144.0719871999995</v>
      </c>
      <c r="S36" s="232">
        <f t="shared" si="35"/>
        <v>2144.0719871999995</v>
      </c>
      <c r="T36" s="233">
        <f t="shared" si="35"/>
        <v>2144.0719871999995</v>
      </c>
      <c r="U36" s="232">
        <f t="shared" si="35"/>
        <v>2144.0719871999995</v>
      </c>
      <c r="V36" s="232">
        <f t="shared" si="35"/>
        <v>2144.0719871999995</v>
      </c>
      <c r="W36" s="232">
        <f t="shared" si="35"/>
        <v>2144.0719871999995</v>
      </c>
      <c r="X36" s="232">
        <f t="shared" si="35"/>
        <v>2144.0719871999995</v>
      </c>
      <c r="Y36" s="232">
        <f t="shared" si="35"/>
        <v>2144.0719871999995</v>
      </c>
      <c r="Z36" s="232">
        <f t="shared" si="35"/>
        <v>2144.0719871999995</v>
      </c>
      <c r="AA36" s="232">
        <f t="shared" si="35"/>
        <v>2358.47918592</v>
      </c>
      <c r="AB36" s="232">
        <f t="shared" si="35"/>
        <v>2358.47918592</v>
      </c>
      <c r="AC36" s="232">
        <f t="shared" si="35"/>
        <v>2358.47918592</v>
      </c>
      <c r="AD36" s="232">
        <f t="shared" si="35"/>
        <v>2358.47918592</v>
      </c>
      <c r="AE36" s="232">
        <f t="shared" si="35"/>
        <v>2358.47918592</v>
      </c>
      <c r="AF36" s="232">
        <f t="shared" si="35"/>
        <v>2358.47918592</v>
      </c>
      <c r="AG36" s="233">
        <f t="shared" si="35"/>
        <v>2358.47918592</v>
      </c>
      <c r="AH36" s="7"/>
      <c r="AI36" s="232">
        <f t="shared" ref="AI36:AS36" si="36">SUM(AI37:AI40)</f>
        <v>-9701.6832000000013</v>
      </c>
      <c r="AJ36" s="232">
        <f t="shared" si="36"/>
        <v>-25728.863846399989</v>
      </c>
      <c r="AK36" s="232">
        <f t="shared" si="36"/>
        <v>-28301.750231040001</v>
      </c>
      <c r="AL36" s="232">
        <f t="shared" si="36"/>
        <v>-30990.416502988799</v>
      </c>
      <c r="AM36" s="232">
        <f t="shared" si="36"/>
        <v>-33779.553988257794</v>
      </c>
      <c r="AN36" s="232">
        <f t="shared" si="36"/>
        <v>-36650.816077259711</v>
      </c>
      <c r="AO36" s="232">
        <f t="shared" si="36"/>
        <v>-39582.881363440487</v>
      </c>
      <c r="AP36" s="232">
        <f t="shared" si="36"/>
        <v>-42353.683058881317</v>
      </c>
      <c r="AQ36" s="232">
        <f t="shared" si="36"/>
        <v>-45106.672457708599</v>
      </c>
      <c r="AR36" s="232">
        <f t="shared" si="36"/>
        <v>-47813.072805171112</v>
      </c>
      <c r="AS36" s="232">
        <f t="shared" si="36"/>
        <v>-50203.72644542966</v>
      </c>
      <c r="AT36" s="232">
        <f t="shared" ref="AT36" si="37">SUM(AT37:AT40)</f>
        <v>-52713.912767701164</v>
      </c>
    </row>
    <row r="37" spans="1:46" ht="13.5" customHeight="1" x14ac:dyDescent="0.3">
      <c r="A37" s="219"/>
      <c r="B37" s="219"/>
      <c r="C37" s="219" t="s">
        <v>493</v>
      </c>
      <c r="D37" s="89" t="s">
        <v>4</v>
      </c>
      <c r="E37" s="89"/>
      <c r="F37" s="219"/>
      <c r="G37" s="219"/>
      <c r="H37" s="7"/>
      <c r="I37" s="7"/>
      <c r="J37" s="234">
        <f>J93</f>
        <v>1742.4</v>
      </c>
      <c r="K37" s="234">
        <f t="shared" ref="K37:AG37" si="38">K93</f>
        <v>1742.4</v>
      </c>
      <c r="L37" s="234">
        <f t="shared" si="38"/>
        <v>1742.4</v>
      </c>
      <c r="M37" s="234">
        <f t="shared" si="38"/>
        <v>1742.4</v>
      </c>
      <c r="N37" s="234">
        <f t="shared" si="38"/>
        <v>1742.4</v>
      </c>
      <c r="O37" s="234">
        <f t="shared" si="38"/>
        <v>1925.3519999999996</v>
      </c>
      <c r="P37" s="234">
        <f t="shared" si="38"/>
        <v>1925.3519999999996</v>
      </c>
      <c r="Q37" s="234">
        <f t="shared" si="38"/>
        <v>1925.3519999999996</v>
      </c>
      <c r="R37" s="234">
        <f t="shared" si="38"/>
        <v>1925.3519999999996</v>
      </c>
      <c r="S37" s="234">
        <f t="shared" si="38"/>
        <v>1925.3519999999996</v>
      </c>
      <c r="T37" s="234">
        <f t="shared" si="38"/>
        <v>1925.3519999999996</v>
      </c>
      <c r="U37" s="234">
        <f t="shared" si="38"/>
        <v>1925.3519999999996</v>
      </c>
      <c r="V37" s="234">
        <f t="shared" si="38"/>
        <v>1925.3519999999996</v>
      </c>
      <c r="W37" s="234">
        <f t="shared" si="38"/>
        <v>1925.3519999999996</v>
      </c>
      <c r="X37" s="234">
        <f t="shared" si="38"/>
        <v>1925.3519999999996</v>
      </c>
      <c r="Y37" s="234">
        <f t="shared" si="38"/>
        <v>1925.3519999999996</v>
      </c>
      <c r="Z37" s="234">
        <f t="shared" si="38"/>
        <v>1925.3519999999996</v>
      </c>
      <c r="AA37" s="234">
        <f t="shared" si="38"/>
        <v>2117.8872000000001</v>
      </c>
      <c r="AB37" s="234">
        <f t="shared" si="38"/>
        <v>2117.8872000000001</v>
      </c>
      <c r="AC37" s="234">
        <f t="shared" si="38"/>
        <v>2117.8872000000001</v>
      </c>
      <c r="AD37" s="234">
        <f t="shared" si="38"/>
        <v>2117.8872000000001</v>
      </c>
      <c r="AE37" s="234">
        <f t="shared" si="38"/>
        <v>2117.8872000000001</v>
      </c>
      <c r="AF37" s="234">
        <f t="shared" si="38"/>
        <v>2117.8872000000001</v>
      </c>
      <c r="AG37" s="234">
        <f t="shared" si="38"/>
        <v>2117.8872000000001</v>
      </c>
      <c r="AH37" s="7"/>
      <c r="AI37" s="234">
        <f t="shared" ref="AI37:AS37" si="39">AI93</f>
        <v>-8712</v>
      </c>
      <c r="AJ37" s="234">
        <f t="shared" si="39"/>
        <v>-23104.223999999991</v>
      </c>
      <c r="AK37" s="234">
        <f t="shared" si="39"/>
        <v>-25414.646400000001</v>
      </c>
      <c r="AL37" s="234">
        <f t="shared" si="39"/>
        <v>-27829.037808000001</v>
      </c>
      <c r="AM37" s="234">
        <f t="shared" si="39"/>
        <v>-30333.651210720003</v>
      </c>
      <c r="AN37" s="234">
        <f t="shared" si="39"/>
        <v>-32912.011563631204</v>
      </c>
      <c r="AO37" s="234">
        <f t="shared" si="39"/>
        <v>-35544.972488721702</v>
      </c>
      <c r="AP37" s="234">
        <f t="shared" si="39"/>
        <v>-38033.120562932221</v>
      </c>
      <c r="AQ37" s="234">
        <f t="shared" si="39"/>
        <v>-40505.273399522805</v>
      </c>
      <c r="AR37" s="234">
        <f t="shared" si="39"/>
        <v>-42935.589803494178</v>
      </c>
      <c r="AS37" s="234">
        <f t="shared" si="39"/>
        <v>-45082.369293668882</v>
      </c>
      <c r="AT37" s="234">
        <f t="shared" ref="AT37" si="40">AT93</f>
        <v>-47336.487758352334</v>
      </c>
    </row>
    <row r="38" spans="1:46" ht="13.5" customHeight="1" x14ac:dyDescent="0.3">
      <c r="A38" s="219"/>
      <c r="B38" s="219"/>
      <c r="C38" s="219" t="s">
        <v>494</v>
      </c>
      <c r="D38" s="89" t="s">
        <v>4</v>
      </c>
      <c r="E38" s="89"/>
      <c r="F38" s="219"/>
      <c r="G38" s="219"/>
      <c r="H38" s="7"/>
      <c r="I38" s="7"/>
      <c r="J38" s="234">
        <f t="shared" ref="J38:AG38" si="41">J143</f>
        <v>58.286550000000013</v>
      </c>
      <c r="K38" s="234">
        <f t="shared" si="41"/>
        <v>58.286550000000013</v>
      </c>
      <c r="L38" s="234">
        <f t="shared" si="41"/>
        <v>58.286550000000013</v>
      </c>
      <c r="M38" s="234">
        <f t="shared" si="41"/>
        <v>58.286550000000013</v>
      </c>
      <c r="N38" s="234">
        <f t="shared" si="41"/>
        <v>58.286550000000013</v>
      </c>
      <c r="O38" s="234">
        <f t="shared" si="41"/>
        <v>64.414245000000008</v>
      </c>
      <c r="P38" s="234">
        <f t="shared" si="41"/>
        <v>64.414245000000008</v>
      </c>
      <c r="Q38" s="234">
        <f t="shared" si="41"/>
        <v>64.414245000000008</v>
      </c>
      <c r="R38" s="234">
        <f t="shared" si="41"/>
        <v>64.414245000000008</v>
      </c>
      <c r="S38" s="234">
        <f t="shared" si="41"/>
        <v>64.414245000000008</v>
      </c>
      <c r="T38" s="234">
        <f t="shared" si="41"/>
        <v>64.414245000000008</v>
      </c>
      <c r="U38" s="234">
        <f t="shared" si="41"/>
        <v>64.414245000000008</v>
      </c>
      <c r="V38" s="234">
        <f t="shared" si="41"/>
        <v>64.414245000000008</v>
      </c>
      <c r="W38" s="234">
        <f t="shared" si="41"/>
        <v>64.414245000000008</v>
      </c>
      <c r="X38" s="234">
        <f t="shared" si="41"/>
        <v>64.414245000000008</v>
      </c>
      <c r="Y38" s="234">
        <f t="shared" si="41"/>
        <v>64.414245000000008</v>
      </c>
      <c r="Z38" s="234">
        <f t="shared" si="41"/>
        <v>64.414245000000008</v>
      </c>
      <c r="AA38" s="234">
        <f t="shared" si="41"/>
        <v>70.862914500000016</v>
      </c>
      <c r="AB38" s="234">
        <f t="shared" si="41"/>
        <v>70.862914500000016</v>
      </c>
      <c r="AC38" s="234">
        <f t="shared" si="41"/>
        <v>70.862914500000016</v>
      </c>
      <c r="AD38" s="234">
        <f t="shared" si="41"/>
        <v>70.862914500000016</v>
      </c>
      <c r="AE38" s="234">
        <f t="shared" si="41"/>
        <v>70.862914500000016</v>
      </c>
      <c r="AF38" s="234">
        <f t="shared" si="41"/>
        <v>70.862914500000016</v>
      </c>
      <c r="AG38" s="234">
        <f t="shared" si="41"/>
        <v>70.862914500000016</v>
      </c>
      <c r="AH38" s="7"/>
      <c r="AI38" s="234">
        <f t="shared" ref="AI38:AS38" si="42">-AI143</f>
        <v>-281.63275000000004</v>
      </c>
      <c r="AJ38" s="234">
        <f t="shared" si="42"/>
        <v>-746.98134000000005</v>
      </c>
      <c r="AK38" s="234">
        <f t="shared" si="42"/>
        <v>-821.76641400000005</v>
      </c>
      <c r="AL38" s="234">
        <f t="shared" si="42"/>
        <v>-899.91681632999996</v>
      </c>
      <c r="AM38" s="234">
        <f t="shared" si="42"/>
        <v>-980.98757579970027</v>
      </c>
      <c r="AN38" s="234">
        <f t="shared" si="42"/>
        <v>-1064.4454187426747</v>
      </c>
      <c r="AO38" s="234">
        <f t="shared" si="42"/>
        <v>-1149.6706042420888</v>
      </c>
      <c r="AP38" s="234">
        <f t="shared" si="42"/>
        <v>-1230.208404539035</v>
      </c>
      <c r="AQ38" s="234">
        <f t="shared" si="42"/>
        <v>-1310.2284618340723</v>
      </c>
      <c r="AR38" s="234">
        <f t="shared" si="42"/>
        <v>-1388.8943335441165</v>
      </c>
      <c r="AS38" s="234">
        <f t="shared" si="42"/>
        <v>-1458.3825202213225</v>
      </c>
      <c r="AT38" s="234">
        <f t="shared" ref="AT38" si="43">-AT143</f>
        <v>-1531.3451162323886</v>
      </c>
    </row>
    <row r="39" spans="1:46" ht="13.5" customHeight="1" x14ac:dyDescent="0.3">
      <c r="A39" s="219"/>
      <c r="B39" s="219"/>
      <c r="C39" s="219" t="s">
        <v>495</v>
      </c>
      <c r="D39" s="89" t="s">
        <v>4</v>
      </c>
      <c r="E39" s="89"/>
      <c r="F39" s="219"/>
      <c r="G39" s="219"/>
      <c r="H39" s="7"/>
      <c r="I39" s="7"/>
      <c r="J39" s="234">
        <f t="shared" ref="J39:AG39" si="44">J155</f>
        <v>87.37809</v>
      </c>
      <c r="K39" s="234">
        <f t="shared" si="44"/>
        <v>87.37809</v>
      </c>
      <c r="L39" s="234">
        <f t="shared" si="44"/>
        <v>87.37809</v>
      </c>
      <c r="M39" s="234">
        <f t="shared" si="44"/>
        <v>87.37809</v>
      </c>
      <c r="N39" s="234">
        <f t="shared" si="44"/>
        <v>87.37809</v>
      </c>
      <c r="O39" s="234">
        <f t="shared" si="44"/>
        <v>96.545182199999985</v>
      </c>
      <c r="P39" s="234">
        <f t="shared" si="44"/>
        <v>96.545182199999985</v>
      </c>
      <c r="Q39" s="234">
        <f t="shared" si="44"/>
        <v>96.545182199999985</v>
      </c>
      <c r="R39" s="234">
        <f t="shared" si="44"/>
        <v>96.545182199999985</v>
      </c>
      <c r="S39" s="234">
        <f t="shared" si="44"/>
        <v>96.545182199999985</v>
      </c>
      <c r="T39" s="234">
        <f t="shared" si="44"/>
        <v>96.545182199999985</v>
      </c>
      <c r="U39" s="234">
        <f t="shared" si="44"/>
        <v>96.545182199999985</v>
      </c>
      <c r="V39" s="234">
        <f t="shared" si="44"/>
        <v>96.545182199999985</v>
      </c>
      <c r="W39" s="234">
        <f t="shared" si="44"/>
        <v>96.545182199999985</v>
      </c>
      <c r="X39" s="234">
        <f t="shared" si="44"/>
        <v>96.545182199999985</v>
      </c>
      <c r="Y39" s="234">
        <f t="shared" si="44"/>
        <v>96.545182199999985</v>
      </c>
      <c r="Z39" s="234">
        <f t="shared" si="44"/>
        <v>96.545182199999985</v>
      </c>
      <c r="AA39" s="234">
        <f t="shared" si="44"/>
        <v>106.19245542000002</v>
      </c>
      <c r="AB39" s="234">
        <f t="shared" si="44"/>
        <v>106.19245542000002</v>
      </c>
      <c r="AC39" s="234">
        <f t="shared" si="44"/>
        <v>106.19245542000002</v>
      </c>
      <c r="AD39" s="234">
        <f t="shared" si="44"/>
        <v>106.19245542000002</v>
      </c>
      <c r="AE39" s="234">
        <f t="shared" si="44"/>
        <v>106.19245542000002</v>
      </c>
      <c r="AF39" s="234">
        <f t="shared" si="44"/>
        <v>106.19245542000002</v>
      </c>
      <c r="AG39" s="234">
        <f t="shared" si="44"/>
        <v>106.19245542000002</v>
      </c>
      <c r="AH39" s="7"/>
      <c r="AI39" s="234">
        <f t="shared" ref="AI39:AS39" si="45">-AI155</f>
        <v>-446.69045</v>
      </c>
      <c r="AJ39" s="234">
        <f t="shared" si="45"/>
        <v>-1184.5317863999999</v>
      </c>
      <c r="AK39" s="234">
        <f t="shared" si="45"/>
        <v>-1302.89802504</v>
      </c>
      <c r="AL39" s="234">
        <f t="shared" si="45"/>
        <v>-1426.5907444188001</v>
      </c>
      <c r="AM39" s="234">
        <f t="shared" si="45"/>
        <v>-1554.905665416492</v>
      </c>
      <c r="AN39" s="234">
        <f t="shared" si="45"/>
        <v>-1686.9987479768938</v>
      </c>
      <c r="AO39" s="234">
        <f t="shared" si="45"/>
        <v>-1821.8890958150453</v>
      </c>
      <c r="AP39" s="234">
        <f t="shared" si="45"/>
        <v>-1949.3604745220982</v>
      </c>
      <c r="AQ39" s="234">
        <f t="shared" si="45"/>
        <v>-2076.0123943660346</v>
      </c>
      <c r="AR39" s="234">
        <f t="shared" si="45"/>
        <v>-2200.520974027997</v>
      </c>
      <c r="AS39" s="234">
        <f t="shared" si="45"/>
        <v>-2310.5035527293967</v>
      </c>
      <c r="AT39" s="234">
        <f t="shared" ref="AT39" si="46">-AT155</f>
        <v>-2425.9852603658665</v>
      </c>
    </row>
    <row r="40" spans="1:46" ht="13.5" customHeight="1" x14ac:dyDescent="0.3">
      <c r="A40" s="219"/>
      <c r="B40" s="219"/>
      <c r="C40" s="219" t="s">
        <v>496</v>
      </c>
      <c r="D40" s="89" t="s">
        <v>4</v>
      </c>
      <c r="E40" s="89"/>
      <c r="F40" s="219"/>
      <c r="G40" s="219"/>
      <c r="H40" s="7"/>
      <c r="I40" s="7"/>
      <c r="J40" s="234">
        <f t="shared" ref="J40:AG40" si="47">J167</f>
        <v>52.271999999999991</v>
      </c>
      <c r="K40" s="234">
        <f t="shared" si="47"/>
        <v>52.271999999999991</v>
      </c>
      <c r="L40" s="234">
        <f t="shared" si="47"/>
        <v>52.271999999999991</v>
      </c>
      <c r="M40" s="234">
        <f t="shared" si="47"/>
        <v>52.271999999999991</v>
      </c>
      <c r="N40" s="234">
        <f t="shared" si="47"/>
        <v>52.271999999999991</v>
      </c>
      <c r="O40" s="234">
        <f t="shared" si="47"/>
        <v>57.760559999999998</v>
      </c>
      <c r="P40" s="234">
        <f t="shared" si="47"/>
        <v>57.760559999999998</v>
      </c>
      <c r="Q40" s="234">
        <f t="shared" si="47"/>
        <v>57.760559999999998</v>
      </c>
      <c r="R40" s="234">
        <f t="shared" si="47"/>
        <v>57.760559999999998</v>
      </c>
      <c r="S40" s="234">
        <f t="shared" si="47"/>
        <v>57.760559999999998</v>
      </c>
      <c r="T40" s="234">
        <f t="shared" si="47"/>
        <v>57.760559999999998</v>
      </c>
      <c r="U40" s="234">
        <f t="shared" si="47"/>
        <v>57.760559999999998</v>
      </c>
      <c r="V40" s="234">
        <f t="shared" si="47"/>
        <v>57.760559999999998</v>
      </c>
      <c r="W40" s="234">
        <f t="shared" si="47"/>
        <v>57.760559999999998</v>
      </c>
      <c r="X40" s="234">
        <f t="shared" si="47"/>
        <v>57.760559999999998</v>
      </c>
      <c r="Y40" s="234">
        <f t="shared" si="47"/>
        <v>57.760559999999998</v>
      </c>
      <c r="Z40" s="234">
        <f t="shared" si="47"/>
        <v>57.760559999999998</v>
      </c>
      <c r="AA40" s="234">
        <f t="shared" si="47"/>
        <v>63.536615999999995</v>
      </c>
      <c r="AB40" s="234">
        <f t="shared" si="47"/>
        <v>63.536615999999995</v>
      </c>
      <c r="AC40" s="234">
        <f t="shared" si="47"/>
        <v>63.536615999999995</v>
      </c>
      <c r="AD40" s="234">
        <f t="shared" si="47"/>
        <v>63.536615999999995</v>
      </c>
      <c r="AE40" s="234">
        <f t="shared" si="47"/>
        <v>63.536615999999995</v>
      </c>
      <c r="AF40" s="234">
        <f t="shared" si="47"/>
        <v>63.536615999999995</v>
      </c>
      <c r="AG40" s="234">
        <f t="shared" si="47"/>
        <v>63.536615999999995</v>
      </c>
      <c r="AH40" s="7"/>
      <c r="AI40" s="234">
        <f t="shared" ref="AI40:AS40" si="48">-AI167</f>
        <v>-261.35999999999996</v>
      </c>
      <c r="AJ40" s="234">
        <f t="shared" si="48"/>
        <v>-693.12671999999998</v>
      </c>
      <c r="AK40" s="234">
        <f t="shared" si="48"/>
        <v>-762.439392</v>
      </c>
      <c r="AL40" s="234">
        <f t="shared" si="48"/>
        <v>-834.87113424000006</v>
      </c>
      <c r="AM40" s="234">
        <f t="shared" si="48"/>
        <v>-910.00953632159997</v>
      </c>
      <c r="AN40" s="234">
        <f t="shared" si="48"/>
        <v>-987.36034690893598</v>
      </c>
      <c r="AO40" s="234">
        <f t="shared" si="48"/>
        <v>-1066.349174661651</v>
      </c>
      <c r="AP40" s="234">
        <f t="shared" si="48"/>
        <v>-1140.9936168879663</v>
      </c>
      <c r="AQ40" s="234">
        <f t="shared" si="48"/>
        <v>-1215.1582019856842</v>
      </c>
      <c r="AR40" s="234">
        <f t="shared" si="48"/>
        <v>-1288.0676941048255</v>
      </c>
      <c r="AS40" s="234">
        <f t="shared" si="48"/>
        <v>-1352.4710788100667</v>
      </c>
      <c r="AT40" s="234">
        <f t="shared" ref="AT40" si="49">-AT167</f>
        <v>-1420.0946327505701</v>
      </c>
    </row>
    <row r="41" spans="1:46" ht="13.5" customHeight="1" x14ac:dyDescent="0.3">
      <c r="A41" s="219"/>
      <c r="B41" s="219"/>
      <c r="C41" s="219"/>
      <c r="D41" s="89"/>
      <c r="E41" s="89"/>
      <c r="F41" s="219"/>
      <c r="G41" s="219"/>
      <c r="H41" s="7"/>
      <c r="I41" s="7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  <c r="AA41" s="219"/>
      <c r="AB41" s="219"/>
      <c r="AC41" s="219"/>
      <c r="AD41" s="219"/>
      <c r="AE41" s="219"/>
      <c r="AF41" s="219"/>
      <c r="AG41" s="219"/>
      <c r="AH41" s="7"/>
      <c r="AI41" s="219"/>
      <c r="AJ41" s="219"/>
      <c r="AK41" s="219"/>
      <c r="AL41" s="219"/>
      <c r="AM41" s="219"/>
      <c r="AN41" s="219"/>
      <c r="AO41" s="219"/>
      <c r="AP41" s="219"/>
      <c r="AQ41" s="219"/>
      <c r="AR41" s="219"/>
      <c r="AS41" s="219"/>
      <c r="AT41" s="219"/>
    </row>
    <row r="42" spans="1:46" ht="13.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</row>
    <row r="43" spans="1:46" ht="13.5" customHeight="1" x14ac:dyDescent="0.3">
      <c r="A43" s="80" t="s">
        <v>0</v>
      </c>
      <c r="B43" s="80" t="s">
        <v>497</v>
      </c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</row>
    <row r="44" spans="1:46" ht="13.5" customHeight="1" x14ac:dyDescent="0.3">
      <c r="A44" s="219"/>
      <c r="B44" s="219"/>
      <c r="C44" s="219"/>
      <c r="D44" s="89"/>
      <c r="E44" s="8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  <c r="AA44" s="219"/>
      <c r="AB44" s="219"/>
      <c r="AC44" s="219"/>
      <c r="AD44" s="219"/>
      <c r="AE44" s="219"/>
      <c r="AF44" s="219"/>
      <c r="AG44" s="219"/>
      <c r="AH44" s="219"/>
      <c r="AI44" s="219"/>
      <c r="AJ44" s="219"/>
      <c r="AK44" s="219"/>
      <c r="AL44" s="219"/>
      <c r="AM44" s="219"/>
      <c r="AN44" s="219"/>
      <c r="AO44" s="219"/>
      <c r="AP44" s="219"/>
      <c r="AQ44" s="219"/>
      <c r="AR44" s="219"/>
      <c r="AS44" s="219"/>
      <c r="AT44" s="219"/>
    </row>
    <row r="45" spans="1:46" ht="13.5" customHeight="1" x14ac:dyDescent="0.3">
      <c r="A45" s="219"/>
      <c r="B45" s="230" t="s">
        <v>492</v>
      </c>
      <c r="C45" s="228"/>
      <c r="D45" s="89"/>
      <c r="E45" s="89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  <c r="AA45" s="219"/>
      <c r="AB45" s="219"/>
      <c r="AC45" s="219"/>
      <c r="AD45" s="219"/>
      <c r="AE45" s="219"/>
      <c r="AF45" s="219"/>
      <c r="AG45" s="219"/>
      <c r="AH45" s="219"/>
      <c r="AI45" s="219"/>
      <c r="AJ45" s="219"/>
      <c r="AK45" s="219"/>
      <c r="AL45" s="219"/>
      <c r="AM45" s="219"/>
      <c r="AN45" s="219"/>
      <c r="AO45" s="219"/>
      <c r="AP45" s="219"/>
      <c r="AQ45" s="219"/>
      <c r="AR45" s="219"/>
      <c r="AS45" s="219"/>
      <c r="AT45" s="219"/>
    </row>
    <row r="46" spans="1:46" ht="13.5" customHeight="1" x14ac:dyDescent="0.3">
      <c r="A46" s="219"/>
      <c r="B46" s="219">
        <v>1</v>
      </c>
      <c r="C46" s="428" t="s">
        <v>718</v>
      </c>
      <c r="D46" s="89" t="s">
        <v>122</v>
      </c>
      <c r="E46" s="224" t="s">
        <v>498</v>
      </c>
      <c r="F46" s="219"/>
      <c r="G46" s="219"/>
      <c r="H46" s="7"/>
      <c r="I46" s="7"/>
      <c r="J46" s="460">
        <v>1</v>
      </c>
      <c r="K46" s="236">
        <f t="shared" ref="K46:AG46" si="50">J46</f>
        <v>1</v>
      </c>
      <c r="L46" s="236">
        <f t="shared" si="50"/>
        <v>1</v>
      </c>
      <c r="M46" s="236">
        <f t="shared" si="50"/>
        <v>1</v>
      </c>
      <c r="N46" s="236">
        <f t="shared" si="50"/>
        <v>1</v>
      </c>
      <c r="O46" s="236">
        <f t="shared" si="50"/>
        <v>1</v>
      </c>
      <c r="P46" s="236">
        <f t="shared" si="50"/>
        <v>1</v>
      </c>
      <c r="Q46" s="236">
        <f t="shared" si="50"/>
        <v>1</v>
      </c>
      <c r="R46" s="236">
        <f t="shared" si="50"/>
        <v>1</v>
      </c>
      <c r="S46" s="236">
        <f t="shared" si="50"/>
        <v>1</v>
      </c>
      <c r="T46" s="236">
        <f t="shared" si="50"/>
        <v>1</v>
      </c>
      <c r="U46" s="236">
        <f t="shared" si="50"/>
        <v>1</v>
      </c>
      <c r="V46" s="236">
        <f t="shared" si="50"/>
        <v>1</v>
      </c>
      <c r="W46" s="236">
        <f t="shared" si="50"/>
        <v>1</v>
      </c>
      <c r="X46" s="236">
        <f t="shared" si="50"/>
        <v>1</v>
      </c>
      <c r="Y46" s="236">
        <f t="shared" si="50"/>
        <v>1</v>
      </c>
      <c r="Z46" s="236">
        <f t="shared" si="50"/>
        <v>1</v>
      </c>
      <c r="AA46" s="236">
        <f t="shared" si="50"/>
        <v>1</v>
      </c>
      <c r="AB46" s="236">
        <f t="shared" si="50"/>
        <v>1</v>
      </c>
      <c r="AC46" s="236">
        <f t="shared" si="50"/>
        <v>1</v>
      </c>
      <c r="AD46" s="236">
        <f t="shared" si="50"/>
        <v>1</v>
      </c>
      <c r="AE46" s="236">
        <f t="shared" si="50"/>
        <v>1</v>
      </c>
      <c r="AF46" s="236">
        <f t="shared" si="50"/>
        <v>1</v>
      </c>
      <c r="AG46" s="236">
        <f t="shared" si="50"/>
        <v>1</v>
      </c>
      <c r="AH46" s="219"/>
      <c r="AI46" s="236">
        <f t="shared" ref="AI46:AI50" si="51">J46</f>
        <v>1</v>
      </c>
      <c r="AJ46" s="236">
        <f t="shared" ref="AJ46:AT46" si="52">AI46</f>
        <v>1</v>
      </c>
      <c r="AK46" s="236">
        <f t="shared" si="52"/>
        <v>1</v>
      </c>
      <c r="AL46" s="236">
        <f t="shared" si="52"/>
        <v>1</v>
      </c>
      <c r="AM46" s="236">
        <f t="shared" si="52"/>
        <v>1</v>
      </c>
      <c r="AN46" s="236">
        <f t="shared" si="52"/>
        <v>1</v>
      </c>
      <c r="AO46" s="236">
        <f t="shared" si="52"/>
        <v>1</v>
      </c>
      <c r="AP46" s="236">
        <f t="shared" si="52"/>
        <v>1</v>
      </c>
      <c r="AQ46" s="236">
        <f t="shared" si="52"/>
        <v>1</v>
      </c>
      <c r="AR46" s="236">
        <f t="shared" si="52"/>
        <v>1</v>
      </c>
      <c r="AS46" s="236">
        <f t="shared" si="52"/>
        <v>1</v>
      </c>
      <c r="AT46" s="236">
        <f t="shared" si="52"/>
        <v>1</v>
      </c>
    </row>
    <row r="47" spans="1:46" ht="13.5" customHeight="1" x14ac:dyDescent="0.3">
      <c r="A47" s="219"/>
      <c r="B47" s="219">
        <v>2</v>
      </c>
      <c r="C47" s="219" t="s">
        <v>499</v>
      </c>
      <c r="D47" s="89" t="s">
        <v>122</v>
      </c>
      <c r="E47" s="224" t="s">
        <v>498</v>
      </c>
      <c r="F47" s="219"/>
      <c r="G47" s="219"/>
      <c r="H47" s="7"/>
      <c r="I47" s="7"/>
      <c r="J47" s="460">
        <v>0.5</v>
      </c>
      <c r="K47" s="236">
        <f t="shared" ref="K47:AG47" si="53">J47</f>
        <v>0.5</v>
      </c>
      <c r="L47" s="236">
        <f t="shared" si="53"/>
        <v>0.5</v>
      </c>
      <c r="M47" s="236">
        <f t="shared" si="53"/>
        <v>0.5</v>
      </c>
      <c r="N47" s="236">
        <f t="shared" si="53"/>
        <v>0.5</v>
      </c>
      <c r="O47" s="236">
        <f t="shared" si="53"/>
        <v>0.5</v>
      </c>
      <c r="P47" s="236">
        <f t="shared" si="53"/>
        <v>0.5</v>
      </c>
      <c r="Q47" s="236">
        <f t="shared" si="53"/>
        <v>0.5</v>
      </c>
      <c r="R47" s="236">
        <f t="shared" si="53"/>
        <v>0.5</v>
      </c>
      <c r="S47" s="236">
        <f t="shared" si="53"/>
        <v>0.5</v>
      </c>
      <c r="T47" s="236">
        <f t="shared" si="53"/>
        <v>0.5</v>
      </c>
      <c r="U47" s="236">
        <f t="shared" si="53"/>
        <v>0.5</v>
      </c>
      <c r="V47" s="236">
        <f t="shared" si="53"/>
        <v>0.5</v>
      </c>
      <c r="W47" s="236">
        <f t="shared" si="53"/>
        <v>0.5</v>
      </c>
      <c r="X47" s="236">
        <f t="shared" si="53"/>
        <v>0.5</v>
      </c>
      <c r="Y47" s="236">
        <f t="shared" si="53"/>
        <v>0.5</v>
      </c>
      <c r="Z47" s="236">
        <f t="shared" si="53"/>
        <v>0.5</v>
      </c>
      <c r="AA47" s="236">
        <f t="shared" si="53"/>
        <v>0.5</v>
      </c>
      <c r="AB47" s="236">
        <f t="shared" si="53"/>
        <v>0.5</v>
      </c>
      <c r="AC47" s="236">
        <f t="shared" si="53"/>
        <v>0.5</v>
      </c>
      <c r="AD47" s="236">
        <f t="shared" si="53"/>
        <v>0.5</v>
      </c>
      <c r="AE47" s="236">
        <f t="shared" si="53"/>
        <v>0.5</v>
      </c>
      <c r="AF47" s="236">
        <f t="shared" si="53"/>
        <v>0.5</v>
      </c>
      <c r="AG47" s="236">
        <f t="shared" si="53"/>
        <v>0.5</v>
      </c>
      <c r="AH47" s="219"/>
      <c r="AI47" s="236">
        <f t="shared" si="51"/>
        <v>0.5</v>
      </c>
      <c r="AJ47" s="236">
        <f t="shared" ref="AJ47:AT47" si="54">AI47</f>
        <v>0.5</v>
      </c>
      <c r="AK47" s="236">
        <f t="shared" si="54"/>
        <v>0.5</v>
      </c>
      <c r="AL47" s="236">
        <f t="shared" si="54"/>
        <v>0.5</v>
      </c>
      <c r="AM47" s="236">
        <f t="shared" si="54"/>
        <v>0.5</v>
      </c>
      <c r="AN47" s="236">
        <f t="shared" si="54"/>
        <v>0.5</v>
      </c>
      <c r="AO47" s="236">
        <f t="shared" si="54"/>
        <v>0.5</v>
      </c>
      <c r="AP47" s="236">
        <f t="shared" si="54"/>
        <v>0.5</v>
      </c>
      <c r="AQ47" s="236">
        <f t="shared" si="54"/>
        <v>0.5</v>
      </c>
      <c r="AR47" s="236">
        <f t="shared" si="54"/>
        <v>0.5</v>
      </c>
      <c r="AS47" s="236">
        <f t="shared" si="54"/>
        <v>0.5</v>
      </c>
      <c r="AT47" s="236">
        <f t="shared" si="54"/>
        <v>0.5</v>
      </c>
    </row>
    <row r="48" spans="1:46" ht="13.5" customHeight="1" x14ac:dyDescent="0.3">
      <c r="A48" s="219"/>
      <c r="B48" s="219">
        <v>3</v>
      </c>
      <c r="C48" s="219" t="s">
        <v>500</v>
      </c>
      <c r="D48" s="89" t="s">
        <v>122</v>
      </c>
      <c r="E48" s="224" t="s">
        <v>498</v>
      </c>
      <c r="F48" s="219"/>
      <c r="G48" s="219"/>
      <c r="H48" s="7"/>
      <c r="I48" s="7"/>
      <c r="J48" s="460">
        <v>0.5</v>
      </c>
      <c r="K48" s="236">
        <f t="shared" ref="K48:AG48" si="55">J48</f>
        <v>0.5</v>
      </c>
      <c r="L48" s="236">
        <f t="shared" si="55"/>
        <v>0.5</v>
      </c>
      <c r="M48" s="236">
        <f t="shared" si="55"/>
        <v>0.5</v>
      </c>
      <c r="N48" s="236">
        <f t="shared" si="55"/>
        <v>0.5</v>
      </c>
      <c r="O48" s="236">
        <f t="shared" si="55"/>
        <v>0.5</v>
      </c>
      <c r="P48" s="236">
        <f t="shared" si="55"/>
        <v>0.5</v>
      </c>
      <c r="Q48" s="236">
        <f t="shared" si="55"/>
        <v>0.5</v>
      </c>
      <c r="R48" s="236">
        <f t="shared" si="55"/>
        <v>0.5</v>
      </c>
      <c r="S48" s="236">
        <f t="shared" si="55"/>
        <v>0.5</v>
      </c>
      <c r="T48" s="236">
        <f t="shared" si="55"/>
        <v>0.5</v>
      </c>
      <c r="U48" s="236">
        <f t="shared" si="55"/>
        <v>0.5</v>
      </c>
      <c r="V48" s="236">
        <f t="shared" si="55"/>
        <v>0.5</v>
      </c>
      <c r="W48" s="236">
        <f t="shared" si="55"/>
        <v>0.5</v>
      </c>
      <c r="X48" s="236">
        <f t="shared" si="55"/>
        <v>0.5</v>
      </c>
      <c r="Y48" s="236">
        <f t="shared" si="55"/>
        <v>0.5</v>
      </c>
      <c r="Z48" s="236">
        <f t="shared" si="55"/>
        <v>0.5</v>
      </c>
      <c r="AA48" s="236">
        <f t="shared" si="55"/>
        <v>0.5</v>
      </c>
      <c r="AB48" s="236">
        <f t="shared" si="55"/>
        <v>0.5</v>
      </c>
      <c r="AC48" s="236">
        <f t="shared" si="55"/>
        <v>0.5</v>
      </c>
      <c r="AD48" s="236">
        <f t="shared" si="55"/>
        <v>0.5</v>
      </c>
      <c r="AE48" s="236">
        <f t="shared" si="55"/>
        <v>0.5</v>
      </c>
      <c r="AF48" s="236">
        <f t="shared" si="55"/>
        <v>0.5</v>
      </c>
      <c r="AG48" s="236">
        <f t="shared" si="55"/>
        <v>0.5</v>
      </c>
      <c r="AH48" s="219"/>
      <c r="AI48" s="236">
        <f t="shared" si="51"/>
        <v>0.5</v>
      </c>
      <c r="AJ48" s="236">
        <f t="shared" ref="AJ48:AT48" si="56">AI48</f>
        <v>0.5</v>
      </c>
      <c r="AK48" s="236">
        <f t="shared" si="56"/>
        <v>0.5</v>
      </c>
      <c r="AL48" s="236">
        <f t="shared" si="56"/>
        <v>0.5</v>
      </c>
      <c r="AM48" s="236">
        <f t="shared" si="56"/>
        <v>0.5</v>
      </c>
      <c r="AN48" s="236">
        <f t="shared" si="56"/>
        <v>0.5</v>
      </c>
      <c r="AO48" s="236">
        <f t="shared" si="56"/>
        <v>0.5</v>
      </c>
      <c r="AP48" s="236">
        <f t="shared" si="56"/>
        <v>0.5</v>
      </c>
      <c r="AQ48" s="236">
        <f t="shared" si="56"/>
        <v>0.5</v>
      </c>
      <c r="AR48" s="236">
        <f t="shared" si="56"/>
        <v>0.5</v>
      </c>
      <c r="AS48" s="236">
        <f t="shared" si="56"/>
        <v>0.5</v>
      </c>
      <c r="AT48" s="236">
        <f t="shared" si="56"/>
        <v>0.5</v>
      </c>
    </row>
    <row r="49" spans="1:46" ht="13.5" customHeight="1" x14ac:dyDescent="0.3">
      <c r="A49" s="219"/>
      <c r="B49" s="219">
        <v>4</v>
      </c>
      <c r="C49" s="219" t="s">
        <v>501</v>
      </c>
      <c r="D49" s="89" t="s">
        <v>122</v>
      </c>
      <c r="E49" s="224" t="s">
        <v>498</v>
      </c>
      <c r="F49" s="219"/>
      <c r="G49" s="219"/>
      <c r="H49" s="7"/>
      <c r="I49" s="7"/>
      <c r="J49" s="460">
        <v>1</v>
      </c>
      <c r="K49" s="236">
        <f t="shared" ref="K49:AG49" si="57">J49</f>
        <v>1</v>
      </c>
      <c r="L49" s="236">
        <f t="shared" si="57"/>
        <v>1</v>
      </c>
      <c r="M49" s="236">
        <f t="shared" si="57"/>
        <v>1</v>
      </c>
      <c r="N49" s="236">
        <f t="shared" si="57"/>
        <v>1</v>
      </c>
      <c r="O49" s="236">
        <f t="shared" si="57"/>
        <v>1</v>
      </c>
      <c r="P49" s="236">
        <f t="shared" si="57"/>
        <v>1</v>
      </c>
      <c r="Q49" s="236">
        <f t="shared" si="57"/>
        <v>1</v>
      </c>
      <c r="R49" s="236">
        <f t="shared" si="57"/>
        <v>1</v>
      </c>
      <c r="S49" s="236">
        <f t="shared" si="57"/>
        <v>1</v>
      </c>
      <c r="T49" s="236">
        <f t="shared" si="57"/>
        <v>1</v>
      </c>
      <c r="U49" s="236">
        <f t="shared" si="57"/>
        <v>1</v>
      </c>
      <c r="V49" s="236">
        <f t="shared" si="57"/>
        <v>1</v>
      </c>
      <c r="W49" s="236">
        <f t="shared" si="57"/>
        <v>1</v>
      </c>
      <c r="X49" s="236">
        <f t="shared" si="57"/>
        <v>1</v>
      </c>
      <c r="Y49" s="236">
        <f t="shared" si="57"/>
        <v>1</v>
      </c>
      <c r="Z49" s="236">
        <f t="shared" si="57"/>
        <v>1</v>
      </c>
      <c r="AA49" s="236">
        <f t="shared" si="57"/>
        <v>1</v>
      </c>
      <c r="AB49" s="236">
        <f t="shared" si="57"/>
        <v>1</v>
      </c>
      <c r="AC49" s="236">
        <f t="shared" si="57"/>
        <v>1</v>
      </c>
      <c r="AD49" s="236">
        <f t="shared" si="57"/>
        <v>1</v>
      </c>
      <c r="AE49" s="236">
        <f t="shared" si="57"/>
        <v>1</v>
      </c>
      <c r="AF49" s="236">
        <f t="shared" si="57"/>
        <v>1</v>
      </c>
      <c r="AG49" s="236">
        <f t="shared" si="57"/>
        <v>1</v>
      </c>
      <c r="AH49" s="219"/>
      <c r="AI49" s="236">
        <f t="shared" si="51"/>
        <v>1</v>
      </c>
      <c r="AJ49" s="236">
        <f t="shared" ref="AJ49:AT49" si="58">AI49</f>
        <v>1</v>
      </c>
      <c r="AK49" s="236">
        <f t="shared" si="58"/>
        <v>1</v>
      </c>
      <c r="AL49" s="236">
        <f t="shared" si="58"/>
        <v>1</v>
      </c>
      <c r="AM49" s="236">
        <f t="shared" si="58"/>
        <v>1</v>
      </c>
      <c r="AN49" s="236">
        <f t="shared" si="58"/>
        <v>1</v>
      </c>
      <c r="AO49" s="236">
        <f t="shared" si="58"/>
        <v>1</v>
      </c>
      <c r="AP49" s="236">
        <f t="shared" si="58"/>
        <v>1</v>
      </c>
      <c r="AQ49" s="236">
        <f t="shared" si="58"/>
        <v>1</v>
      </c>
      <c r="AR49" s="236">
        <f t="shared" si="58"/>
        <v>1</v>
      </c>
      <c r="AS49" s="236">
        <f t="shared" si="58"/>
        <v>1</v>
      </c>
      <c r="AT49" s="236">
        <f t="shared" si="58"/>
        <v>1</v>
      </c>
    </row>
    <row r="50" spans="1:46" ht="13.5" customHeight="1" x14ac:dyDescent="0.3">
      <c r="A50" s="219"/>
      <c r="B50" s="219">
        <v>5</v>
      </c>
      <c r="C50" s="428" t="s">
        <v>746</v>
      </c>
      <c r="D50" s="89" t="s">
        <v>122</v>
      </c>
      <c r="E50" s="224" t="s">
        <v>498</v>
      </c>
      <c r="F50" s="219"/>
      <c r="G50" s="219"/>
      <c r="H50" s="7"/>
      <c r="I50" s="7"/>
      <c r="J50" s="460">
        <v>0.3</v>
      </c>
      <c r="K50" s="236">
        <f t="shared" ref="K50:AG50" si="59">J50</f>
        <v>0.3</v>
      </c>
      <c r="L50" s="236">
        <f t="shared" si="59"/>
        <v>0.3</v>
      </c>
      <c r="M50" s="236">
        <f t="shared" si="59"/>
        <v>0.3</v>
      </c>
      <c r="N50" s="236">
        <f t="shared" si="59"/>
        <v>0.3</v>
      </c>
      <c r="O50" s="236">
        <f t="shared" si="59"/>
        <v>0.3</v>
      </c>
      <c r="P50" s="236">
        <f t="shared" si="59"/>
        <v>0.3</v>
      </c>
      <c r="Q50" s="236">
        <f t="shared" si="59"/>
        <v>0.3</v>
      </c>
      <c r="R50" s="236">
        <f t="shared" si="59"/>
        <v>0.3</v>
      </c>
      <c r="S50" s="236">
        <f t="shared" si="59"/>
        <v>0.3</v>
      </c>
      <c r="T50" s="236">
        <f t="shared" si="59"/>
        <v>0.3</v>
      </c>
      <c r="U50" s="236">
        <f t="shared" si="59"/>
        <v>0.3</v>
      </c>
      <c r="V50" s="236">
        <f t="shared" si="59"/>
        <v>0.3</v>
      </c>
      <c r="W50" s="236">
        <f t="shared" si="59"/>
        <v>0.3</v>
      </c>
      <c r="X50" s="236">
        <f t="shared" si="59"/>
        <v>0.3</v>
      </c>
      <c r="Y50" s="236">
        <f t="shared" si="59"/>
        <v>0.3</v>
      </c>
      <c r="Z50" s="236">
        <f t="shared" si="59"/>
        <v>0.3</v>
      </c>
      <c r="AA50" s="236">
        <f t="shared" si="59"/>
        <v>0.3</v>
      </c>
      <c r="AB50" s="236">
        <f t="shared" si="59"/>
        <v>0.3</v>
      </c>
      <c r="AC50" s="236">
        <f t="shared" si="59"/>
        <v>0.3</v>
      </c>
      <c r="AD50" s="236">
        <f t="shared" si="59"/>
        <v>0.3</v>
      </c>
      <c r="AE50" s="236">
        <f t="shared" si="59"/>
        <v>0.3</v>
      </c>
      <c r="AF50" s="236">
        <f t="shared" si="59"/>
        <v>0.3</v>
      </c>
      <c r="AG50" s="236">
        <f t="shared" si="59"/>
        <v>0.3</v>
      </c>
      <c r="AH50" s="219"/>
      <c r="AI50" s="236">
        <f t="shared" si="51"/>
        <v>0.3</v>
      </c>
      <c r="AJ50" s="236">
        <f t="shared" ref="AJ50:AT50" si="60">AI50</f>
        <v>0.3</v>
      </c>
      <c r="AK50" s="236">
        <f t="shared" si="60"/>
        <v>0.3</v>
      </c>
      <c r="AL50" s="236">
        <f t="shared" si="60"/>
        <v>0.3</v>
      </c>
      <c r="AM50" s="236">
        <f t="shared" si="60"/>
        <v>0.3</v>
      </c>
      <c r="AN50" s="236">
        <f t="shared" si="60"/>
        <v>0.3</v>
      </c>
      <c r="AO50" s="236">
        <f t="shared" si="60"/>
        <v>0.3</v>
      </c>
      <c r="AP50" s="236">
        <f t="shared" si="60"/>
        <v>0.3</v>
      </c>
      <c r="AQ50" s="236">
        <f t="shared" si="60"/>
        <v>0.3</v>
      </c>
      <c r="AR50" s="236">
        <f t="shared" si="60"/>
        <v>0.3</v>
      </c>
      <c r="AS50" s="236">
        <f t="shared" si="60"/>
        <v>0.3</v>
      </c>
      <c r="AT50" s="236">
        <f t="shared" si="60"/>
        <v>0.3</v>
      </c>
    </row>
    <row r="51" spans="1:46" ht="13.5" customHeight="1" x14ac:dyDescent="0.3">
      <c r="A51" s="219"/>
      <c r="B51" s="219"/>
      <c r="C51" s="228" t="s">
        <v>32</v>
      </c>
      <c r="D51" s="237" t="s">
        <v>122</v>
      </c>
      <c r="E51" s="89"/>
      <c r="F51" s="219"/>
      <c r="G51" s="219"/>
      <c r="H51" s="7"/>
      <c r="I51" s="7"/>
      <c r="J51" s="238">
        <f t="shared" ref="J51:AG51" si="61">SUM(J46:J50)</f>
        <v>3.3</v>
      </c>
      <c r="K51" s="238">
        <f t="shared" si="61"/>
        <v>3.3</v>
      </c>
      <c r="L51" s="238">
        <f t="shared" si="61"/>
        <v>3.3</v>
      </c>
      <c r="M51" s="238">
        <f t="shared" si="61"/>
        <v>3.3</v>
      </c>
      <c r="N51" s="238">
        <f t="shared" si="61"/>
        <v>3.3</v>
      </c>
      <c r="O51" s="238">
        <f t="shared" si="61"/>
        <v>3.3</v>
      </c>
      <c r="P51" s="238">
        <f t="shared" si="61"/>
        <v>3.3</v>
      </c>
      <c r="Q51" s="238">
        <f t="shared" si="61"/>
        <v>3.3</v>
      </c>
      <c r="R51" s="238">
        <f t="shared" si="61"/>
        <v>3.3</v>
      </c>
      <c r="S51" s="238">
        <f t="shared" si="61"/>
        <v>3.3</v>
      </c>
      <c r="T51" s="238">
        <f t="shared" si="61"/>
        <v>3.3</v>
      </c>
      <c r="U51" s="238">
        <f t="shared" si="61"/>
        <v>3.3</v>
      </c>
      <c r="V51" s="238">
        <f t="shared" si="61"/>
        <v>3.3</v>
      </c>
      <c r="W51" s="238">
        <f t="shared" si="61"/>
        <v>3.3</v>
      </c>
      <c r="X51" s="238">
        <f t="shared" si="61"/>
        <v>3.3</v>
      </c>
      <c r="Y51" s="238">
        <f t="shared" si="61"/>
        <v>3.3</v>
      </c>
      <c r="Z51" s="238">
        <f t="shared" si="61"/>
        <v>3.3</v>
      </c>
      <c r="AA51" s="238">
        <f t="shared" si="61"/>
        <v>3.3</v>
      </c>
      <c r="AB51" s="238">
        <f t="shared" si="61"/>
        <v>3.3</v>
      </c>
      <c r="AC51" s="238">
        <f t="shared" si="61"/>
        <v>3.3</v>
      </c>
      <c r="AD51" s="238">
        <f t="shared" si="61"/>
        <v>3.3</v>
      </c>
      <c r="AE51" s="238">
        <f t="shared" si="61"/>
        <v>3.3</v>
      </c>
      <c r="AF51" s="238">
        <f t="shared" si="61"/>
        <v>3.3</v>
      </c>
      <c r="AG51" s="238">
        <f t="shared" si="61"/>
        <v>3.3</v>
      </c>
      <c r="AH51" s="219"/>
      <c r="AI51" s="238">
        <f t="shared" ref="AI51:AT51" si="62">SUM(AI46:AI50)</f>
        <v>3.3</v>
      </c>
      <c r="AJ51" s="238">
        <f t="shared" si="62"/>
        <v>3.3</v>
      </c>
      <c r="AK51" s="238">
        <f t="shared" si="62"/>
        <v>3.3</v>
      </c>
      <c r="AL51" s="238">
        <f t="shared" si="62"/>
        <v>3.3</v>
      </c>
      <c r="AM51" s="238">
        <f t="shared" si="62"/>
        <v>3.3</v>
      </c>
      <c r="AN51" s="238">
        <f t="shared" si="62"/>
        <v>3.3</v>
      </c>
      <c r="AO51" s="238">
        <f t="shared" si="62"/>
        <v>3.3</v>
      </c>
      <c r="AP51" s="238">
        <f t="shared" si="62"/>
        <v>3.3</v>
      </c>
      <c r="AQ51" s="238">
        <f t="shared" si="62"/>
        <v>3.3</v>
      </c>
      <c r="AR51" s="238">
        <f t="shared" si="62"/>
        <v>3.3</v>
      </c>
      <c r="AS51" s="238">
        <f t="shared" si="62"/>
        <v>3.3</v>
      </c>
      <c r="AT51" s="238">
        <f t="shared" si="62"/>
        <v>3.3</v>
      </c>
    </row>
    <row r="52" spans="1:46" ht="13.5" customHeight="1" x14ac:dyDescent="0.3">
      <c r="A52" s="219"/>
      <c r="B52" s="219"/>
      <c r="C52" s="219"/>
      <c r="D52" s="89"/>
      <c r="E52" s="89"/>
      <c r="F52" s="219"/>
      <c r="G52" s="219"/>
      <c r="H52" s="7"/>
      <c r="I52" s="7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219"/>
      <c r="AH52" s="219"/>
      <c r="AI52" s="219"/>
      <c r="AJ52" s="219"/>
      <c r="AK52" s="219"/>
      <c r="AL52" s="219"/>
      <c r="AM52" s="219"/>
      <c r="AN52" s="219"/>
      <c r="AO52" s="219"/>
      <c r="AP52" s="219"/>
      <c r="AQ52" s="219"/>
      <c r="AR52" s="219"/>
      <c r="AS52" s="219"/>
      <c r="AT52" s="219"/>
    </row>
    <row r="53" spans="1:46" ht="13.5" customHeight="1" x14ac:dyDescent="0.3">
      <c r="A53" s="7"/>
      <c r="B53" s="219"/>
      <c r="C53" s="228" t="s">
        <v>32</v>
      </c>
      <c r="D53" s="237" t="s">
        <v>122</v>
      </c>
      <c r="E53" s="7"/>
      <c r="F53" s="7"/>
      <c r="G53" s="7"/>
      <c r="H53" s="7"/>
      <c r="I53" s="7"/>
      <c r="J53" s="238">
        <f t="shared" ref="J53:AT53" si="63">J51</f>
        <v>3.3</v>
      </c>
      <c r="K53" s="238">
        <f t="shared" si="63"/>
        <v>3.3</v>
      </c>
      <c r="L53" s="238">
        <f t="shared" si="63"/>
        <v>3.3</v>
      </c>
      <c r="M53" s="238">
        <f t="shared" si="63"/>
        <v>3.3</v>
      </c>
      <c r="N53" s="238">
        <f t="shared" si="63"/>
        <v>3.3</v>
      </c>
      <c r="O53" s="238">
        <f t="shared" si="63"/>
        <v>3.3</v>
      </c>
      <c r="P53" s="238">
        <f t="shared" si="63"/>
        <v>3.3</v>
      </c>
      <c r="Q53" s="238">
        <f t="shared" si="63"/>
        <v>3.3</v>
      </c>
      <c r="R53" s="238">
        <f t="shared" si="63"/>
        <v>3.3</v>
      </c>
      <c r="S53" s="238">
        <f t="shared" si="63"/>
        <v>3.3</v>
      </c>
      <c r="T53" s="238">
        <f t="shared" si="63"/>
        <v>3.3</v>
      </c>
      <c r="U53" s="238">
        <f t="shared" si="63"/>
        <v>3.3</v>
      </c>
      <c r="V53" s="238">
        <f t="shared" si="63"/>
        <v>3.3</v>
      </c>
      <c r="W53" s="238">
        <f t="shared" si="63"/>
        <v>3.3</v>
      </c>
      <c r="X53" s="238">
        <f t="shared" si="63"/>
        <v>3.3</v>
      </c>
      <c r="Y53" s="238">
        <f t="shared" si="63"/>
        <v>3.3</v>
      </c>
      <c r="Z53" s="238">
        <f t="shared" si="63"/>
        <v>3.3</v>
      </c>
      <c r="AA53" s="238">
        <f t="shared" si="63"/>
        <v>3.3</v>
      </c>
      <c r="AB53" s="238">
        <f t="shared" si="63"/>
        <v>3.3</v>
      </c>
      <c r="AC53" s="238">
        <f t="shared" si="63"/>
        <v>3.3</v>
      </c>
      <c r="AD53" s="238">
        <f t="shared" si="63"/>
        <v>3.3</v>
      </c>
      <c r="AE53" s="238">
        <f t="shared" si="63"/>
        <v>3.3</v>
      </c>
      <c r="AF53" s="238">
        <f t="shared" si="63"/>
        <v>3.3</v>
      </c>
      <c r="AG53" s="238">
        <f t="shared" si="63"/>
        <v>3.3</v>
      </c>
      <c r="AH53" s="219">
        <f t="shared" si="63"/>
        <v>0</v>
      </c>
      <c r="AI53" s="238">
        <f t="shared" si="63"/>
        <v>3.3</v>
      </c>
      <c r="AJ53" s="238">
        <f t="shared" si="63"/>
        <v>3.3</v>
      </c>
      <c r="AK53" s="238">
        <f t="shared" si="63"/>
        <v>3.3</v>
      </c>
      <c r="AL53" s="238">
        <f t="shared" si="63"/>
        <v>3.3</v>
      </c>
      <c r="AM53" s="238">
        <f t="shared" si="63"/>
        <v>3.3</v>
      </c>
      <c r="AN53" s="238">
        <f t="shared" si="63"/>
        <v>3.3</v>
      </c>
      <c r="AO53" s="238">
        <f t="shared" si="63"/>
        <v>3.3</v>
      </c>
      <c r="AP53" s="238">
        <f t="shared" si="63"/>
        <v>3.3</v>
      </c>
      <c r="AQ53" s="238">
        <f t="shared" si="63"/>
        <v>3.3</v>
      </c>
      <c r="AR53" s="238">
        <f t="shared" si="63"/>
        <v>3.3</v>
      </c>
      <c r="AS53" s="238">
        <f t="shared" si="63"/>
        <v>3.3</v>
      </c>
      <c r="AT53" s="238">
        <f t="shared" si="63"/>
        <v>3.3</v>
      </c>
    </row>
    <row r="54" spans="1:46" ht="13.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219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</row>
    <row r="55" spans="1:46" ht="13.5" customHeight="1" x14ac:dyDescent="0.3">
      <c r="A55" s="80" t="s">
        <v>0</v>
      </c>
      <c r="B55" s="80" t="s">
        <v>488</v>
      </c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</row>
    <row r="56" spans="1:46" ht="13.5" customHeight="1" x14ac:dyDescent="0.3">
      <c r="A56" s="219"/>
      <c r="B56" s="219"/>
      <c r="C56" s="219"/>
      <c r="D56" s="89"/>
      <c r="E56" s="8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  <c r="AG56" s="219"/>
      <c r="AH56" s="219"/>
      <c r="AI56" s="219"/>
      <c r="AJ56" s="219"/>
      <c r="AK56" s="219"/>
      <c r="AL56" s="219"/>
      <c r="AM56" s="219"/>
      <c r="AN56" s="219"/>
      <c r="AO56" s="219"/>
      <c r="AP56" s="219"/>
      <c r="AQ56" s="219"/>
      <c r="AR56" s="219"/>
      <c r="AS56" s="219"/>
      <c r="AT56" s="219"/>
    </row>
    <row r="57" spans="1:46" ht="13.5" customHeight="1" x14ac:dyDescent="0.3">
      <c r="A57" s="219"/>
      <c r="B57" s="228" t="s">
        <v>502</v>
      </c>
      <c r="C57" s="219"/>
      <c r="D57" s="89"/>
      <c r="E57" s="89"/>
      <c r="F57" s="219"/>
      <c r="G57" s="219"/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  <c r="AA57" s="219"/>
      <c r="AB57" s="219"/>
      <c r="AC57" s="219"/>
      <c r="AD57" s="219"/>
      <c r="AE57" s="219"/>
      <c r="AF57" s="219"/>
      <c r="AG57" s="219"/>
      <c r="AH57" s="219"/>
      <c r="AI57" s="219"/>
      <c r="AJ57" s="219"/>
      <c r="AK57" s="219"/>
      <c r="AL57" s="219"/>
      <c r="AM57" s="219"/>
      <c r="AN57" s="219"/>
      <c r="AO57" s="219"/>
      <c r="AP57" s="219"/>
      <c r="AQ57" s="219"/>
      <c r="AR57" s="219"/>
      <c r="AS57" s="219"/>
      <c r="AT57" s="219"/>
    </row>
    <row r="58" spans="1:46" ht="13.5" customHeight="1" x14ac:dyDescent="0.3">
      <c r="A58" s="219"/>
      <c r="B58" s="219"/>
      <c r="C58" s="219"/>
      <c r="D58" s="89"/>
      <c r="E58" s="89"/>
      <c r="F58" s="219"/>
      <c r="G58" s="219"/>
      <c r="H58" s="21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  <c r="AA58" s="219"/>
      <c r="AB58" s="219"/>
      <c r="AC58" s="219"/>
      <c r="AD58" s="219"/>
      <c r="AE58" s="219"/>
      <c r="AF58" s="219"/>
      <c r="AG58" s="219"/>
      <c r="AH58" s="219"/>
      <c r="AI58" s="219"/>
      <c r="AJ58" s="219"/>
      <c r="AK58" s="219"/>
      <c r="AL58" s="219"/>
      <c r="AM58" s="219"/>
      <c r="AN58" s="219"/>
      <c r="AO58" s="219"/>
      <c r="AP58" s="219"/>
      <c r="AQ58" s="219"/>
      <c r="AR58" s="219"/>
      <c r="AS58" s="219"/>
      <c r="AT58" s="219"/>
    </row>
    <row r="59" spans="1:46" ht="13.5" customHeight="1" x14ac:dyDescent="0.3">
      <c r="A59" s="219"/>
      <c r="B59" s="230" t="s">
        <v>492</v>
      </c>
      <c r="C59" s="228"/>
      <c r="D59" s="89"/>
      <c r="E59" s="89"/>
      <c r="F59" s="219"/>
      <c r="G59" s="219"/>
      <c r="H59" s="219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  <c r="AA59" s="219"/>
      <c r="AB59" s="219"/>
      <c r="AC59" s="219"/>
      <c r="AD59" s="219"/>
      <c r="AE59" s="219"/>
      <c r="AF59" s="219"/>
      <c r="AG59" s="219"/>
      <c r="AH59" s="219"/>
      <c r="AI59" s="219"/>
      <c r="AJ59" s="219"/>
      <c r="AK59" s="219"/>
      <c r="AL59" s="219"/>
      <c r="AM59" s="219"/>
      <c r="AN59" s="219"/>
      <c r="AO59" s="219"/>
      <c r="AP59" s="219"/>
      <c r="AQ59" s="219"/>
      <c r="AR59" s="219"/>
      <c r="AS59" s="219"/>
      <c r="AT59" s="219"/>
    </row>
    <row r="60" spans="1:46" ht="13.5" customHeight="1" x14ac:dyDescent="0.3">
      <c r="A60" s="219"/>
      <c r="B60" s="219">
        <v>1</v>
      </c>
      <c r="C60" s="219" t="str">
        <f>C46</f>
        <v>Директор фермы</v>
      </c>
      <c r="D60" s="89" t="s">
        <v>477</v>
      </c>
      <c r="E60" s="224" t="s">
        <v>503</v>
      </c>
      <c r="F60" s="235">
        <v>600</v>
      </c>
      <c r="G60" s="219"/>
      <c r="H60" s="7"/>
      <c r="I60" s="219"/>
      <c r="J60" s="234">
        <f t="shared" ref="J60:J64" si="64">F60</f>
        <v>600</v>
      </c>
      <c r="K60" s="223">
        <f t="shared" ref="K60:AG60" si="65">J60*(1+K$6)</f>
        <v>600</v>
      </c>
      <c r="L60" s="223">
        <f t="shared" si="65"/>
        <v>600</v>
      </c>
      <c r="M60" s="223">
        <f t="shared" si="65"/>
        <v>600</v>
      </c>
      <c r="N60" s="223">
        <f t="shared" si="65"/>
        <v>600</v>
      </c>
      <c r="O60" s="223">
        <f t="shared" si="65"/>
        <v>663</v>
      </c>
      <c r="P60" s="223">
        <f t="shared" si="65"/>
        <v>663</v>
      </c>
      <c r="Q60" s="223">
        <f t="shared" si="65"/>
        <v>663</v>
      </c>
      <c r="R60" s="223">
        <f t="shared" si="65"/>
        <v>663</v>
      </c>
      <c r="S60" s="223">
        <f t="shared" si="65"/>
        <v>663</v>
      </c>
      <c r="T60" s="223">
        <f t="shared" si="65"/>
        <v>663</v>
      </c>
      <c r="U60" s="223">
        <f t="shared" si="65"/>
        <v>663</v>
      </c>
      <c r="V60" s="223">
        <f t="shared" si="65"/>
        <v>663</v>
      </c>
      <c r="W60" s="223">
        <f t="shared" si="65"/>
        <v>663</v>
      </c>
      <c r="X60" s="223">
        <f t="shared" si="65"/>
        <v>663</v>
      </c>
      <c r="Y60" s="223">
        <f t="shared" si="65"/>
        <v>663</v>
      </c>
      <c r="Z60" s="223">
        <f t="shared" si="65"/>
        <v>663</v>
      </c>
      <c r="AA60" s="223">
        <f t="shared" si="65"/>
        <v>729.30000000000007</v>
      </c>
      <c r="AB60" s="223">
        <f t="shared" si="65"/>
        <v>729.30000000000007</v>
      </c>
      <c r="AC60" s="223">
        <f t="shared" si="65"/>
        <v>729.30000000000007</v>
      </c>
      <c r="AD60" s="223">
        <f t="shared" si="65"/>
        <v>729.30000000000007</v>
      </c>
      <c r="AE60" s="223">
        <f t="shared" si="65"/>
        <v>729.30000000000007</v>
      </c>
      <c r="AF60" s="223">
        <f t="shared" si="65"/>
        <v>729.30000000000007</v>
      </c>
      <c r="AG60" s="223">
        <f t="shared" si="65"/>
        <v>729.30000000000007</v>
      </c>
      <c r="AH60" s="219"/>
      <c r="AI60" s="223">
        <f t="shared" ref="AI60:AI64" si="66">J60</f>
        <v>600</v>
      </c>
      <c r="AJ60" s="223">
        <f t="shared" ref="AJ60:AT60" si="67">AI60*(1+AJ$6)</f>
        <v>663</v>
      </c>
      <c r="AK60" s="223">
        <f t="shared" si="67"/>
        <v>729.30000000000007</v>
      </c>
      <c r="AL60" s="223">
        <f t="shared" si="67"/>
        <v>798.58350000000007</v>
      </c>
      <c r="AM60" s="223">
        <f t="shared" si="67"/>
        <v>870.45601500000009</v>
      </c>
      <c r="AN60" s="223">
        <f t="shared" si="67"/>
        <v>944.44477627500009</v>
      </c>
      <c r="AO60" s="223">
        <f t="shared" si="67"/>
        <v>1020.0003583770002</v>
      </c>
      <c r="AP60" s="223">
        <f t="shared" si="67"/>
        <v>1091.4003834633902</v>
      </c>
      <c r="AQ60" s="223">
        <f t="shared" si="67"/>
        <v>1162.3414083885104</v>
      </c>
      <c r="AR60" s="223">
        <f t="shared" si="67"/>
        <v>1232.0818928918211</v>
      </c>
      <c r="AS60" s="223">
        <f t="shared" si="67"/>
        <v>1293.6859875364123</v>
      </c>
      <c r="AT60" s="223">
        <f t="shared" si="67"/>
        <v>1358.370286913233</v>
      </c>
    </row>
    <row r="61" spans="1:46" ht="13.5" customHeight="1" x14ac:dyDescent="0.3">
      <c r="A61" s="219"/>
      <c r="B61" s="219">
        <v>2</v>
      </c>
      <c r="C61" s="219" t="str">
        <f>C47</f>
        <v>Ветеринар</v>
      </c>
      <c r="D61" s="89" t="s">
        <v>477</v>
      </c>
      <c r="E61" s="224" t="s">
        <v>503</v>
      </c>
      <c r="F61" s="235">
        <v>400</v>
      </c>
      <c r="G61" s="219"/>
      <c r="H61" s="7"/>
      <c r="I61" s="219"/>
      <c r="J61" s="234">
        <f t="shared" si="64"/>
        <v>400</v>
      </c>
      <c r="K61" s="223">
        <f t="shared" ref="K61:AG61" si="68">J61*(1+K$6)</f>
        <v>400</v>
      </c>
      <c r="L61" s="223">
        <f t="shared" si="68"/>
        <v>400</v>
      </c>
      <c r="M61" s="223">
        <f t="shared" si="68"/>
        <v>400</v>
      </c>
      <c r="N61" s="223">
        <f t="shared" si="68"/>
        <v>400</v>
      </c>
      <c r="O61" s="223">
        <f t="shared" si="68"/>
        <v>442</v>
      </c>
      <c r="P61" s="223">
        <f t="shared" si="68"/>
        <v>442</v>
      </c>
      <c r="Q61" s="223">
        <f t="shared" si="68"/>
        <v>442</v>
      </c>
      <c r="R61" s="223">
        <f t="shared" si="68"/>
        <v>442</v>
      </c>
      <c r="S61" s="223">
        <f t="shared" si="68"/>
        <v>442</v>
      </c>
      <c r="T61" s="223">
        <f t="shared" si="68"/>
        <v>442</v>
      </c>
      <c r="U61" s="223">
        <f t="shared" si="68"/>
        <v>442</v>
      </c>
      <c r="V61" s="223">
        <f t="shared" si="68"/>
        <v>442</v>
      </c>
      <c r="W61" s="223">
        <f t="shared" si="68"/>
        <v>442</v>
      </c>
      <c r="X61" s="223">
        <f t="shared" si="68"/>
        <v>442</v>
      </c>
      <c r="Y61" s="223">
        <f t="shared" si="68"/>
        <v>442</v>
      </c>
      <c r="Z61" s="223">
        <f t="shared" si="68"/>
        <v>442</v>
      </c>
      <c r="AA61" s="223">
        <f t="shared" si="68"/>
        <v>486.20000000000005</v>
      </c>
      <c r="AB61" s="223">
        <f t="shared" si="68"/>
        <v>486.20000000000005</v>
      </c>
      <c r="AC61" s="223">
        <f t="shared" si="68"/>
        <v>486.20000000000005</v>
      </c>
      <c r="AD61" s="223">
        <f t="shared" si="68"/>
        <v>486.20000000000005</v>
      </c>
      <c r="AE61" s="223">
        <f t="shared" si="68"/>
        <v>486.20000000000005</v>
      </c>
      <c r="AF61" s="223">
        <f t="shared" si="68"/>
        <v>486.20000000000005</v>
      </c>
      <c r="AG61" s="223">
        <f t="shared" si="68"/>
        <v>486.20000000000005</v>
      </c>
      <c r="AH61" s="219"/>
      <c r="AI61" s="223">
        <f t="shared" si="66"/>
        <v>400</v>
      </c>
      <c r="AJ61" s="223">
        <f t="shared" ref="AJ61:AT61" si="69">AI61*(1+AJ$6)</f>
        <v>442</v>
      </c>
      <c r="AK61" s="223">
        <f t="shared" si="69"/>
        <v>486.20000000000005</v>
      </c>
      <c r="AL61" s="223">
        <f t="shared" si="69"/>
        <v>532.38900000000001</v>
      </c>
      <c r="AM61" s="223">
        <f t="shared" si="69"/>
        <v>580.30401000000006</v>
      </c>
      <c r="AN61" s="223">
        <f t="shared" si="69"/>
        <v>629.62985085000003</v>
      </c>
      <c r="AO61" s="223">
        <f t="shared" si="69"/>
        <v>680.00023891800004</v>
      </c>
      <c r="AP61" s="223">
        <f t="shared" si="69"/>
        <v>727.60025564226009</v>
      </c>
      <c r="AQ61" s="223">
        <f t="shared" si="69"/>
        <v>774.89427225900693</v>
      </c>
      <c r="AR61" s="223">
        <f t="shared" si="69"/>
        <v>821.38792859454736</v>
      </c>
      <c r="AS61" s="223">
        <f t="shared" si="69"/>
        <v>862.45732502427472</v>
      </c>
      <c r="AT61" s="223">
        <f t="shared" si="69"/>
        <v>905.58019127548846</v>
      </c>
    </row>
    <row r="62" spans="1:46" ht="13.5" customHeight="1" x14ac:dyDescent="0.3">
      <c r="A62" s="219"/>
      <c r="B62" s="219">
        <v>3</v>
      </c>
      <c r="C62" s="219" t="str">
        <f>C48</f>
        <v>Повар</v>
      </c>
      <c r="D62" s="89" t="s">
        <v>477</v>
      </c>
      <c r="E62" s="224" t="s">
        <v>503</v>
      </c>
      <c r="F62" s="235">
        <v>300</v>
      </c>
      <c r="G62" s="219"/>
      <c r="H62" s="7"/>
      <c r="I62" s="219"/>
      <c r="J62" s="234">
        <f t="shared" si="64"/>
        <v>300</v>
      </c>
      <c r="K62" s="223">
        <f t="shared" ref="K62:AG62" si="70">J62*(1+K$6)</f>
        <v>300</v>
      </c>
      <c r="L62" s="223">
        <f t="shared" si="70"/>
        <v>300</v>
      </c>
      <c r="M62" s="223">
        <f t="shared" si="70"/>
        <v>300</v>
      </c>
      <c r="N62" s="223">
        <f t="shared" si="70"/>
        <v>300</v>
      </c>
      <c r="O62" s="223">
        <f t="shared" si="70"/>
        <v>331.5</v>
      </c>
      <c r="P62" s="223">
        <f t="shared" si="70"/>
        <v>331.5</v>
      </c>
      <c r="Q62" s="223">
        <f t="shared" si="70"/>
        <v>331.5</v>
      </c>
      <c r="R62" s="223">
        <f t="shared" si="70"/>
        <v>331.5</v>
      </c>
      <c r="S62" s="223">
        <f t="shared" si="70"/>
        <v>331.5</v>
      </c>
      <c r="T62" s="223">
        <f t="shared" si="70"/>
        <v>331.5</v>
      </c>
      <c r="U62" s="223">
        <f t="shared" si="70"/>
        <v>331.5</v>
      </c>
      <c r="V62" s="223">
        <f t="shared" si="70"/>
        <v>331.5</v>
      </c>
      <c r="W62" s="223">
        <f t="shared" si="70"/>
        <v>331.5</v>
      </c>
      <c r="X62" s="223">
        <f t="shared" si="70"/>
        <v>331.5</v>
      </c>
      <c r="Y62" s="223">
        <f t="shared" si="70"/>
        <v>331.5</v>
      </c>
      <c r="Z62" s="223">
        <f t="shared" si="70"/>
        <v>331.5</v>
      </c>
      <c r="AA62" s="223">
        <f t="shared" si="70"/>
        <v>364.65000000000003</v>
      </c>
      <c r="AB62" s="223">
        <f t="shared" si="70"/>
        <v>364.65000000000003</v>
      </c>
      <c r="AC62" s="223">
        <f t="shared" si="70"/>
        <v>364.65000000000003</v>
      </c>
      <c r="AD62" s="223">
        <f t="shared" si="70"/>
        <v>364.65000000000003</v>
      </c>
      <c r="AE62" s="223">
        <f t="shared" si="70"/>
        <v>364.65000000000003</v>
      </c>
      <c r="AF62" s="223">
        <f t="shared" si="70"/>
        <v>364.65000000000003</v>
      </c>
      <c r="AG62" s="223">
        <f t="shared" si="70"/>
        <v>364.65000000000003</v>
      </c>
      <c r="AH62" s="219"/>
      <c r="AI62" s="223">
        <f t="shared" si="66"/>
        <v>300</v>
      </c>
      <c r="AJ62" s="223">
        <f t="shared" ref="AJ62:AT62" si="71">AI62*(1+AJ$6)</f>
        <v>331.5</v>
      </c>
      <c r="AK62" s="223">
        <f t="shared" si="71"/>
        <v>364.65000000000003</v>
      </c>
      <c r="AL62" s="223">
        <f t="shared" si="71"/>
        <v>399.29175000000004</v>
      </c>
      <c r="AM62" s="223">
        <f t="shared" si="71"/>
        <v>435.22800750000005</v>
      </c>
      <c r="AN62" s="223">
        <f t="shared" si="71"/>
        <v>472.22238813750005</v>
      </c>
      <c r="AO62" s="223">
        <f t="shared" si="71"/>
        <v>510.00017918850011</v>
      </c>
      <c r="AP62" s="223">
        <f t="shared" si="71"/>
        <v>545.7001917316951</v>
      </c>
      <c r="AQ62" s="223">
        <f t="shared" si="71"/>
        <v>581.17070419425522</v>
      </c>
      <c r="AR62" s="223">
        <f t="shared" si="71"/>
        <v>616.04094644591055</v>
      </c>
      <c r="AS62" s="223">
        <f t="shared" si="71"/>
        <v>646.84299376820616</v>
      </c>
      <c r="AT62" s="223">
        <f t="shared" si="71"/>
        <v>679.18514345661652</v>
      </c>
    </row>
    <row r="63" spans="1:46" ht="13.5" customHeight="1" x14ac:dyDescent="0.3">
      <c r="A63" s="219"/>
      <c r="B63" s="219">
        <v>4</v>
      </c>
      <c r="C63" s="219" t="str">
        <f>C49</f>
        <v>Тракторист</v>
      </c>
      <c r="D63" s="89" t="s">
        <v>477</v>
      </c>
      <c r="E63" s="224" t="s">
        <v>503</v>
      </c>
      <c r="F63" s="235">
        <v>400</v>
      </c>
      <c r="G63" s="219"/>
      <c r="H63" s="7"/>
      <c r="I63" s="219"/>
      <c r="J63" s="234">
        <f t="shared" si="64"/>
        <v>400</v>
      </c>
      <c r="K63" s="223">
        <f t="shared" ref="K63:AG63" si="72">J63*(1+K$6)</f>
        <v>400</v>
      </c>
      <c r="L63" s="223">
        <f t="shared" si="72"/>
        <v>400</v>
      </c>
      <c r="M63" s="223">
        <f t="shared" si="72"/>
        <v>400</v>
      </c>
      <c r="N63" s="223">
        <f t="shared" si="72"/>
        <v>400</v>
      </c>
      <c r="O63" s="223">
        <f t="shared" si="72"/>
        <v>442</v>
      </c>
      <c r="P63" s="223">
        <f t="shared" si="72"/>
        <v>442</v>
      </c>
      <c r="Q63" s="223">
        <f t="shared" si="72"/>
        <v>442</v>
      </c>
      <c r="R63" s="223">
        <f t="shared" si="72"/>
        <v>442</v>
      </c>
      <c r="S63" s="223">
        <f t="shared" si="72"/>
        <v>442</v>
      </c>
      <c r="T63" s="223">
        <f t="shared" si="72"/>
        <v>442</v>
      </c>
      <c r="U63" s="223">
        <f t="shared" si="72"/>
        <v>442</v>
      </c>
      <c r="V63" s="223">
        <f t="shared" si="72"/>
        <v>442</v>
      </c>
      <c r="W63" s="223">
        <f t="shared" si="72"/>
        <v>442</v>
      </c>
      <c r="X63" s="223">
        <f t="shared" si="72"/>
        <v>442</v>
      </c>
      <c r="Y63" s="223">
        <f t="shared" si="72"/>
        <v>442</v>
      </c>
      <c r="Z63" s="223">
        <f t="shared" si="72"/>
        <v>442</v>
      </c>
      <c r="AA63" s="223">
        <f t="shared" si="72"/>
        <v>486.20000000000005</v>
      </c>
      <c r="AB63" s="223">
        <f t="shared" si="72"/>
        <v>486.20000000000005</v>
      </c>
      <c r="AC63" s="223">
        <f t="shared" si="72"/>
        <v>486.20000000000005</v>
      </c>
      <c r="AD63" s="223">
        <f t="shared" si="72"/>
        <v>486.20000000000005</v>
      </c>
      <c r="AE63" s="223">
        <f t="shared" si="72"/>
        <v>486.20000000000005</v>
      </c>
      <c r="AF63" s="223">
        <f t="shared" si="72"/>
        <v>486.20000000000005</v>
      </c>
      <c r="AG63" s="223">
        <f t="shared" si="72"/>
        <v>486.20000000000005</v>
      </c>
      <c r="AH63" s="219"/>
      <c r="AI63" s="223">
        <f t="shared" si="66"/>
        <v>400</v>
      </c>
      <c r="AJ63" s="223">
        <f t="shared" ref="AJ63:AT63" si="73">AI63*(1+AJ$6)</f>
        <v>442</v>
      </c>
      <c r="AK63" s="223">
        <f t="shared" si="73"/>
        <v>486.20000000000005</v>
      </c>
      <c r="AL63" s="223">
        <f t="shared" si="73"/>
        <v>532.38900000000001</v>
      </c>
      <c r="AM63" s="223">
        <f t="shared" si="73"/>
        <v>580.30401000000006</v>
      </c>
      <c r="AN63" s="223">
        <f t="shared" si="73"/>
        <v>629.62985085000003</v>
      </c>
      <c r="AO63" s="223">
        <f t="shared" si="73"/>
        <v>680.00023891800004</v>
      </c>
      <c r="AP63" s="223">
        <f t="shared" si="73"/>
        <v>727.60025564226009</v>
      </c>
      <c r="AQ63" s="223">
        <f t="shared" si="73"/>
        <v>774.89427225900693</v>
      </c>
      <c r="AR63" s="223">
        <f t="shared" si="73"/>
        <v>821.38792859454736</v>
      </c>
      <c r="AS63" s="223">
        <f t="shared" si="73"/>
        <v>862.45732502427472</v>
      </c>
      <c r="AT63" s="223">
        <f t="shared" si="73"/>
        <v>905.58019127548846</v>
      </c>
    </row>
    <row r="64" spans="1:46" ht="13.5" customHeight="1" x14ac:dyDescent="0.3">
      <c r="A64" s="219"/>
      <c r="B64" s="219">
        <v>5</v>
      </c>
      <c r="C64" s="219" t="str">
        <f>C50</f>
        <v xml:space="preserve">Бухглатер </v>
      </c>
      <c r="D64" s="89" t="s">
        <v>477</v>
      </c>
      <c r="E64" s="224" t="s">
        <v>503</v>
      </c>
      <c r="F64" s="235">
        <v>300</v>
      </c>
      <c r="G64" s="219"/>
      <c r="H64" s="7"/>
      <c r="I64" s="219"/>
      <c r="J64" s="234">
        <f t="shared" si="64"/>
        <v>300</v>
      </c>
      <c r="K64" s="223">
        <f t="shared" ref="K64:AG64" si="74">J64*(1+K$6)</f>
        <v>300</v>
      </c>
      <c r="L64" s="223">
        <f t="shared" si="74"/>
        <v>300</v>
      </c>
      <c r="M64" s="223">
        <f t="shared" si="74"/>
        <v>300</v>
      </c>
      <c r="N64" s="223">
        <f t="shared" si="74"/>
        <v>300</v>
      </c>
      <c r="O64" s="223">
        <f t="shared" si="74"/>
        <v>331.5</v>
      </c>
      <c r="P64" s="223">
        <f t="shared" si="74"/>
        <v>331.5</v>
      </c>
      <c r="Q64" s="223">
        <f t="shared" si="74"/>
        <v>331.5</v>
      </c>
      <c r="R64" s="223">
        <f t="shared" si="74"/>
        <v>331.5</v>
      </c>
      <c r="S64" s="223">
        <f t="shared" si="74"/>
        <v>331.5</v>
      </c>
      <c r="T64" s="223">
        <f t="shared" si="74"/>
        <v>331.5</v>
      </c>
      <c r="U64" s="223">
        <f t="shared" si="74"/>
        <v>331.5</v>
      </c>
      <c r="V64" s="223">
        <f t="shared" si="74"/>
        <v>331.5</v>
      </c>
      <c r="W64" s="223">
        <f t="shared" si="74"/>
        <v>331.5</v>
      </c>
      <c r="X64" s="223">
        <f t="shared" si="74"/>
        <v>331.5</v>
      </c>
      <c r="Y64" s="223">
        <f t="shared" si="74"/>
        <v>331.5</v>
      </c>
      <c r="Z64" s="223">
        <f t="shared" si="74"/>
        <v>331.5</v>
      </c>
      <c r="AA64" s="223">
        <f t="shared" si="74"/>
        <v>364.65000000000003</v>
      </c>
      <c r="AB64" s="223">
        <f t="shared" si="74"/>
        <v>364.65000000000003</v>
      </c>
      <c r="AC64" s="223">
        <f t="shared" si="74"/>
        <v>364.65000000000003</v>
      </c>
      <c r="AD64" s="223">
        <f t="shared" si="74"/>
        <v>364.65000000000003</v>
      </c>
      <c r="AE64" s="223">
        <f t="shared" si="74"/>
        <v>364.65000000000003</v>
      </c>
      <c r="AF64" s="223">
        <f t="shared" si="74"/>
        <v>364.65000000000003</v>
      </c>
      <c r="AG64" s="223">
        <f t="shared" si="74"/>
        <v>364.65000000000003</v>
      </c>
      <c r="AH64" s="219"/>
      <c r="AI64" s="223">
        <f t="shared" si="66"/>
        <v>300</v>
      </c>
      <c r="AJ64" s="223">
        <f t="shared" ref="AJ64:AT64" si="75">AI64*(1+AJ$6)</f>
        <v>331.5</v>
      </c>
      <c r="AK64" s="223">
        <f t="shared" si="75"/>
        <v>364.65000000000003</v>
      </c>
      <c r="AL64" s="223">
        <f t="shared" si="75"/>
        <v>399.29175000000004</v>
      </c>
      <c r="AM64" s="223">
        <f t="shared" si="75"/>
        <v>435.22800750000005</v>
      </c>
      <c r="AN64" s="223">
        <f t="shared" si="75"/>
        <v>472.22238813750005</v>
      </c>
      <c r="AO64" s="223">
        <f t="shared" si="75"/>
        <v>510.00017918850011</v>
      </c>
      <c r="AP64" s="223">
        <f t="shared" si="75"/>
        <v>545.7001917316951</v>
      </c>
      <c r="AQ64" s="223">
        <f t="shared" si="75"/>
        <v>581.17070419425522</v>
      </c>
      <c r="AR64" s="223">
        <f t="shared" si="75"/>
        <v>616.04094644591055</v>
      </c>
      <c r="AS64" s="223">
        <f t="shared" si="75"/>
        <v>646.84299376820616</v>
      </c>
      <c r="AT64" s="223">
        <f t="shared" si="75"/>
        <v>679.18514345661652</v>
      </c>
    </row>
    <row r="65" spans="1:46" ht="13.5" customHeight="1" x14ac:dyDescent="0.3">
      <c r="A65" s="219"/>
      <c r="B65" s="219"/>
      <c r="C65" s="219"/>
      <c r="D65" s="89"/>
      <c r="E65" s="89"/>
      <c r="F65" s="219"/>
      <c r="G65" s="219"/>
      <c r="H65" s="7"/>
      <c r="I65" s="219"/>
      <c r="J65" s="219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  <c r="AA65" s="219"/>
      <c r="AB65" s="219"/>
      <c r="AC65" s="219"/>
      <c r="AD65" s="219"/>
      <c r="AE65" s="219"/>
      <c r="AF65" s="219"/>
      <c r="AG65" s="219"/>
      <c r="AH65" s="219"/>
      <c r="AI65" s="219"/>
      <c r="AJ65" s="219"/>
      <c r="AK65" s="219"/>
      <c r="AL65" s="219"/>
      <c r="AM65" s="219"/>
      <c r="AN65" s="219"/>
      <c r="AO65" s="219"/>
      <c r="AP65" s="219"/>
      <c r="AQ65" s="219"/>
      <c r="AR65" s="219"/>
      <c r="AS65" s="219"/>
      <c r="AT65" s="219"/>
    </row>
    <row r="66" spans="1:46" ht="13.5" customHeight="1" x14ac:dyDescent="0.3">
      <c r="A66" s="7"/>
      <c r="B66" s="7"/>
      <c r="C66" s="7"/>
      <c r="D66" s="7"/>
      <c r="E66" s="7"/>
      <c r="F66" s="7"/>
      <c r="G66" s="7"/>
      <c r="H66" s="7"/>
      <c r="I66" s="219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</row>
    <row r="67" spans="1:46" ht="13.5" customHeight="1" x14ac:dyDescent="0.3">
      <c r="A67" s="80" t="s">
        <v>0</v>
      </c>
      <c r="B67" s="80" t="s">
        <v>504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</row>
    <row r="68" spans="1:46" ht="13.5" customHeight="1" x14ac:dyDescent="0.3">
      <c r="A68" s="239"/>
      <c r="B68" s="239"/>
      <c r="C68" s="239"/>
      <c r="D68" s="240"/>
      <c r="E68" s="240"/>
      <c r="F68" s="239"/>
      <c r="G68" s="239"/>
      <c r="H68" s="239"/>
      <c r="I68" s="239"/>
      <c r="J68" s="239"/>
      <c r="K68" s="239"/>
      <c r="L68" s="239"/>
      <c r="M68" s="239"/>
      <c r="N68" s="239"/>
      <c r="O68" s="239"/>
      <c r="P68" s="239"/>
      <c r="Q68" s="239"/>
      <c r="R68" s="239"/>
      <c r="S68" s="239"/>
      <c r="T68" s="239"/>
      <c r="U68" s="239"/>
      <c r="V68" s="239"/>
      <c r="W68" s="239"/>
      <c r="X68" s="239"/>
      <c r="Y68" s="239"/>
      <c r="Z68" s="239"/>
      <c r="AA68" s="239"/>
      <c r="AB68" s="239"/>
      <c r="AC68" s="239"/>
      <c r="AD68" s="239"/>
      <c r="AE68" s="239"/>
      <c r="AF68" s="239"/>
      <c r="AG68" s="239"/>
      <c r="AH68" s="239"/>
      <c r="AI68" s="239"/>
      <c r="AJ68" s="239"/>
      <c r="AK68" s="239"/>
      <c r="AL68" s="239"/>
      <c r="AM68" s="239"/>
      <c r="AN68" s="239"/>
      <c r="AO68" s="239"/>
      <c r="AP68" s="239"/>
      <c r="AQ68" s="239"/>
      <c r="AR68" s="239"/>
      <c r="AS68" s="239"/>
      <c r="AT68" s="239"/>
    </row>
    <row r="69" spans="1:46" ht="13.5" customHeight="1" x14ac:dyDescent="0.3">
      <c r="A69" s="239"/>
      <c r="B69" s="230" t="s">
        <v>492</v>
      </c>
      <c r="C69" s="228"/>
      <c r="D69" s="240"/>
      <c r="E69" s="240"/>
      <c r="F69" s="239"/>
      <c r="G69" s="239"/>
      <c r="H69" s="239"/>
      <c r="I69" s="239"/>
      <c r="J69" s="239"/>
      <c r="K69" s="239"/>
      <c r="L69" s="239"/>
      <c r="M69" s="239"/>
      <c r="N69" s="239"/>
      <c r="O69" s="239"/>
      <c r="P69" s="239"/>
      <c r="Q69" s="239"/>
      <c r="R69" s="239"/>
      <c r="S69" s="239"/>
      <c r="T69" s="239"/>
      <c r="U69" s="239"/>
      <c r="V69" s="239"/>
      <c r="W69" s="239"/>
      <c r="X69" s="239"/>
      <c r="Y69" s="239"/>
      <c r="Z69" s="239"/>
      <c r="AA69" s="239"/>
      <c r="AB69" s="239"/>
      <c r="AC69" s="239"/>
      <c r="AD69" s="239"/>
      <c r="AE69" s="239"/>
      <c r="AF69" s="239"/>
      <c r="AG69" s="239"/>
      <c r="AH69" s="239"/>
      <c r="AI69" s="239"/>
      <c r="AJ69" s="239"/>
      <c r="AK69" s="239"/>
      <c r="AL69" s="239"/>
      <c r="AM69" s="239"/>
      <c r="AN69" s="239"/>
      <c r="AO69" s="239"/>
      <c r="AP69" s="239"/>
      <c r="AQ69" s="239"/>
      <c r="AR69" s="239"/>
      <c r="AS69" s="239"/>
      <c r="AT69" s="239"/>
    </row>
    <row r="70" spans="1:46" ht="13.5" customHeight="1" x14ac:dyDescent="0.3">
      <c r="A70" s="239"/>
      <c r="B70" s="219">
        <v>1</v>
      </c>
      <c r="C70" s="219" t="str">
        <f>C60</f>
        <v>Директор фермы</v>
      </c>
      <c r="D70" s="89" t="s">
        <v>4</v>
      </c>
      <c r="E70" s="224" t="s">
        <v>498</v>
      </c>
      <c r="F70" s="239"/>
      <c r="G70" s="239"/>
      <c r="H70" s="7"/>
      <c r="I70" s="219"/>
      <c r="J70" s="223">
        <f t="shared" ref="J70:AG70" si="76">J46*J60</f>
        <v>600</v>
      </c>
      <c r="K70" s="223">
        <f t="shared" si="76"/>
        <v>600</v>
      </c>
      <c r="L70" s="223">
        <f t="shared" si="76"/>
        <v>600</v>
      </c>
      <c r="M70" s="223">
        <f t="shared" si="76"/>
        <v>600</v>
      </c>
      <c r="N70" s="223">
        <f t="shared" si="76"/>
        <v>600</v>
      </c>
      <c r="O70" s="223">
        <f t="shared" si="76"/>
        <v>663</v>
      </c>
      <c r="P70" s="223">
        <f t="shared" si="76"/>
        <v>663</v>
      </c>
      <c r="Q70" s="223">
        <f t="shared" si="76"/>
        <v>663</v>
      </c>
      <c r="R70" s="223">
        <f t="shared" si="76"/>
        <v>663</v>
      </c>
      <c r="S70" s="223">
        <f t="shared" si="76"/>
        <v>663</v>
      </c>
      <c r="T70" s="223">
        <f t="shared" si="76"/>
        <v>663</v>
      </c>
      <c r="U70" s="223">
        <f t="shared" si="76"/>
        <v>663</v>
      </c>
      <c r="V70" s="223">
        <f t="shared" si="76"/>
        <v>663</v>
      </c>
      <c r="W70" s="223">
        <f t="shared" si="76"/>
        <v>663</v>
      </c>
      <c r="X70" s="223">
        <f t="shared" si="76"/>
        <v>663</v>
      </c>
      <c r="Y70" s="223">
        <f t="shared" si="76"/>
        <v>663</v>
      </c>
      <c r="Z70" s="223">
        <f t="shared" si="76"/>
        <v>663</v>
      </c>
      <c r="AA70" s="223">
        <f t="shared" si="76"/>
        <v>729.30000000000007</v>
      </c>
      <c r="AB70" s="223">
        <f t="shared" si="76"/>
        <v>729.30000000000007</v>
      </c>
      <c r="AC70" s="223">
        <f t="shared" si="76"/>
        <v>729.30000000000007</v>
      </c>
      <c r="AD70" s="223">
        <f t="shared" si="76"/>
        <v>729.30000000000007</v>
      </c>
      <c r="AE70" s="223">
        <f t="shared" si="76"/>
        <v>729.30000000000007</v>
      </c>
      <c r="AF70" s="223">
        <f t="shared" si="76"/>
        <v>729.30000000000007</v>
      </c>
      <c r="AG70" s="223">
        <f t="shared" si="76"/>
        <v>729.30000000000007</v>
      </c>
      <c r="AH70" s="219"/>
      <c r="AI70" s="223">
        <f t="shared" ref="AI70:AJ70" si="77">-SUMIF($J$12:$AG$12,AI$12,$J70:$AG70)</f>
        <v>-3000</v>
      </c>
      <c r="AJ70" s="223">
        <f t="shared" si="77"/>
        <v>-7956</v>
      </c>
      <c r="AK70" s="223">
        <f t="shared" ref="AK70:AT70" si="78">-AK46*AK60*AK$10</f>
        <v>-8751.6</v>
      </c>
      <c r="AL70" s="223">
        <f t="shared" si="78"/>
        <v>-9583.0020000000004</v>
      </c>
      <c r="AM70" s="223">
        <f t="shared" si="78"/>
        <v>-10445.472180000001</v>
      </c>
      <c r="AN70" s="223">
        <f t="shared" si="78"/>
        <v>-11333.337315300001</v>
      </c>
      <c r="AO70" s="223">
        <f t="shared" si="78"/>
        <v>-12240.004300524002</v>
      </c>
      <c r="AP70" s="223">
        <f t="shared" si="78"/>
        <v>-13096.804601560681</v>
      </c>
      <c r="AQ70" s="223">
        <f t="shared" si="78"/>
        <v>-13948.096900662125</v>
      </c>
      <c r="AR70" s="223">
        <f t="shared" si="78"/>
        <v>-14784.982714701853</v>
      </c>
      <c r="AS70" s="223">
        <f t="shared" si="78"/>
        <v>-15524.231850436947</v>
      </c>
      <c r="AT70" s="223">
        <f t="shared" si="78"/>
        <v>-16300.443442958796</v>
      </c>
    </row>
    <row r="71" spans="1:46" ht="13.5" customHeight="1" x14ac:dyDescent="0.3">
      <c r="A71" s="239"/>
      <c r="B71" s="219">
        <v>2</v>
      </c>
      <c r="C71" s="219" t="str">
        <f>C61</f>
        <v>Ветеринар</v>
      </c>
      <c r="D71" s="89" t="s">
        <v>4</v>
      </c>
      <c r="E71" s="224" t="s">
        <v>498</v>
      </c>
      <c r="F71" s="239"/>
      <c r="G71" s="239"/>
      <c r="H71" s="7"/>
      <c r="I71" s="219"/>
      <c r="J71" s="223">
        <f t="shared" ref="J71:AG71" si="79">J47*J61</f>
        <v>200</v>
      </c>
      <c r="K71" s="223">
        <f t="shared" si="79"/>
        <v>200</v>
      </c>
      <c r="L71" s="223">
        <f t="shared" si="79"/>
        <v>200</v>
      </c>
      <c r="M71" s="223">
        <f t="shared" si="79"/>
        <v>200</v>
      </c>
      <c r="N71" s="223">
        <f t="shared" si="79"/>
        <v>200</v>
      </c>
      <c r="O71" s="223">
        <f t="shared" si="79"/>
        <v>221</v>
      </c>
      <c r="P71" s="223">
        <f t="shared" si="79"/>
        <v>221</v>
      </c>
      <c r="Q71" s="223">
        <f t="shared" si="79"/>
        <v>221</v>
      </c>
      <c r="R71" s="223">
        <f t="shared" si="79"/>
        <v>221</v>
      </c>
      <c r="S71" s="223">
        <f t="shared" si="79"/>
        <v>221</v>
      </c>
      <c r="T71" s="223">
        <f t="shared" si="79"/>
        <v>221</v>
      </c>
      <c r="U71" s="223">
        <f t="shared" si="79"/>
        <v>221</v>
      </c>
      <c r="V71" s="223">
        <f t="shared" si="79"/>
        <v>221</v>
      </c>
      <c r="W71" s="223">
        <f t="shared" si="79"/>
        <v>221</v>
      </c>
      <c r="X71" s="223">
        <f t="shared" si="79"/>
        <v>221</v>
      </c>
      <c r="Y71" s="223">
        <f t="shared" si="79"/>
        <v>221</v>
      </c>
      <c r="Z71" s="223">
        <f t="shared" si="79"/>
        <v>221</v>
      </c>
      <c r="AA71" s="223">
        <f t="shared" si="79"/>
        <v>243.10000000000002</v>
      </c>
      <c r="AB71" s="223">
        <f t="shared" si="79"/>
        <v>243.10000000000002</v>
      </c>
      <c r="AC71" s="223">
        <f t="shared" si="79"/>
        <v>243.10000000000002</v>
      </c>
      <c r="AD71" s="223">
        <f t="shared" si="79"/>
        <v>243.10000000000002</v>
      </c>
      <c r="AE71" s="223">
        <f t="shared" si="79"/>
        <v>243.10000000000002</v>
      </c>
      <c r="AF71" s="223">
        <f t="shared" si="79"/>
        <v>243.10000000000002</v>
      </c>
      <c r="AG71" s="223">
        <f t="shared" si="79"/>
        <v>243.10000000000002</v>
      </c>
      <c r="AH71" s="219"/>
      <c r="AI71" s="223">
        <f t="shared" ref="AI71:AJ71" si="80">-SUMIF($J$12:$AG$12,AI$12,$J71:$AG71)</f>
        <v>-1000</v>
      </c>
      <c r="AJ71" s="223">
        <f t="shared" si="80"/>
        <v>-2652</v>
      </c>
      <c r="AK71" s="223">
        <f t="shared" ref="AK71:AT71" si="81">-AK47*AK61*AK$10</f>
        <v>-2917.2000000000003</v>
      </c>
      <c r="AL71" s="223">
        <f t="shared" si="81"/>
        <v>-3194.3339999999998</v>
      </c>
      <c r="AM71" s="223">
        <f t="shared" si="81"/>
        <v>-3481.8240600000004</v>
      </c>
      <c r="AN71" s="223">
        <f t="shared" si="81"/>
        <v>-3777.7791051000004</v>
      </c>
      <c r="AO71" s="223">
        <f t="shared" si="81"/>
        <v>-4080.0014335080004</v>
      </c>
      <c r="AP71" s="223">
        <f t="shared" si="81"/>
        <v>-4365.6015338535608</v>
      </c>
      <c r="AQ71" s="223">
        <f t="shared" si="81"/>
        <v>-4649.3656335540418</v>
      </c>
      <c r="AR71" s="223">
        <f t="shared" si="81"/>
        <v>-4928.3275715672844</v>
      </c>
      <c r="AS71" s="223">
        <f t="shared" si="81"/>
        <v>-5174.7439501456483</v>
      </c>
      <c r="AT71" s="223">
        <f t="shared" si="81"/>
        <v>-5433.4811476529303</v>
      </c>
    </row>
    <row r="72" spans="1:46" ht="13.5" customHeight="1" x14ac:dyDescent="0.3">
      <c r="A72" s="239"/>
      <c r="B72" s="219">
        <v>3</v>
      </c>
      <c r="C72" s="219" t="str">
        <f>C62</f>
        <v>Повар</v>
      </c>
      <c r="D72" s="89" t="s">
        <v>4</v>
      </c>
      <c r="E72" s="224" t="s">
        <v>498</v>
      </c>
      <c r="F72" s="239"/>
      <c r="G72" s="239"/>
      <c r="H72" s="7"/>
      <c r="I72" s="219"/>
      <c r="J72" s="223">
        <f t="shared" ref="J72:AG72" si="82">J48*J62</f>
        <v>150</v>
      </c>
      <c r="K72" s="223">
        <f t="shared" si="82"/>
        <v>150</v>
      </c>
      <c r="L72" s="223">
        <f t="shared" si="82"/>
        <v>150</v>
      </c>
      <c r="M72" s="223">
        <f t="shared" si="82"/>
        <v>150</v>
      </c>
      <c r="N72" s="223">
        <f t="shared" si="82"/>
        <v>150</v>
      </c>
      <c r="O72" s="223">
        <f t="shared" si="82"/>
        <v>165.75</v>
      </c>
      <c r="P72" s="223">
        <f t="shared" si="82"/>
        <v>165.75</v>
      </c>
      <c r="Q72" s="223">
        <f t="shared" si="82"/>
        <v>165.75</v>
      </c>
      <c r="R72" s="223">
        <f t="shared" si="82"/>
        <v>165.75</v>
      </c>
      <c r="S72" s="223">
        <f t="shared" si="82"/>
        <v>165.75</v>
      </c>
      <c r="T72" s="223">
        <f t="shared" si="82"/>
        <v>165.75</v>
      </c>
      <c r="U72" s="223">
        <f t="shared" si="82"/>
        <v>165.75</v>
      </c>
      <c r="V72" s="223">
        <f t="shared" si="82"/>
        <v>165.75</v>
      </c>
      <c r="W72" s="223">
        <f t="shared" si="82"/>
        <v>165.75</v>
      </c>
      <c r="X72" s="223">
        <f t="shared" si="82"/>
        <v>165.75</v>
      </c>
      <c r="Y72" s="223">
        <f t="shared" si="82"/>
        <v>165.75</v>
      </c>
      <c r="Z72" s="223">
        <f t="shared" si="82"/>
        <v>165.75</v>
      </c>
      <c r="AA72" s="223">
        <f t="shared" si="82"/>
        <v>182.32500000000002</v>
      </c>
      <c r="AB72" s="223">
        <f t="shared" si="82"/>
        <v>182.32500000000002</v>
      </c>
      <c r="AC72" s="223">
        <f t="shared" si="82"/>
        <v>182.32500000000002</v>
      </c>
      <c r="AD72" s="223">
        <f t="shared" si="82"/>
        <v>182.32500000000002</v>
      </c>
      <c r="AE72" s="223">
        <f t="shared" si="82"/>
        <v>182.32500000000002</v>
      </c>
      <c r="AF72" s="223">
        <f t="shared" si="82"/>
        <v>182.32500000000002</v>
      </c>
      <c r="AG72" s="223">
        <f t="shared" si="82"/>
        <v>182.32500000000002</v>
      </c>
      <c r="AH72" s="219"/>
      <c r="AI72" s="223">
        <f t="shared" ref="AI72:AJ72" si="83">-SUMIF($J$12:$AG$12,AI$12,$J72:$AG72)</f>
        <v>-750</v>
      </c>
      <c r="AJ72" s="223">
        <f t="shared" si="83"/>
        <v>-1989</v>
      </c>
      <c r="AK72" s="223">
        <f t="shared" ref="AK72:AT72" si="84">-AK48*AK62*AK$10</f>
        <v>-2187.9</v>
      </c>
      <c r="AL72" s="223">
        <f t="shared" si="84"/>
        <v>-2395.7505000000001</v>
      </c>
      <c r="AM72" s="223">
        <f t="shared" si="84"/>
        <v>-2611.3680450000002</v>
      </c>
      <c r="AN72" s="223">
        <f t="shared" si="84"/>
        <v>-2833.3343288250003</v>
      </c>
      <c r="AO72" s="223">
        <f t="shared" si="84"/>
        <v>-3060.0010751310006</v>
      </c>
      <c r="AP72" s="223">
        <f t="shared" si="84"/>
        <v>-3274.2011503901704</v>
      </c>
      <c r="AQ72" s="223">
        <f t="shared" si="84"/>
        <v>-3487.0242251655313</v>
      </c>
      <c r="AR72" s="223">
        <f t="shared" si="84"/>
        <v>-3696.2456786754633</v>
      </c>
      <c r="AS72" s="223">
        <f t="shared" si="84"/>
        <v>-3881.0579626092367</v>
      </c>
      <c r="AT72" s="223">
        <f t="shared" si="84"/>
        <v>-4075.1108607396991</v>
      </c>
    </row>
    <row r="73" spans="1:46" ht="13.5" customHeight="1" x14ac:dyDescent="0.3">
      <c r="A73" s="239"/>
      <c r="B73" s="219">
        <v>4</v>
      </c>
      <c r="C73" s="219" t="str">
        <f>C63</f>
        <v>Тракторист</v>
      </c>
      <c r="D73" s="89" t="s">
        <v>4</v>
      </c>
      <c r="E73" s="224" t="s">
        <v>498</v>
      </c>
      <c r="F73" s="239"/>
      <c r="G73" s="239"/>
      <c r="H73" s="7"/>
      <c r="I73" s="219"/>
      <c r="J73" s="223">
        <f t="shared" ref="J73:AG73" si="85">J49*J63</f>
        <v>400</v>
      </c>
      <c r="K73" s="223">
        <f t="shared" si="85"/>
        <v>400</v>
      </c>
      <c r="L73" s="223">
        <f t="shared" si="85"/>
        <v>400</v>
      </c>
      <c r="M73" s="223">
        <f t="shared" si="85"/>
        <v>400</v>
      </c>
      <c r="N73" s="223">
        <f t="shared" si="85"/>
        <v>400</v>
      </c>
      <c r="O73" s="223">
        <f t="shared" si="85"/>
        <v>442</v>
      </c>
      <c r="P73" s="223">
        <f t="shared" si="85"/>
        <v>442</v>
      </c>
      <c r="Q73" s="223">
        <f t="shared" si="85"/>
        <v>442</v>
      </c>
      <c r="R73" s="223">
        <f t="shared" si="85"/>
        <v>442</v>
      </c>
      <c r="S73" s="223">
        <f t="shared" si="85"/>
        <v>442</v>
      </c>
      <c r="T73" s="223">
        <f t="shared" si="85"/>
        <v>442</v>
      </c>
      <c r="U73" s="223">
        <f t="shared" si="85"/>
        <v>442</v>
      </c>
      <c r="V73" s="223">
        <f t="shared" si="85"/>
        <v>442</v>
      </c>
      <c r="W73" s="223">
        <f t="shared" si="85"/>
        <v>442</v>
      </c>
      <c r="X73" s="223">
        <f t="shared" si="85"/>
        <v>442</v>
      </c>
      <c r="Y73" s="223">
        <f t="shared" si="85"/>
        <v>442</v>
      </c>
      <c r="Z73" s="223">
        <f t="shared" si="85"/>
        <v>442</v>
      </c>
      <c r="AA73" s="223">
        <f t="shared" si="85"/>
        <v>486.20000000000005</v>
      </c>
      <c r="AB73" s="223">
        <f t="shared" si="85"/>
        <v>486.20000000000005</v>
      </c>
      <c r="AC73" s="223">
        <f t="shared" si="85"/>
        <v>486.20000000000005</v>
      </c>
      <c r="AD73" s="223">
        <f t="shared" si="85"/>
        <v>486.20000000000005</v>
      </c>
      <c r="AE73" s="223">
        <f t="shared" si="85"/>
        <v>486.20000000000005</v>
      </c>
      <c r="AF73" s="223">
        <f t="shared" si="85"/>
        <v>486.20000000000005</v>
      </c>
      <c r="AG73" s="223">
        <f t="shared" si="85"/>
        <v>486.20000000000005</v>
      </c>
      <c r="AH73" s="219"/>
      <c r="AI73" s="223">
        <f t="shared" ref="AI73:AJ73" si="86">-SUMIF($J$12:$AG$12,AI$12,$J73:$AG73)</f>
        <v>-2000</v>
      </c>
      <c r="AJ73" s="223">
        <f t="shared" si="86"/>
        <v>-5304</v>
      </c>
      <c r="AK73" s="223">
        <f t="shared" ref="AK73:AT73" si="87">-AK49*AK63*AK$10</f>
        <v>-5834.4000000000005</v>
      </c>
      <c r="AL73" s="223">
        <f t="shared" si="87"/>
        <v>-6388.6679999999997</v>
      </c>
      <c r="AM73" s="223">
        <f t="shared" si="87"/>
        <v>-6963.6481200000007</v>
      </c>
      <c r="AN73" s="223">
        <f t="shared" si="87"/>
        <v>-7555.5582102000008</v>
      </c>
      <c r="AO73" s="223">
        <f t="shared" si="87"/>
        <v>-8160.0028670160009</v>
      </c>
      <c r="AP73" s="223">
        <f t="shared" si="87"/>
        <v>-8731.2030677071216</v>
      </c>
      <c r="AQ73" s="223">
        <f t="shared" si="87"/>
        <v>-9298.7312671080836</v>
      </c>
      <c r="AR73" s="223">
        <f t="shared" si="87"/>
        <v>-9856.6551431345688</v>
      </c>
      <c r="AS73" s="223">
        <f t="shared" si="87"/>
        <v>-10349.487900291297</v>
      </c>
      <c r="AT73" s="223">
        <f t="shared" si="87"/>
        <v>-10866.962295305861</v>
      </c>
    </row>
    <row r="74" spans="1:46" ht="13.5" customHeight="1" x14ac:dyDescent="0.3">
      <c r="A74" s="239"/>
      <c r="B74" s="219">
        <v>5</v>
      </c>
      <c r="C74" s="219" t="str">
        <f>C64</f>
        <v xml:space="preserve">Бухглатер </v>
      </c>
      <c r="D74" s="89" t="s">
        <v>4</v>
      </c>
      <c r="E74" s="224" t="s">
        <v>498</v>
      </c>
      <c r="F74" s="239"/>
      <c r="G74" s="239"/>
      <c r="H74" s="7"/>
      <c r="I74" s="219"/>
      <c r="J74" s="223">
        <f t="shared" ref="J74:AG74" si="88">J50*J64</f>
        <v>90</v>
      </c>
      <c r="K74" s="223">
        <f t="shared" si="88"/>
        <v>90</v>
      </c>
      <c r="L74" s="223">
        <f t="shared" si="88"/>
        <v>90</v>
      </c>
      <c r="M74" s="223">
        <f t="shared" si="88"/>
        <v>90</v>
      </c>
      <c r="N74" s="223">
        <f t="shared" si="88"/>
        <v>90</v>
      </c>
      <c r="O74" s="223">
        <f t="shared" si="88"/>
        <v>99.45</v>
      </c>
      <c r="P74" s="223">
        <f t="shared" si="88"/>
        <v>99.45</v>
      </c>
      <c r="Q74" s="223">
        <f t="shared" si="88"/>
        <v>99.45</v>
      </c>
      <c r="R74" s="223">
        <f t="shared" si="88"/>
        <v>99.45</v>
      </c>
      <c r="S74" s="223">
        <f t="shared" si="88"/>
        <v>99.45</v>
      </c>
      <c r="T74" s="223">
        <f t="shared" si="88"/>
        <v>99.45</v>
      </c>
      <c r="U74" s="223">
        <f t="shared" si="88"/>
        <v>99.45</v>
      </c>
      <c r="V74" s="223">
        <f t="shared" si="88"/>
        <v>99.45</v>
      </c>
      <c r="W74" s="223">
        <f t="shared" si="88"/>
        <v>99.45</v>
      </c>
      <c r="X74" s="223">
        <f t="shared" si="88"/>
        <v>99.45</v>
      </c>
      <c r="Y74" s="223">
        <f t="shared" si="88"/>
        <v>99.45</v>
      </c>
      <c r="Z74" s="223">
        <f t="shared" si="88"/>
        <v>99.45</v>
      </c>
      <c r="AA74" s="223">
        <f t="shared" si="88"/>
        <v>109.39500000000001</v>
      </c>
      <c r="AB74" s="223">
        <f t="shared" si="88"/>
        <v>109.39500000000001</v>
      </c>
      <c r="AC74" s="223">
        <f t="shared" si="88"/>
        <v>109.39500000000001</v>
      </c>
      <c r="AD74" s="223">
        <f t="shared" si="88"/>
        <v>109.39500000000001</v>
      </c>
      <c r="AE74" s="223">
        <f t="shared" si="88"/>
        <v>109.39500000000001</v>
      </c>
      <c r="AF74" s="223">
        <f t="shared" si="88"/>
        <v>109.39500000000001</v>
      </c>
      <c r="AG74" s="223">
        <f t="shared" si="88"/>
        <v>109.39500000000001</v>
      </c>
      <c r="AH74" s="219"/>
      <c r="AI74" s="223">
        <f t="shared" ref="AI74:AJ74" si="89">-SUMIF($J$12:$AG$12,AI$12,$J74:$AG74)</f>
        <v>-450</v>
      </c>
      <c r="AJ74" s="223">
        <f t="shared" si="89"/>
        <v>-1193.4000000000003</v>
      </c>
      <c r="AK74" s="223">
        <f t="shared" ref="AK74:AT74" si="90">-AK50*AK64*AK$10</f>
        <v>-1312.7400000000002</v>
      </c>
      <c r="AL74" s="223">
        <f t="shared" si="90"/>
        <v>-1437.4503</v>
      </c>
      <c r="AM74" s="223">
        <f t="shared" si="90"/>
        <v>-1566.8208270000002</v>
      </c>
      <c r="AN74" s="223">
        <f t="shared" si="90"/>
        <v>-1700.000597295</v>
      </c>
      <c r="AO74" s="223">
        <f t="shared" si="90"/>
        <v>-1836.0006450786002</v>
      </c>
      <c r="AP74" s="223">
        <f t="shared" si="90"/>
        <v>-1964.5206902341024</v>
      </c>
      <c r="AQ74" s="223">
        <f t="shared" si="90"/>
        <v>-2092.2145350993187</v>
      </c>
      <c r="AR74" s="223">
        <f t="shared" si="90"/>
        <v>-2217.7474072052778</v>
      </c>
      <c r="AS74" s="223">
        <f t="shared" si="90"/>
        <v>-2328.6347775655422</v>
      </c>
      <c r="AT74" s="223">
        <f t="shared" si="90"/>
        <v>-2445.0665164438196</v>
      </c>
    </row>
    <row r="75" spans="1:46" ht="13.5" customHeight="1" x14ac:dyDescent="0.3">
      <c r="A75" s="239"/>
      <c r="B75" s="239"/>
      <c r="C75" s="228" t="s">
        <v>32</v>
      </c>
      <c r="D75" s="237" t="s">
        <v>4</v>
      </c>
      <c r="E75" s="240"/>
      <c r="F75" s="239"/>
      <c r="G75" s="239"/>
      <c r="H75" s="7"/>
      <c r="I75" s="219"/>
      <c r="J75" s="238">
        <f t="shared" ref="J75:AG75" si="91">SUM(J70:J74)</f>
        <v>1440</v>
      </c>
      <c r="K75" s="238">
        <f t="shared" si="91"/>
        <v>1440</v>
      </c>
      <c r="L75" s="238">
        <f t="shared" si="91"/>
        <v>1440</v>
      </c>
      <c r="M75" s="238">
        <f t="shared" si="91"/>
        <v>1440</v>
      </c>
      <c r="N75" s="238">
        <f t="shared" si="91"/>
        <v>1440</v>
      </c>
      <c r="O75" s="238">
        <f t="shared" si="91"/>
        <v>1591.2</v>
      </c>
      <c r="P75" s="238">
        <f t="shared" si="91"/>
        <v>1591.2</v>
      </c>
      <c r="Q75" s="238">
        <f t="shared" si="91"/>
        <v>1591.2</v>
      </c>
      <c r="R75" s="238">
        <f t="shared" si="91"/>
        <v>1591.2</v>
      </c>
      <c r="S75" s="238">
        <f t="shared" si="91"/>
        <v>1591.2</v>
      </c>
      <c r="T75" s="238">
        <f t="shared" si="91"/>
        <v>1591.2</v>
      </c>
      <c r="U75" s="238">
        <f t="shared" si="91"/>
        <v>1591.2</v>
      </c>
      <c r="V75" s="238">
        <f t="shared" si="91"/>
        <v>1591.2</v>
      </c>
      <c r="W75" s="238">
        <f t="shared" si="91"/>
        <v>1591.2</v>
      </c>
      <c r="X75" s="238">
        <f t="shared" si="91"/>
        <v>1591.2</v>
      </c>
      <c r="Y75" s="238">
        <f t="shared" si="91"/>
        <v>1591.2</v>
      </c>
      <c r="Z75" s="238">
        <f t="shared" si="91"/>
        <v>1591.2</v>
      </c>
      <c r="AA75" s="238">
        <f t="shared" si="91"/>
        <v>1750.3200000000002</v>
      </c>
      <c r="AB75" s="238">
        <f t="shared" si="91"/>
        <v>1750.3200000000002</v>
      </c>
      <c r="AC75" s="238">
        <f t="shared" si="91"/>
        <v>1750.3200000000002</v>
      </c>
      <c r="AD75" s="238">
        <f t="shared" si="91"/>
        <v>1750.3200000000002</v>
      </c>
      <c r="AE75" s="238">
        <f t="shared" si="91"/>
        <v>1750.3200000000002</v>
      </c>
      <c r="AF75" s="238">
        <f t="shared" si="91"/>
        <v>1750.3200000000002</v>
      </c>
      <c r="AG75" s="238">
        <f t="shared" si="91"/>
        <v>1750.3200000000002</v>
      </c>
      <c r="AH75" s="219"/>
      <c r="AI75" s="238">
        <f t="shared" ref="AI75:AT75" si="92">SUM(AI70:AI74)</f>
        <v>-7200</v>
      </c>
      <c r="AJ75" s="238">
        <f t="shared" si="92"/>
        <v>-19094.400000000001</v>
      </c>
      <c r="AK75" s="238">
        <f t="shared" si="92"/>
        <v>-21003.840000000004</v>
      </c>
      <c r="AL75" s="238">
        <f t="shared" si="92"/>
        <v>-22999.2048</v>
      </c>
      <c r="AM75" s="238">
        <f t="shared" si="92"/>
        <v>-25069.133232000004</v>
      </c>
      <c r="AN75" s="238">
        <f t="shared" si="92"/>
        <v>-27200.009556720001</v>
      </c>
      <c r="AO75" s="238">
        <f t="shared" si="92"/>
        <v>-29376.010321257603</v>
      </c>
      <c r="AP75" s="238">
        <f t="shared" si="92"/>
        <v>-31432.331043745638</v>
      </c>
      <c r="AQ75" s="238">
        <f t="shared" si="92"/>
        <v>-33475.432561589099</v>
      </c>
      <c r="AR75" s="238">
        <f t="shared" si="92"/>
        <v>-35483.958515284445</v>
      </c>
      <c r="AS75" s="238">
        <f t="shared" si="92"/>
        <v>-37258.156441048675</v>
      </c>
      <c r="AT75" s="238">
        <f t="shared" si="92"/>
        <v>-39121.064263101107</v>
      </c>
    </row>
    <row r="76" spans="1:46" ht="13.5" customHeight="1" x14ac:dyDescent="0.3">
      <c r="A76" s="239"/>
      <c r="B76" s="239"/>
      <c r="C76" s="239"/>
      <c r="D76" s="240"/>
      <c r="E76" s="240"/>
      <c r="F76" s="239"/>
      <c r="G76" s="239"/>
      <c r="H76" s="7"/>
      <c r="I76" s="219"/>
      <c r="J76" s="239"/>
      <c r="K76" s="239"/>
      <c r="L76" s="239"/>
      <c r="M76" s="239"/>
      <c r="N76" s="239"/>
      <c r="O76" s="239"/>
      <c r="P76" s="239"/>
      <c r="Q76" s="239"/>
      <c r="R76" s="239"/>
      <c r="S76" s="239"/>
      <c r="T76" s="239"/>
      <c r="U76" s="239"/>
      <c r="V76" s="239"/>
      <c r="W76" s="239"/>
      <c r="X76" s="239"/>
      <c r="Y76" s="239"/>
      <c r="Z76" s="239"/>
      <c r="AA76" s="239"/>
      <c r="AB76" s="239"/>
      <c r="AC76" s="239"/>
      <c r="AD76" s="239"/>
      <c r="AE76" s="239"/>
      <c r="AF76" s="239"/>
      <c r="AG76" s="239"/>
      <c r="AH76" s="239"/>
      <c r="AI76" s="239"/>
      <c r="AJ76" s="239"/>
      <c r="AK76" s="239"/>
      <c r="AL76" s="239"/>
      <c r="AM76" s="239"/>
      <c r="AN76" s="239"/>
      <c r="AO76" s="239"/>
      <c r="AP76" s="239"/>
      <c r="AQ76" s="239"/>
      <c r="AR76" s="239"/>
      <c r="AS76" s="239"/>
      <c r="AT76" s="239"/>
    </row>
    <row r="77" spans="1:46" ht="13.5" customHeight="1" x14ac:dyDescent="0.3">
      <c r="A77" s="239"/>
      <c r="B77" s="239"/>
      <c r="C77" s="228" t="s">
        <v>32</v>
      </c>
      <c r="D77" s="237" t="s">
        <v>4</v>
      </c>
      <c r="E77" s="240"/>
      <c r="F77" s="239"/>
      <c r="G77" s="239"/>
      <c r="H77" s="7"/>
      <c r="I77" s="219"/>
      <c r="J77" s="238">
        <f t="shared" ref="J77:AT77" si="93">J75</f>
        <v>1440</v>
      </c>
      <c r="K77" s="238">
        <f t="shared" si="93"/>
        <v>1440</v>
      </c>
      <c r="L77" s="238">
        <f t="shared" si="93"/>
        <v>1440</v>
      </c>
      <c r="M77" s="238">
        <f t="shared" si="93"/>
        <v>1440</v>
      </c>
      <c r="N77" s="238">
        <f t="shared" si="93"/>
        <v>1440</v>
      </c>
      <c r="O77" s="238">
        <f t="shared" si="93"/>
        <v>1591.2</v>
      </c>
      <c r="P77" s="238">
        <f t="shared" si="93"/>
        <v>1591.2</v>
      </c>
      <c r="Q77" s="238">
        <f t="shared" si="93"/>
        <v>1591.2</v>
      </c>
      <c r="R77" s="238">
        <f t="shared" si="93"/>
        <v>1591.2</v>
      </c>
      <c r="S77" s="238">
        <f t="shared" si="93"/>
        <v>1591.2</v>
      </c>
      <c r="T77" s="238">
        <f t="shared" si="93"/>
        <v>1591.2</v>
      </c>
      <c r="U77" s="238">
        <f t="shared" si="93"/>
        <v>1591.2</v>
      </c>
      <c r="V77" s="238">
        <f t="shared" si="93"/>
        <v>1591.2</v>
      </c>
      <c r="W77" s="238">
        <f t="shared" si="93"/>
        <v>1591.2</v>
      </c>
      <c r="X77" s="238">
        <f t="shared" si="93"/>
        <v>1591.2</v>
      </c>
      <c r="Y77" s="238">
        <f t="shared" si="93"/>
        <v>1591.2</v>
      </c>
      <c r="Z77" s="238">
        <f t="shared" si="93"/>
        <v>1591.2</v>
      </c>
      <c r="AA77" s="238">
        <f t="shared" si="93"/>
        <v>1750.3200000000002</v>
      </c>
      <c r="AB77" s="238">
        <f t="shared" si="93"/>
        <v>1750.3200000000002</v>
      </c>
      <c r="AC77" s="238">
        <f t="shared" si="93"/>
        <v>1750.3200000000002</v>
      </c>
      <c r="AD77" s="238">
        <f t="shared" si="93"/>
        <v>1750.3200000000002</v>
      </c>
      <c r="AE77" s="238">
        <f t="shared" si="93"/>
        <v>1750.3200000000002</v>
      </c>
      <c r="AF77" s="238">
        <f t="shared" si="93"/>
        <v>1750.3200000000002</v>
      </c>
      <c r="AG77" s="238">
        <f t="shared" si="93"/>
        <v>1750.3200000000002</v>
      </c>
      <c r="AH77" s="219">
        <f t="shared" si="93"/>
        <v>0</v>
      </c>
      <c r="AI77" s="238">
        <f t="shared" si="93"/>
        <v>-7200</v>
      </c>
      <c r="AJ77" s="238">
        <f t="shared" si="93"/>
        <v>-19094.400000000001</v>
      </c>
      <c r="AK77" s="238">
        <f t="shared" si="93"/>
        <v>-21003.840000000004</v>
      </c>
      <c r="AL77" s="238">
        <f t="shared" si="93"/>
        <v>-22999.2048</v>
      </c>
      <c r="AM77" s="238">
        <f t="shared" si="93"/>
        <v>-25069.133232000004</v>
      </c>
      <c r="AN77" s="238">
        <f t="shared" si="93"/>
        <v>-27200.009556720001</v>
      </c>
      <c r="AO77" s="238">
        <f t="shared" si="93"/>
        <v>-29376.010321257603</v>
      </c>
      <c r="AP77" s="238">
        <f t="shared" si="93"/>
        <v>-31432.331043745638</v>
      </c>
      <c r="AQ77" s="238">
        <f t="shared" si="93"/>
        <v>-33475.432561589099</v>
      </c>
      <c r="AR77" s="238">
        <f t="shared" si="93"/>
        <v>-35483.958515284445</v>
      </c>
      <c r="AS77" s="238">
        <f t="shared" si="93"/>
        <v>-37258.156441048675</v>
      </c>
      <c r="AT77" s="238">
        <f t="shared" si="93"/>
        <v>-39121.064263101107</v>
      </c>
    </row>
    <row r="78" spans="1:46" ht="13.5" customHeight="1" x14ac:dyDescent="0.3">
      <c r="A78" s="239"/>
      <c r="B78" s="239"/>
      <c r="C78" s="239"/>
      <c r="D78" s="240"/>
      <c r="E78" s="240"/>
      <c r="F78" s="239"/>
      <c r="G78" s="239"/>
      <c r="H78" s="7"/>
      <c r="I78" s="219"/>
      <c r="J78" s="239"/>
      <c r="K78" s="239"/>
      <c r="L78" s="239"/>
      <c r="M78" s="239"/>
      <c r="N78" s="239"/>
      <c r="O78" s="239"/>
      <c r="P78" s="239"/>
      <c r="Q78" s="239"/>
      <c r="R78" s="239"/>
      <c r="S78" s="239"/>
      <c r="T78" s="239"/>
      <c r="U78" s="239"/>
      <c r="V78" s="239"/>
      <c r="W78" s="239"/>
      <c r="X78" s="239"/>
      <c r="Y78" s="239"/>
      <c r="Z78" s="239"/>
      <c r="AA78" s="239"/>
      <c r="AB78" s="239"/>
      <c r="AC78" s="239"/>
      <c r="AD78" s="239"/>
      <c r="AE78" s="239"/>
      <c r="AF78" s="239"/>
      <c r="AG78" s="239"/>
      <c r="AH78" s="239"/>
      <c r="AI78" s="239"/>
      <c r="AJ78" s="239"/>
      <c r="AK78" s="239"/>
      <c r="AL78" s="239"/>
      <c r="AM78" s="239"/>
      <c r="AN78" s="239"/>
      <c r="AO78" s="239"/>
      <c r="AP78" s="239"/>
      <c r="AQ78" s="239"/>
      <c r="AR78" s="239"/>
      <c r="AS78" s="239"/>
      <c r="AT78" s="239"/>
    </row>
    <row r="79" spans="1:46" ht="13.5" customHeight="1" x14ac:dyDescent="0.3">
      <c r="A79" s="239"/>
      <c r="B79" s="230" t="s">
        <v>505</v>
      </c>
      <c r="C79" s="239"/>
      <c r="D79" s="240"/>
      <c r="E79" s="240"/>
      <c r="F79" s="239"/>
      <c r="G79" s="239"/>
      <c r="H79" s="7"/>
      <c r="I79" s="219"/>
      <c r="J79" s="239"/>
      <c r="K79" s="239"/>
      <c r="L79" s="239"/>
      <c r="M79" s="239"/>
      <c r="N79" s="239"/>
      <c r="O79" s="239"/>
      <c r="P79" s="239"/>
      <c r="Q79" s="239"/>
      <c r="R79" s="239"/>
      <c r="S79" s="239"/>
      <c r="T79" s="239"/>
      <c r="U79" s="239"/>
      <c r="V79" s="239"/>
      <c r="W79" s="239"/>
      <c r="X79" s="239"/>
      <c r="Y79" s="239"/>
      <c r="Z79" s="239"/>
      <c r="AA79" s="239"/>
      <c r="AB79" s="239"/>
      <c r="AC79" s="239"/>
      <c r="AD79" s="239"/>
      <c r="AE79" s="239"/>
      <c r="AF79" s="239"/>
      <c r="AG79" s="239"/>
      <c r="AH79" s="219"/>
      <c r="AI79" s="239"/>
      <c r="AJ79" s="239"/>
      <c r="AK79" s="239"/>
      <c r="AL79" s="239"/>
      <c r="AM79" s="239"/>
      <c r="AN79" s="239"/>
      <c r="AO79" s="239"/>
      <c r="AP79" s="239"/>
      <c r="AQ79" s="239"/>
      <c r="AR79" s="239"/>
      <c r="AS79" s="239"/>
      <c r="AT79" s="239"/>
    </row>
    <row r="80" spans="1:46" ht="13.5" customHeight="1" x14ac:dyDescent="0.3">
      <c r="A80" s="219"/>
      <c r="B80" s="219">
        <v>1</v>
      </c>
      <c r="C80" s="219" t="s">
        <v>492</v>
      </c>
      <c r="D80" s="89" t="s">
        <v>4</v>
      </c>
      <c r="E80" s="224" t="s">
        <v>498</v>
      </c>
      <c r="F80" s="239"/>
      <c r="G80" s="239"/>
      <c r="H80" s="7"/>
      <c r="I80" s="219"/>
      <c r="J80" s="236">
        <f t="shared" ref="J80:AG80" si="94">-J75</f>
        <v>-1440</v>
      </c>
      <c r="K80" s="236">
        <f t="shared" si="94"/>
        <v>-1440</v>
      </c>
      <c r="L80" s="236">
        <f t="shared" si="94"/>
        <v>-1440</v>
      </c>
      <c r="M80" s="236">
        <f t="shared" si="94"/>
        <v>-1440</v>
      </c>
      <c r="N80" s="236">
        <f t="shared" si="94"/>
        <v>-1440</v>
      </c>
      <c r="O80" s="236">
        <f t="shared" si="94"/>
        <v>-1591.2</v>
      </c>
      <c r="P80" s="236">
        <f t="shared" si="94"/>
        <v>-1591.2</v>
      </c>
      <c r="Q80" s="236">
        <f t="shared" si="94"/>
        <v>-1591.2</v>
      </c>
      <c r="R80" s="236">
        <f t="shared" si="94"/>
        <v>-1591.2</v>
      </c>
      <c r="S80" s="236">
        <f t="shared" si="94"/>
        <v>-1591.2</v>
      </c>
      <c r="T80" s="236">
        <f t="shared" si="94"/>
        <v>-1591.2</v>
      </c>
      <c r="U80" s="236">
        <f t="shared" si="94"/>
        <v>-1591.2</v>
      </c>
      <c r="V80" s="236">
        <f t="shared" si="94"/>
        <v>-1591.2</v>
      </c>
      <c r="W80" s="236">
        <f t="shared" si="94"/>
        <v>-1591.2</v>
      </c>
      <c r="X80" s="236">
        <f t="shared" si="94"/>
        <v>-1591.2</v>
      </c>
      <c r="Y80" s="236">
        <f t="shared" si="94"/>
        <v>-1591.2</v>
      </c>
      <c r="Z80" s="236">
        <f t="shared" si="94"/>
        <v>-1591.2</v>
      </c>
      <c r="AA80" s="236">
        <f t="shared" si="94"/>
        <v>-1750.3200000000002</v>
      </c>
      <c r="AB80" s="236">
        <f t="shared" si="94"/>
        <v>-1750.3200000000002</v>
      </c>
      <c r="AC80" s="236">
        <f t="shared" si="94"/>
        <v>-1750.3200000000002</v>
      </c>
      <c r="AD80" s="236">
        <f t="shared" si="94"/>
        <v>-1750.3200000000002</v>
      </c>
      <c r="AE80" s="236">
        <f t="shared" si="94"/>
        <v>-1750.3200000000002</v>
      </c>
      <c r="AF80" s="236">
        <f t="shared" si="94"/>
        <v>-1750.3200000000002</v>
      </c>
      <c r="AG80" s="236">
        <f t="shared" si="94"/>
        <v>-1750.3200000000002</v>
      </c>
      <c r="AH80" s="219"/>
      <c r="AI80" s="236">
        <f t="shared" ref="AI80:AT80" si="95">AI75</f>
        <v>-7200</v>
      </c>
      <c r="AJ80" s="236">
        <f t="shared" si="95"/>
        <v>-19094.400000000001</v>
      </c>
      <c r="AK80" s="236">
        <f t="shared" si="95"/>
        <v>-21003.840000000004</v>
      </c>
      <c r="AL80" s="236">
        <f t="shared" si="95"/>
        <v>-22999.2048</v>
      </c>
      <c r="AM80" s="236">
        <f t="shared" si="95"/>
        <v>-25069.133232000004</v>
      </c>
      <c r="AN80" s="236">
        <f t="shared" si="95"/>
        <v>-27200.009556720001</v>
      </c>
      <c r="AO80" s="236">
        <f t="shared" si="95"/>
        <v>-29376.010321257603</v>
      </c>
      <c r="AP80" s="236">
        <f t="shared" si="95"/>
        <v>-31432.331043745638</v>
      </c>
      <c r="AQ80" s="236">
        <f t="shared" si="95"/>
        <v>-33475.432561589099</v>
      </c>
      <c r="AR80" s="236">
        <f t="shared" si="95"/>
        <v>-35483.958515284445</v>
      </c>
      <c r="AS80" s="236">
        <f t="shared" si="95"/>
        <v>-37258.156441048675</v>
      </c>
      <c r="AT80" s="236">
        <f t="shared" si="95"/>
        <v>-39121.064263101107</v>
      </c>
    </row>
    <row r="81" spans="1:46" ht="13.5" customHeight="1" x14ac:dyDescent="0.3">
      <c r="A81" s="239"/>
      <c r="B81" s="239"/>
      <c r="C81" s="228" t="s">
        <v>32</v>
      </c>
      <c r="D81" s="237" t="s">
        <v>4</v>
      </c>
      <c r="E81" s="240"/>
      <c r="F81" s="239"/>
      <c r="G81" s="239"/>
      <c r="H81" s="7"/>
      <c r="I81" s="219"/>
      <c r="J81" s="238">
        <f t="shared" ref="J81:AG81" si="96">SUM(J80:J80)</f>
        <v>-1440</v>
      </c>
      <c r="K81" s="238">
        <f t="shared" si="96"/>
        <v>-1440</v>
      </c>
      <c r="L81" s="238">
        <f t="shared" si="96"/>
        <v>-1440</v>
      </c>
      <c r="M81" s="238">
        <f t="shared" si="96"/>
        <v>-1440</v>
      </c>
      <c r="N81" s="238">
        <f t="shared" si="96"/>
        <v>-1440</v>
      </c>
      <c r="O81" s="238">
        <f t="shared" si="96"/>
        <v>-1591.2</v>
      </c>
      <c r="P81" s="238">
        <f t="shared" si="96"/>
        <v>-1591.2</v>
      </c>
      <c r="Q81" s="238">
        <f t="shared" si="96"/>
        <v>-1591.2</v>
      </c>
      <c r="R81" s="238">
        <f t="shared" si="96"/>
        <v>-1591.2</v>
      </c>
      <c r="S81" s="238">
        <f t="shared" si="96"/>
        <v>-1591.2</v>
      </c>
      <c r="T81" s="238">
        <f t="shared" si="96"/>
        <v>-1591.2</v>
      </c>
      <c r="U81" s="238">
        <f t="shared" si="96"/>
        <v>-1591.2</v>
      </c>
      <c r="V81" s="238">
        <f t="shared" si="96"/>
        <v>-1591.2</v>
      </c>
      <c r="W81" s="238">
        <f t="shared" si="96"/>
        <v>-1591.2</v>
      </c>
      <c r="X81" s="238">
        <f t="shared" si="96"/>
        <v>-1591.2</v>
      </c>
      <c r="Y81" s="238">
        <f t="shared" si="96"/>
        <v>-1591.2</v>
      </c>
      <c r="Z81" s="238">
        <f t="shared" si="96"/>
        <v>-1591.2</v>
      </c>
      <c r="AA81" s="238">
        <f t="shared" si="96"/>
        <v>-1750.3200000000002</v>
      </c>
      <c r="AB81" s="238">
        <f t="shared" si="96"/>
        <v>-1750.3200000000002</v>
      </c>
      <c r="AC81" s="238">
        <f t="shared" si="96"/>
        <v>-1750.3200000000002</v>
      </c>
      <c r="AD81" s="238">
        <f t="shared" si="96"/>
        <v>-1750.3200000000002</v>
      </c>
      <c r="AE81" s="238">
        <f t="shared" si="96"/>
        <v>-1750.3200000000002</v>
      </c>
      <c r="AF81" s="238">
        <f t="shared" si="96"/>
        <v>-1750.3200000000002</v>
      </c>
      <c r="AG81" s="238">
        <f t="shared" si="96"/>
        <v>-1750.3200000000002</v>
      </c>
      <c r="AH81" s="219"/>
      <c r="AI81" s="238">
        <f t="shared" ref="AI81:AT81" si="97">SUM(AI80:AI80)</f>
        <v>-7200</v>
      </c>
      <c r="AJ81" s="238">
        <f t="shared" si="97"/>
        <v>-19094.400000000001</v>
      </c>
      <c r="AK81" s="238">
        <f t="shared" si="97"/>
        <v>-21003.840000000004</v>
      </c>
      <c r="AL81" s="238">
        <f t="shared" si="97"/>
        <v>-22999.2048</v>
      </c>
      <c r="AM81" s="238">
        <f t="shared" si="97"/>
        <v>-25069.133232000004</v>
      </c>
      <c r="AN81" s="238">
        <f t="shared" si="97"/>
        <v>-27200.009556720001</v>
      </c>
      <c r="AO81" s="238">
        <f t="shared" si="97"/>
        <v>-29376.010321257603</v>
      </c>
      <c r="AP81" s="238">
        <f t="shared" si="97"/>
        <v>-31432.331043745638</v>
      </c>
      <c r="AQ81" s="238">
        <f t="shared" si="97"/>
        <v>-33475.432561589099</v>
      </c>
      <c r="AR81" s="238">
        <f t="shared" si="97"/>
        <v>-35483.958515284445</v>
      </c>
      <c r="AS81" s="238">
        <f t="shared" si="97"/>
        <v>-37258.156441048675</v>
      </c>
      <c r="AT81" s="238">
        <f t="shared" si="97"/>
        <v>-39121.064263101107</v>
      </c>
    </row>
    <row r="82" spans="1:46" ht="13.5" customHeight="1" x14ac:dyDescent="0.3">
      <c r="A82" s="239"/>
      <c r="B82" s="239"/>
      <c r="C82" s="239"/>
      <c r="D82" s="240"/>
      <c r="E82" s="240"/>
      <c r="F82" s="239"/>
      <c r="G82" s="239"/>
      <c r="H82" s="239"/>
      <c r="I82" s="239"/>
      <c r="J82" s="239"/>
      <c r="K82" s="239"/>
      <c r="L82" s="239"/>
      <c r="M82" s="239"/>
      <c r="N82" s="239"/>
      <c r="O82" s="239"/>
      <c r="P82" s="239"/>
      <c r="Q82" s="239"/>
      <c r="R82" s="239"/>
      <c r="S82" s="239"/>
      <c r="T82" s="239"/>
      <c r="U82" s="239"/>
      <c r="V82" s="239"/>
      <c r="W82" s="239"/>
      <c r="X82" s="239"/>
      <c r="Y82" s="239"/>
      <c r="Z82" s="239"/>
      <c r="AA82" s="239"/>
      <c r="AB82" s="239"/>
      <c r="AC82" s="239"/>
      <c r="AD82" s="239"/>
      <c r="AE82" s="239"/>
      <c r="AF82" s="239"/>
      <c r="AG82" s="239"/>
      <c r="AH82" s="219"/>
      <c r="AI82" s="239"/>
      <c r="AJ82" s="239"/>
      <c r="AK82" s="239"/>
      <c r="AL82" s="239"/>
      <c r="AM82" s="239"/>
      <c r="AN82" s="239"/>
      <c r="AO82" s="239"/>
      <c r="AP82" s="239"/>
      <c r="AQ82" s="239"/>
      <c r="AR82" s="239"/>
      <c r="AS82" s="239"/>
      <c r="AT82" s="239"/>
    </row>
    <row r="83" spans="1:46" ht="13.5" customHeight="1" x14ac:dyDescent="0.3">
      <c r="A83" s="239"/>
      <c r="B83" s="241"/>
      <c r="C83" s="241"/>
      <c r="D83" s="242"/>
      <c r="E83" s="242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241"/>
      <c r="Q83" s="241"/>
      <c r="R83" s="241"/>
      <c r="S83" s="241"/>
      <c r="T83" s="241"/>
      <c r="U83" s="241"/>
      <c r="V83" s="241"/>
      <c r="W83" s="241"/>
      <c r="X83" s="241"/>
      <c r="Y83" s="241"/>
      <c r="Z83" s="241"/>
      <c r="AA83" s="241"/>
      <c r="AB83" s="241"/>
      <c r="AC83" s="241"/>
      <c r="AD83" s="241"/>
      <c r="AE83" s="241"/>
      <c r="AF83" s="241"/>
      <c r="AG83" s="241"/>
      <c r="AH83" s="241"/>
      <c r="AI83" s="241"/>
      <c r="AJ83" s="241"/>
      <c r="AK83" s="241"/>
      <c r="AL83" s="241"/>
      <c r="AM83" s="241"/>
      <c r="AN83" s="241"/>
      <c r="AO83" s="241"/>
      <c r="AP83" s="241"/>
      <c r="AQ83" s="241"/>
      <c r="AR83" s="241"/>
      <c r="AS83" s="241"/>
      <c r="AT83" s="241"/>
    </row>
    <row r="84" spans="1:46" ht="13.5" customHeight="1" x14ac:dyDescent="0.3">
      <c r="A84" s="239"/>
      <c r="B84" s="239"/>
      <c r="C84" s="239"/>
      <c r="D84" s="240"/>
      <c r="E84" s="240"/>
      <c r="F84" s="239"/>
      <c r="G84" s="239"/>
      <c r="H84" s="239"/>
      <c r="I84" s="239"/>
      <c r="J84" s="239"/>
      <c r="K84" s="239"/>
      <c r="L84" s="239"/>
      <c r="M84" s="239"/>
      <c r="N84" s="239"/>
      <c r="O84" s="239"/>
      <c r="P84" s="239"/>
      <c r="Q84" s="239"/>
      <c r="R84" s="239"/>
      <c r="S84" s="239"/>
      <c r="T84" s="239"/>
      <c r="U84" s="239"/>
      <c r="V84" s="239"/>
      <c r="W84" s="239"/>
      <c r="X84" s="239"/>
      <c r="Y84" s="239"/>
      <c r="Z84" s="239"/>
      <c r="AA84" s="239"/>
      <c r="AB84" s="239"/>
      <c r="AC84" s="239"/>
      <c r="AD84" s="239"/>
      <c r="AE84" s="239"/>
      <c r="AF84" s="239"/>
      <c r="AG84" s="239"/>
      <c r="AH84" s="239"/>
      <c r="AI84" s="239"/>
      <c r="AJ84" s="239"/>
      <c r="AK84" s="239"/>
      <c r="AL84" s="239"/>
      <c r="AM84" s="239"/>
      <c r="AN84" s="239"/>
      <c r="AO84" s="239"/>
      <c r="AP84" s="239"/>
      <c r="AQ84" s="239"/>
      <c r="AR84" s="239"/>
      <c r="AS84" s="239"/>
      <c r="AT84" s="239"/>
    </row>
    <row r="85" spans="1:46" ht="13.5" customHeight="1" x14ac:dyDescent="0.3">
      <c r="A85" s="230"/>
      <c r="B85" s="230" t="s">
        <v>506</v>
      </c>
      <c r="C85" s="239"/>
      <c r="D85" s="240"/>
      <c r="E85" s="240"/>
      <c r="F85" s="239"/>
      <c r="G85" s="239"/>
      <c r="H85" s="239"/>
      <c r="I85" s="239"/>
      <c r="J85" s="239"/>
      <c r="K85" s="239"/>
      <c r="L85" s="239"/>
      <c r="M85" s="239"/>
      <c r="N85" s="239"/>
      <c r="O85" s="239"/>
      <c r="P85" s="239"/>
      <c r="Q85" s="239"/>
      <c r="R85" s="239"/>
      <c r="S85" s="239"/>
      <c r="T85" s="239"/>
      <c r="U85" s="239"/>
      <c r="V85" s="239"/>
      <c r="W85" s="239"/>
      <c r="X85" s="239"/>
      <c r="Y85" s="239"/>
      <c r="Z85" s="239"/>
      <c r="AA85" s="239"/>
      <c r="AB85" s="239"/>
      <c r="AC85" s="239"/>
      <c r="AD85" s="239"/>
      <c r="AE85" s="239"/>
      <c r="AF85" s="239"/>
      <c r="AG85" s="239"/>
      <c r="AH85" s="239"/>
      <c r="AI85" s="239"/>
      <c r="AJ85" s="239"/>
      <c r="AK85" s="239"/>
      <c r="AL85" s="239"/>
      <c r="AM85" s="239"/>
      <c r="AN85" s="239"/>
      <c r="AO85" s="239"/>
      <c r="AP85" s="239"/>
      <c r="AQ85" s="239"/>
      <c r="AR85" s="239"/>
      <c r="AS85" s="239"/>
      <c r="AT85" s="239"/>
    </row>
    <row r="86" spans="1:46" ht="13.5" customHeight="1" x14ac:dyDescent="0.3">
      <c r="A86" s="239"/>
      <c r="B86" s="243"/>
      <c r="C86" s="239"/>
      <c r="D86" s="240"/>
      <c r="E86" s="240"/>
      <c r="F86" s="239"/>
      <c r="G86" s="239"/>
      <c r="H86" s="7"/>
      <c r="I86" s="219"/>
      <c r="J86" s="239"/>
      <c r="K86" s="239"/>
      <c r="L86" s="239"/>
      <c r="M86" s="239"/>
      <c r="N86" s="239"/>
      <c r="O86" s="239"/>
      <c r="P86" s="239"/>
      <c r="Q86" s="239"/>
      <c r="R86" s="239"/>
      <c r="S86" s="239"/>
      <c r="T86" s="239"/>
      <c r="U86" s="239"/>
      <c r="V86" s="239"/>
      <c r="W86" s="239"/>
      <c r="X86" s="239"/>
      <c r="Y86" s="239"/>
      <c r="Z86" s="239"/>
      <c r="AA86" s="239"/>
      <c r="AB86" s="239"/>
      <c r="AC86" s="239"/>
      <c r="AD86" s="239"/>
      <c r="AE86" s="239"/>
      <c r="AF86" s="239"/>
      <c r="AG86" s="239"/>
      <c r="AH86" s="239"/>
      <c r="AI86" s="239"/>
      <c r="AJ86" s="239"/>
      <c r="AK86" s="239"/>
      <c r="AL86" s="239"/>
      <c r="AM86" s="239"/>
      <c r="AN86" s="239"/>
      <c r="AO86" s="239"/>
      <c r="AP86" s="239"/>
      <c r="AQ86" s="239"/>
      <c r="AR86" s="239"/>
      <c r="AS86" s="239"/>
      <c r="AT86" s="239"/>
    </row>
    <row r="87" spans="1:46" ht="13.5" customHeight="1" x14ac:dyDescent="0.3">
      <c r="A87" s="230"/>
      <c r="B87" s="230" t="s">
        <v>492</v>
      </c>
      <c r="C87" s="228"/>
      <c r="D87" s="240"/>
      <c r="E87" s="240"/>
      <c r="F87" s="239"/>
      <c r="G87" s="239"/>
      <c r="H87" s="7"/>
      <c r="I87" s="219"/>
      <c r="J87" s="239"/>
      <c r="K87" s="239"/>
      <c r="L87" s="239"/>
      <c r="M87" s="239"/>
      <c r="N87" s="239"/>
      <c r="O87" s="239"/>
      <c r="P87" s="239"/>
      <c r="Q87" s="239"/>
      <c r="R87" s="239"/>
      <c r="S87" s="239"/>
      <c r="T87" s="239"/>
      <c r="U87" s="239"/>
      <c r="V87" s="239"/>
      <c r="W87" s="239"/>
      <c r="X87" s="239"/>
      <c r="Y87" s="239"/>
      <c r="Z87" s="239"/>
      <c r="AA87" s="239"/>
      <c r="AB87" s="239"/>
      <c r="AC87" s="239"/>
      <c r="AD87" s="239"/>
      <c r="AE87" s="239"/>
      <c r="AF87" s="239"/>
      <c r="AG87" s="239"/>
      <c r="AH87" s="239"/>
      <c r="AI87" s="239"/>
      <c r="AJ87" s="239"/>
      <c r="AK87" s="239"/>
      <c r="AL87" s="239"/>
      <c r="AM87" s="239"/>
      <c r="AN87" s="239"/>
      <c r="AO87" s="239"/>
      <c r="AP87" s="239"/>
      <c r="AQ87" s="239"/>
      <c r="AR87" s="239"/>
      <c r="AS87" s="239"/>
      <c r="AT87" s="239"/>
    </row>
    <row r="88" spans="1:46" ht="13.5" customHeight="1" x14ac:dyDescent="0.3">
      <c r="A88" s="239"/>
      <c r="B88" s="219">
        <v>1</v>
      </c>
      <c r="C88" s="219" t="str">
        <f>C70</f>
        <v>Директор фермы</v>
      </c>
      <c r="D88" s="89" t="s">
        <v>4</v>
      </c>
      <c r="E88" s="224" t="s">
        <v>498</v>
      </c>
      <c r="F88" s="239"/>
      <c r="G88" s="239"/>
      <c r="H88" s="7"/>
      <c r="I88" s="219"/>
      <c r="J88" s="223">
        <f t="shared" ref="J88:AG88" si="98">J70*$F$30</f>
        <v>726</v>
      </c>
      <c r="K88" s="223">
        <f t="shared" si="98"/>
        <v>726</v>
      </c>
      <c r="L88" s="223">
        <f t="shared" si="98"/>
        <v>726</v>
      </c>
      <c r="M88" s="223">
        <f t="shared" si="98"/>
        <v>726</v>
      </c>
      <c r="N88" s="223">
        <f t="shared" si="98"/>
        <v>726</v>
      </c>
      <c r="O88" s="223">
        <f t="shared" si="98"/>
        <v>802.23</v>
      </c>
      <c r="P88" s="223">
        <f t="shared" si="98"/>
        <v>802.23</v>
      </c>
      <c r="Q88" s="223">
        <f t="shared" si="98"/>
        <v>802.23</v>
      </c>
      <c r="R88" s="223">
        <f t="shared" si="98"/>
        <v>802.23</v>
      </c>
      <c r="S88" s="223">
        <f t="shared" si="98"/>
        <v>802.23</v>
      </c>
      <c r="T88" s="223">
        <f t="shared" si="98"/>
        <v>802.23</v>
      </c>
      <c r="U88" s="223">
        <f t="shared" si="98"/>
        <v>802.23</v>
      </c>
      <c r="V88" s="223">
        <f t="shared" si="98"/>
        <v>802.23</v>
      </c>
      <c r="W88" s="223">
        <f t="shared" si="98"/>
        <v>802.23</v>
      </c>
      <c r="X88" s="223">
        <f t="shared" si="98"/>
        <v>802.23</v>
      </c>
      <c r="Y88" s="223">
        <f t="shared" si="98"/>
        <v>802.23</v>
      </c>
      <c r="Z88" s="223">
        <f t="shared" si="98"/>
        <v>802.23</v>
      </c>
      <c r="AA88" s="223">
        <f t="shared" si="98"/>
        <v>882.45300000000009</v>
      </c>
      <c r="AB88" s="223">
        <f t="shared" si="98"/>
        <v>882.45300000000009</v>
      </c>
      <c r="AC88" s="223">
        <f t="shared" si="98"/>
        <v>882.45300000000009</v>
      </c>
      <c r="AD88" s="223">
        <f t="shared" si="98"/>
        <v>882.45300000000009</v>
      </c>
      <c r="AE88" s="223">
        <f t="shared" si="98"/>
        <v>882.45300000000009</v>
      </c>
      <c r="AF88" s="223">
        <f t="shared" si="98"/>
        <v>882.45300000000009</v>
      </c>
      <c r="AG88" s="223">
        <f t="shared" si="98"/>
        <v>882.45300000000009</v>
      </c>
      <c r="AH88" s="239"/>
      <c r="AI88" s="223">
        <f t="shared" ref="AI88:AJ88" si="99">-SUMIF($J$12:$AG$12,AI$12,$J88:$AG88)</f>
        <v>-3630</v>
      </c>
      <c r="AJ88" s="223">
        <f t="shared" si="99"/>
        <v>-9626.7599999999984</v>
      </c>
      <c r="AK88" s="223">
        <f t="shared" ref="AK88:AT88" si="100">AK70*$F$30</f>
        <v>-10589.436</v>
      </c>
      <c r="AL88" s="223">
        <f t="shared" si="100"/>
        <v>-11595.432420000001</v>
      </c>
      <c r="AM88" s="223">
        <f t="shared" si="100"/>
        <v>-12639.021337800001</v>
      </c>
      <c r="AN88" s="223">
        <f t="shared" si="100"/>
        <v>-13713.338151513</v>
      </c>
      <c r="AO88" s="223">
        <f t="shared" si="100"/>
        <v>-14810.405203634042</v>
      </c>
      <c r="AP88" s="223">
        <f t="shared" si="100"/>
        <v>-15847.133567888424</v>
      </c>
      <c r="AQ88" s="223">
        <f t="shared" si="100"/>
        <v>-16877.197249801171</v>
      </c>
      <c r="AR88" s="223">
        <f t="shared" si="100"/>
        <v>-17889.829084789242</v>
      </c>
      <c r="AS88" s="223">
        <f t="shared" si="100"/>
        <v>-18784.320539028704</v>
      </c>
      <c r="AT88" s="223">
        <f t="shared" si="100"/>
        <v>-19723.536565980143</v>
      </c>
    </row>
    <row r="89" spans="1:46" ht="13.5" customHeight="1" x14ac:dyDescent="0.3">
      <c r="A89" s="239"/>
      <c r="B89" s="219">
        <v>2</v>
      </c>
      <c r="C89" s="219" t="str">
        <f>C71</f>
        <v>Ветеринар</v>
      </c>
      <c r="D89" s="89" t="s">
        <v>4</v>
      </c>
      <c r="E89" s="224" t="s">
        <v>498</v>
      </c>
      <c r="F89" s="239"/>
      <c r="G89" s="239"/>
      <c r="H89" s="7"/>
      <c r="I89" s="219"/>
      <c r="J89" s="223">
        <f t="shared" ref="J89:AG89" si="101">J71*$F$30</f>
        <v>242</v>
      </c>
      <c r="K89" s="223">
        <f t="shared" si="101"/>
        <v>242</v>
      </c>
      <c r="L89" s="223">
        <f t="shared" si="101"/>
        <v>242</v>
      </c>
      <c r="M89" s="223">
        <f t="shared" si="101"/>
        <v>242</v>
      </c>
      <c r="N89" s="223">
        <f t="shared" si="101"/>
        <v>242</v>
      </c>
      <c r="O89" s="223">
        <f t="shared" si="101"/>
        <v>267.40999999999997</v>
      </c>
      <c r="P89" s="223">
        <f t="shared" si="101"/>
        <v>267.40999999999997</v>
      </c>
      <c r="Q89" s="223">
        <f t="shared" si="101"/>
        <v>267.40999999999997</v>
      </c>
      <c r="R89" s="223">
        <f t="shared" si="101"/>
        <v>267.40999999999997</v>
      </c>
      <c r="S89" s="223">
        <f t="shared" si="101"/>
        <v>267.40999999999997</v>
      </c>
      <c r="T89" s="223">
        <f t="shared" si="101"/>
        <v>267.40999999999997</v>
      </c>
      <c r="U89" s="223">
        <f t="shared" si="101"/>
        <v>267.40999999999997</v>
      </c>
      <c r="V89" s="223">
        <f t="shared" si="101"/>
        <v>267.40999999999997</v>
      </c>
      <c r="W89" s="223">
        <f t="shared" si="101"/>
        <v>267.40999999999997</v>
      </c>
      <c r="X89" s="223">
        <f t="shared" si="101"/>
        <v>267.40999999999997</v>
      </c>
      <c r="Y89" s="223">
        <f t="shared" si="101"/>
        <v>267.40999999999997</v>
      </c>
      <c r="Z89" s="223">
        <f t="shared" si="101"/>
        <v>267.40999999999997</v>
      </c>
      <c r="AA89" s="223">
        <f t="shared" si="101"/>
        <v>294.15100000000001</v>
      </c>
      <c r="AB89" s="223">
        <f t="shared" si="101"/>
        <v>294.15100000000001</v>
      </c>
      <c r="AC89" s="223">
        <f t="shared" si="101"/>
        <v>294.15100000000001</v>
      </c>
      <c r="AD89" s="223">
        <f t="shared" si="101"/>
        <v>294.15100000000001</v>
      </c>
      <c r="AE89" s="223">
        <f t="shared" si="101"/>
        <v>294.15100000000001</v>
      </c>
      <c r="AF89" s="223">
        <f t="shared" si="101"/>
        <v>294.15100000000001</v>
      </c>
      <c r="AG89" s="223">
        <f t="shared" si="101"/>
        <v>294.15100000000001</v>
      </c>
      <c r="AH89" s="239"/>
      <c r="AI89" s="223">
        <f t="shared" ref="AI89:AJ89" si="102">-SUMIF($J$12:$AG$12,AI$12,$J89:$AG89)</f>
        <v>-1210</v>
      </c>
      <c r="AJ89" s="223">
        <f t="shared" si="102"/>
        <v>-3208.9199999999987</v>
      </c>
      <c r="AK89" s="223">
        <f t="shared" ref="AK89:AT89" si="103">AK71*$F$30</f>
        <v>-3529.8120000000004</v>
      </c>
      <c r="AL89" s="223">
        <f t="shared" si="103"/>
        <v>-3865.1441399999999</v>
      </c>
      <c r="AM89" s="223">
        <f t="shared" si="103"/>
        <v>-4213.0071126000003</v>
      </c>
      <c r="AN89" s="223">
        <f t="shared" si="103"/>
        <v>-4571.1127171710004</v>
      </c>
      <c r="AO89" s="223">
        <f t="shared" si="103"/>
        <v>-4936.8017345446806</v>
      </c>
      <c r="AP89" s="223">
        <f t="shared" si="103"/>
        <v>-5282.3778559628081</v>
      </c>
      <c r="AQ89" s="223">
        <f t="shared" si="103"/>
        <v>-5625.73241660039</v>
      </c>
      <c r="AR89" s="223">
        <f t="shared" si="103"/>
        <v>-5963.2763615964141</v>
      </c>
      <c r="AS89" s="223">
        <f t="shared" si="103"/>
        <v>-6261.440179676234</v>
      </c>
      <c r="AT89" s="223">
        <f t="shared" si="103"/>
        <v>-6574.5121886600455</v>
      </c>
    </row>
    <row r="90" spans="1:46" ht="13.5" customHeight="1" x14ac:dyDescent="0.3">
      <c r="A90" s="239"/>
      <c r="B90" s="219">
        <v>3</v>
      </c>
      <c r="C90" s="219" t="str">
        <f>C72</f>
        <v>Повар</v>
      </c>
      <c r="D90" s="89" t="s">
        <v>4</v>
      </c>
      <c r="E90" s="224" t="s">
        <v>498</v>
      </c>
      <c r="F90" s="239"/>
      <c r="G90" s="239"/>
      <c r="H90" s="7"/>
      <c r="I90" s="219"/>
      <c r="J90" s="223">
        <f t="shared" ref="J90:AG90" si="104">J72*$F$30</f>
        <v>181.5</v>
      </c>
      <c r="K90" s="223">
        <f t="shared" si="104"/>
        <v>181.5</v>
      </c>
      <c r="L90" s="223">
        <f t="shared" si="104"/>
        <v>181.5</v>
      </c>
      <c r="M90" s="223">
        <f t="shared" si="104"/>
        <v>181.5</v>
      </c>
      <c r="N90" s="223">
        <f t="shared" si="104"/>
        <v>181.5</v>
      </c>
      <c r="O90" s="223">
        <f t="shared" si="104"/>
        <v>200.5575</v>
      </c>
      <c r="P90" s="223">
        <f t="shared" si="104"/>
        <v>200.5575</v>
      </c>
      <c r="Q90" s="223">
        <f t="shared" si="104"/>
        <v>200.5575</v>
      </c>
      <c r="R90" s="223">
        <f t="shared" si="104"/>
        <v>200.5575</v>
      </c>
      <c r="S90" s="223">
        <f t="shared" si="104"/>
        <v>200.5575</v>
      </c>
      <c r="T90" s="223">
        <f t="shared" si="104"/>
        <v>200.5575</v>
      </c>
      <c r="U90" s="223">
        <f t="shared" si="104"/>
        <v>200.5575</v>
      </c>
      <c r="V90" s="223">
        <f t="shared" si="104"/>
        <v>200.5575</v>
      </c>
      <c r="W90" s="223">
        <f t="shared" si="104"/>
        <v>200.5575</v>
      </c>
      <c r="X90" s="223">
        <f t="shared" si="104"/>
        <v>200.5575</v>
      </c>
      <c r="Y90" s="223">
        <f t="shared" si="104"/>
        <v>200.5575</v>
      </c>
      <c r="Z90" s="223">
        <f t="shared" si="104"/>
        <v>200.5575</v>
      </c>
      <c r="AA90" s="223">
        <f t="shared" si="104"/>
        <v>220.61325000000002</v>
      </c>
      <c r="AB90" s="223">
        <f t="shared" si="104"/>
        <v>220.61325000000002</v>
      </c>
      <c r="AC90" s="223">
        <f t="shared" si="104"/>
        <v>220.61325000000002</v>
      </c>
      <c r="AD90" s="223">
        <f t="shared" si="104"/>
        <v>220.61325000000002</v>
      </c>
      <c r="AE90" s="223">
        <f t="shared" si="104"/>
        <v>220.61325000000002</v>
      </c>
      <c r="AF90" s="223">
        <f t="shared" si="104"/>
        <v>220.61325000000002</v>
      </c>
      <c r="AG90" s="223">
        <f t="shared" si="104"/>
        <v>220.61325000000002</v>
      </c>
      <c r="AH90" s="239"/>
      <c r="AI90" s="223">
        <f t="shared" ref="AI90:AJ90" si="105">-SUMIF($J$12:$AG$12,AI$12,$J90:$AG90)</f>
        <v>-907.5</v>
      </c>
      <c r="AJ90" s="223">
        <f t="shared" si="105"/>
        <v>-2406.6899999999996</v>
      </c>
      <c r="AK90" s="223">
        <f t="shared" ref="AK90:AT90" si="106">AK72*$F$30</f>
        <v>-2647.3589999999999</v>
      </c>
      <c r="AL90" s="223">
        <f t="shared" si="106"/>
        <v>-2898.8581050000003</v>
      </c>
      <c r="AM90" s="223">
        <f t="shared" si="106"/>
        <v>-3159.7553344500002</v>
      </c>
      <c r="AN90" s="223">
        <f t="shared" si="106"/>
        <v>-3428.3345378782501</v>
      </c>
      <c r="AO90" s="223">
        <f t="shared" si="106"/>
        <v>-3702.6013009085104</v>
      </c>
      <c r="AP90" s="223">
        <f t="shared" si="106"/>
        <v>-3961.7833919721061</v>
      </c>
      <c r="AQ90" s="223">
        <f t="shared" si="106"/>
        <v>-4219.2993124502927</v>
      </c>
      <c r="AR90" s="223">
        <f t="shared" si="106"/>
        <v>-4472.4572711973105</v>
      </c>
      <c r="AS90" s="223">
        <f t="shared" si="106"/>
        <v>-4696.080134757176</v>
      </c>
      <c r="AT90" s="223">
        <f t="shared" si="106"/>
        <v>-4930.8841414950357</v>
      </c>
    </row>
    <row r="91" spans="1:46" ht="13.5" customHeight="1" x14ac:dyDescent="0.3">
      <c r="A91" s="239"/>
      <c r="B91" s="219">
        <v>4</v>
      </c>
      <c r="C91" s="219" t="str">
        <f>C73</f>
        <v>Тракторист</v>
      </c>
      <c r="D91" s="89" t="s">
        <v>4</v>
      </c>
      <c r="E91" s="224" t="s">
        <v>498</v>
      </c>
      <c r="F91" s="239"/>
      <c r="G91" s="239"/>
      <c r="H91" s="7"/>
      <c r="I91" s="219"/>
      <c r="J91" s="223">
        <f t="shared" ref="J91:AG91" si="107">J73*$F$30</f>
        <v>484</v>
      </c>
      <c r="K91" s="223">
        <f t="shared" si="107"/>
        <v>484</v>
      </c>
      <c r="L91" s="223">
        <f t="shared" si="107"/>
        <v>484</v>
      </c>
      <c r="M91" s="223">
        <f t="shared" si="107"/>
        <v>484</v>
      </c>
      <c r="N91" s="223">
        <f t="shared" si="107"/>
        <v>484</v>
      </c>
      <c r="O91" s="223">
        <f t="shared" si="107"/>
        <v>534.81999999999994</v>
      </c>
      <c r="P91" s="223">
        <f t="shared" si="107"/>
        <v>534.81999999999994</v>
      </c>
      <c r="Q91" s="223">
        <f t="shared" si="107"/>
        <v>534.81999999999994</v>
      </c>
      <c r="R91" s="223">
        <f t="shared" si="107"/>
        <v>534.81999999999994</v>
      </c>
      <c r="S91" s="223">
        <f t="shared" si="107"/>
        <v>534.81999999999994</v>
      </c>
      <c r="T91" s="223">
        <f t="shared" si="107"/>
        <v>534.81999999999994</v>
      </c>
      <c r="U91" s="223">
        <f t="shared" si="107"/>
        <v>534.81999999999994</v>
      </c>
      <c r="V91" s="223">
        <f t="shared" si="107"/>
        <v>534.81999999999994</v>
      </c>
      <c r="W91" s="223">
        <f t="shared" si="107"/>
        <v>534.81999999999994</v>
      </c>
      <c r="X91" s="223">
        <f t="shared" si="107"/>
        <v>534.81999999999994</v>
      </c>
      <c r="Y91" s="223">
        <f t="shared" si="107"/>
        <v>534.81999999999994</v>
      </c>
      <c r="Z91" s="223">
        <f t="shared" si="107"/>
        <v>534.81999999999994</v>
      </c>
      <c r="AA91" s="223">
        <f t="shared" si="107"/>
        <v>588.30200000000002</v>
      </c>
      <c r="AB91" s="223">
        <f t="shared" si="107"/>
        <v>588.30200000000002</v>
      </c>
      <c r="AC91" s="223">
        <f t="shared" si="107"/>
        <v>588.30200000000002</v>
      </c>
      <c r="AD91" s="223">
        <f t="shared" si="107"/>
        <v>588.30200000000002</v>
      </c>
      <c r="AE91" s="223">
        <f t="shared" si="107"/>
        <v>588.30200000000002</v>
      </c>
      <c r="AF91" s="223">
        <f t="shared" si="107"/>
        <v>588.30200000000002</v>
      </c>
      <c r="AG91" s="223">
        <f t="shared" si="107"/>
        <v>588.30200000000002</v>
      </c>
      <c r="AH91" s="239"/>
      <c r="AI91" s="223">
        <f t="shared" ref="AI91:AJ91" si="108">-SUMIF($J$12:$AG$12,AI$12,$J91:$AG91)</f>
        <v>-2420</v>
      </c>
      <c r="AJ91" s="223">
        <f t="shared" si="108"/>
        <v>-6417.8399999999974</v>
      </c>
      <c r="AK91" s="223">
        <f t="shared" ref="AK91:AT91" si="109">AK73*$F$30</f>
        <v>-7059.6240000000007</v>
      </c>
      <c r="AL91" s="223">
        <f t="shared" si="109"/>
        <v>-7730.2882799999998</v>
      </c>
      <c r="AM91" s="223">
        <f t="shared" si="109"/>
        <v>-8426.0142252000005</v>
      </c>
      <c r="AN91" s="223">
        <f t="shared" si="109"/>
        <v>-9142.2254343420009</v>
      </c>
      <c r="AO91" s="223">
        <f t="shared" si="109"/>
        <v>-9873.6034690893612</v>
      </c>
      <c r="AP91" s="223">
        <f t="shared" si="109"/>
        <v>-10564.755711925616</v>
      </c>
      <c r="AQ91" s="223">
        <f t="shared" si="109"/>
        <v>-11251.46483320078</v>
      </c>
      <c r="AR91" s="223">
        <f t="shared" si="109"/>
        <v>-11926.552723192828</v>
      </c>
      <c r="AS91" s="223">
        <f t="shared" si="109"/>
        <v>-12522.880359352468</v>
      </c>
      <c r="AT91" s="223">
        <f t="shared" si="109"/>
        <v>-13149.024377320091</v>
      </c>
    </row>
    <row r="92" spans="1:46" ht="13.5" customHeight="1" x14ac:dyDescent="0.3">
      <c r="A92" s="239"/>
      <c r="B92" s="219">
        <v>5</v>
      </c>
      <c r="C92" s="219" t="str">
        <f>C74</f>
        <v xml:space="preserve">Бухглатер </v>
      </c>
      <c r="D92" s="89" t="s">
        <v>4</v>
      </c>
      <c r="E92" s="224" t="s">
        <v>498</v>
      </c>
      <c r="F92" s="239"/>
      <c r="G92" s="239"/>
      <c r="H92" s="7"/>
      <c r="I92" s="219"/>
      <c r="J92" s="223">
        <f t="shared" ref="J92:AG92" si="110">J74*$F$30</f>
        <v>108.89999999999999</v>
      </c>
      <c r="K92" s="223">
        <f t="shared" si="110"/>
        <v>108.89999999999999</v>
      </c>
      <c r="L92" s="223">
        <f t="shared" si="110"/>
        <v>108.89999999999999</v>
      </c>
      <c r="M92" s="223">
        <f t="shared" si="110"/>
        <v>108.89999999999999</v>
      </c>
      <c r="N92" s="223">
        <f t="shared" si="110"/>
        <v>108.89999999999999</v>
      </c>
      <c r="O92" s="223">
        <f t="shared" si="110"/>
        <v>120.33450000000001</v>
      </c>
      <c r="P92" s="223">
        <f t="shared" si="110"/>
        <v>120.33450000000001</v>
      </c>
      <c r="Q92" s="223">
        <f t="shared" si="110"/>
        <v>120.33450000000001</v>
      </c>
      <c r="R92" s="223">
        <f t="shared" si="110"/>
        <v>120.33450000000001</v>
      </c>
      <c r="S92" s="223">
        <f t="shared" si="110"/>
        <v>120.33450000000001</v>
      </c>
      <c r="T92" s="223">
        <f t="shared" si="110"/>
        <v>120.33450000000001</v>
      </c>
      <c r="U92" s="223">
        <f t="shared" si="110"/>
        <v>120.33450000000001</v>
      </c>
      <c r="V92" s="223">
        <f t="shared" si="110"/>
        <v>120.33450000000001</v>
      </c>
      <c r="W92" s="223">
        <f t="shared" si="110"/>
        <v>120.33450000000001</v>
      </c>
      <c r="X92" s="223">
        <f t="shared" si="110"/>
        <v>120.33450000000001</v>
      </c>
      <c r="Y92" s="223">
        <f t="shared" si="110"/>
        <v>120.33450000000001</v>
      </c>
      <c r="Z92" s="223">
        <f t="shared" si="110"/>
        <v>120.33450000000001</v>
      </c>
      <c r="AA92" s="223">
        <f t="shared" si="110"/>
        <v>132.36795000000001</v>
      </c>
      <c r="AB92" s="223">
        <f t="shared" si="110"/>
        <v>132.36795000000001</v>
      </c>
      <c r="AC92" s="223">
        <f t="shared" si="110"/>
        <v>132.36795000000001</v>
      </c>
      <c r="AD92" s="223">
        <f t="shared" si="110"/>
        <v>132.36795000000001</v>
      </c>
      <c r="AE92" s="223">
        <f t="shared" si="110"/>
        <v>132.36795000000001</v>
      </c>
      <c r="AF92" s="223">
        <f t="shared" si="110"/>
        <v>132.36795000000001</v>
      </c>
      <c r="AG92" s="223">
        <f t="shared" si="110"/>
        <v>132.36795000000001</v>
      </c>
      <c r="AH92" s="239"/>
      <c r="AI92" s="223">
        <f t="shared" ref="AI92:AJ92" si="111">-SUMIF($J$12:$AG$12,AI$12,$J92:$AG92)</f>
        <v>-544.5</v>
      </c>
      <c r="AJ92" s="223">
        <f t="shared" si="111"/>
        <v>-1444.0139999999999</v>
      </c>
      <c r="AK92" s="223">
        <f t="shared" ref="AK92:AT92" si="112">AK74*$F$30</f>
        <v>-1588.4154000000003</v>
      </c>
      <c r="AL92" s="223">
        <f t="shared" si="112"/>
        <v>-1739.3148629999998</v>
      </c>
      <c r="AM92" s="223">
        <f t="shared" si="112"/>
        <v>-1895.8532006700002</v>
      </c>
      <c r="AN92" s="223">
        <f t="shared" si="112"/>
        <v>-2057.0007227269498</v>
      </c>
      <c r="AO92" s="223">
        <f t="shared" si="112"/>
        <v>-2221.5607805451064</v>
      </c>
      <c r="AP92" s="223">
        <f t="shared" si="112"/>
        <v>-2377.0700351832638</v>
      </c>
      <c r="AQ92" s="223">
        <f t="shared" si="112"/>
        <v>-2531.5795874701757</v>
      </c>
      <c r="AR92" s="223">
        <f t="shared" si="112"/>
        <v>-2683.4743627183861</v>
      </c>
      <c r="AS92" s="223">
        <f t="shared" si="112"/>
        <v>-2817.648080854306</v>
      </c>
      <c r="AT92" s="223">
        <f t="shared" si="112"/>
        <v>-2958.5304848970218</v>
      </c>
    </row>
    <row r="93" spans="1:46" ht="13.5" customHeight="1" x14ac:dyDescent="0.3">
      <c r="A93" s="239"/>
      <c r="B93" s="239"/>
      <c r="C93" s="228" t="s">
        <v>32</v>
      </c>
      <c r="D93" s="237" t="s">
        <v>4</v>
      </c>
      <c r="E93" s="240"/>
      <c r="F93" s="239"/>
      <c r="G93" s="239"/>
      <c r="H93" s="7"/>
      <c r="I93" s="219"/>
      <c r="J93" s="238">
        <f t="shared" ref="J93:AG93" si="113">SUM(J88:J92)</f>
        <v>1742.4</v>
      </c>
      <c r="K93" s="238">
        <f t="shared" si="113"/>
        <v>1742.4</v>
      </c>
      <c r="L93" s="238">
        <f t="shared" si="113"/>
        <v>1742.4</v>
      </c>
      <c r="M93" s="238">
        <f t="shared" si="113"/>
        <v>1742.4</v>
      </c>
      <c r="N93" s="238">
        <f t="shared" si="113"/>
        <v>1742.4</v>
      </c>
      <c r="O93" s="238">
        <f t="shared" si="113"/>
        <v>1925.3519999999996</v>
      </c>
      <c r="P93" s="238">
        <f t="shared" si="113"/>
        <v>1925.3519999999996</v>
      </c>
      <c r="Q93" s="238">
        <f t="shared" si="113"/>
        <v>1925.3519999999996</v>
      </c>
      <c r="R93" s="238">
        <f t="shared" si="113"/>
        <v>1925.3519999999996</v>
      </c>
      <c r="S93" s="238">
        <f t="shared" si="113"/>
        <v>1925.3519999999996</v>
      </c>
      <c r="T93" s="238">
        <f t="shared" si="113"/>
        <v>1925.3519999999996</v>
      </c>
      <c r="U93" s="238">
        <f t="shared" si="113"/>
        <v>1925.3519999999996</v>
      </c>
      <c r="V93" s="238">
        <f t="shared" si="113"/>
        <v>1925.3519999999996</v>
      </c>
      <c r="W93" s="238">
        <f t="shared" si="113"/>
        <v>1925.3519999999996</v>
      </c>
      <c r="X93" s="238">
        <f t="shared" si="113"/>
        <v>1925.3519999999996</v>
      </c>
      <c r="Y93" s="238">
        <f t="shared" si="113"/>
        <v>1925.3519999999996</v>
      </c>
      <c r="Z93" s="238">
        <f t="shared" si="113"/>
        <v>1925.3519999999996</v>
      </c>
      <c r="AA93" s="238">
        <f t="shared" si="113"/>
        <v>2117.8872000000001</v>
      </c>
      <c r="AB93" s="238">
        <f t="shared" si="113"/>
        <v>2117.8872000000001</v>
      </c>
      <c r="AC93" s="238">
        <f t="shared" si="113"/>
        <v>2117.8872000000001</v>
      </c>
      <c r="AD93" s="238">
        <f t="shared" si="113"/>
        <v>2117.8872000000001</v>
      </c>
      <c r="AE93" s="238">
        <f t="shared" si="113"/>
        <v>2117.8872000000001</v>
      </c>
      <c r="AF93" s="238">
        <f t="shared" si="113"/>
        <v>2117.8872000000001</v>
      </c>
      <c r="AG93" s="238">
        <f t="shared" si="113"/>
        <v>2117.8872000000001</v>
      </c>
      <c r="AH93" s="239"/>
      <c r="AI93" s="238">
        <f t="shared" ref="AI93:AT93" si="114">SUM(AI88:AI92)</f>
        <v>-8712</v>
      </c>
      <c r="AJ93" s="238">
        <f t="shared" si="114"/>
        <v>-23104.223999999991</v>
      </c>
      <c r="AK93" s="238">
        <f t="shared" si="114"/>
        <v>-25414.646400000001</v>
      </c>
      <c r="AL93" s="238">
        <f t="shared" si="114"/>
        <v>-27829.037808000001</v>
      </c>
      <c r="AM93" s="238">
        <f t="shared" si="114"/>
        <v>-30333.651210720003</v>
      </c>
      <c r="AN93" s="238">
        <f t="shared" si="114"/>
        <v>-32912.011563631204</v>
      </c>
      <c r="AO93" s="238">
        <f t="shared" si="114"/>
        <v>-35544.972488721702</v>
      </c>
      <c r="AP93" s="238">
        <f t="shared" si="114"/>
        <v>-38033.120562932221</v>
      </c>
      <c r="AQ93" s="238">
        <f t="shared" si="114"/>
        <v>-40505.273399522805</v>
      </c>
      <c r="AR93" s="238">
        <f t="shared" si="114"/>
        <v>-42935.589803494178</v>
      </c>
      <c r="AS93" s="238">
        <f t="shared" si="114"/>
        <v>-45082.369293668882</v>
      </c>
      <c r="AT93" s="238">
        <f t="shared" si="114"/>
        <v>-47336.487758352334</v>
      </c>
    </row>
    <row r="94" spans="1:46" ht="13.5" customHeight="1" x14ac:dyDescent="0.3">
      <c r="A94" s="239"/>
      <c r="B94" s="239"/>
      <c r="C94" s="239"/>
      <c r="D94" s="240"/>
      <c r="E94" s="244"/>
      <c r="F94" s="239"/>
      <c r="G94" s="239"/>
      <c r="H94" s="7"/>
      <c r="I94" s="219"/>
      <c r="J94" s="239"/>
      <c r="K94" s="239"/>
      <c r="L94" s="239"/>
      <c r="M94" s="239"/>
      <c r="N94" s="239"/>
      <c r="O94" s="239"/>
      <c r="P94" s="239"/>
      <c r="Q94" s="239"/>
      <c r="R94" s="239"/>
      <c r="S94" s="239"/>
      <c r="T94" s="239"/>
      <c r="U94" s="239"/>
      <c r="V94" s="239"/>
      <c r="W94" s="239"/>
      <c r="X94" s="239"/>
      <c r="Y94" s="239"/>
      <c r="Z94" s="239"/>
      <c r="AA94" s="239"/>
      <c r="AB94" s="239"/>
      <c r="AC94" s="239"/>
      <c r="AD94" s="239"/>
      <c r="AE94" s="239"/>
      <c r="AF94" s="239"/>
      <c r="AG94" s="239"/>
      <c r="AH94" s="239"/>
      <c r="AI94" s="239"/>
      <c r="AJ94" s="239"/>
      <c r="AK94" s="239"/>
      <c r="AL94" s="239"/>
      <c r="AM94" s="239"/>
      <c r="AN94" s="239"/>
      <c r="AO94" s="239"/>
      <c r="AP94" s="239"/>
      <c r="AQ94" s="239"/>
      <c r="AR94" s="239"/>
      <c r="AS94" s="239"/>
      <c r="AT94" s="239"/>
    </row>
    <row r="95" spans="1:46" ht="13.5" customHeight="1" x14ac:dyDescent="0.3">
      <c r="A95" s="239"/>
      <c r="B95" s="239"/>
      <c r="C95" s="228" t="s">
        <v>32</v>
      </c>
      <c r="D95" s="237" t="s">
        <v>4</v>
      </c>
      <c r="E95" s="240"/>
      <c r="F95" s="239"/>
      <c r="G95" s="239"/>
      <c r="H95" s="7"/>
      <c r="I95" s="219"/>
      <c r="J95" s="238">
        <f t="shared" ref="J95:AT95" si="115">J93</f>
        <v>1742.4</v>
      </c>
      <c r="K95" s="238">
        <f t="shared" si="115"/>
        <v>1742.4</v>
      </c>
      <c r="L95" s="238">
        <f t="shared" si="115"/>
        <v>1742.4</v>
      </c>
      <c r="M95" s="238">
        <f t="shared" si="115"/>
        <v>1742.4</v>
      </c>
      <c r="N95" s="238">
        <f t="shared" si="115"/>
        <v>1742.4</v>
      </c>
      <c r="O95" s="238">
        <f t="shared" si="115"/>
        <v>1925.3519999999996</v>
      </c>
      <c r="P95" s="238">
        <f t="shared" si="115"/>
        <v>1925.3519999999996</v>
      </c>
      <c r="Q95" s="238">
        <f t="shared" si="115"/>
        <v>1925.3519999999996</v>
      </c>
      <c r="R95" s="238">
        <f t="shared" si="115"/>
        <v>1925.3519999999996</v>
      </c>
      <c r="S95" s="238">
        <f t="shared" si="115"/>
        <v>1925.3519999999996</v>
      </c>
      <c r="T95" s="238">
        <f t="shared" si="115"/>
        <v>1925.3519999999996</v>
      </c>
      <c r="U95" s="238">
        <f t="shared" si="115"/>
        <v>1925.3519999999996</v>
      </c>
      <c r="V95" s="238">
        <f t="shared" si="115"/>
        <v>1925.3519999999996</v>
      </c>
      <c r="W95" s="238">
        <f t="shared" si="115"/>
        <v>1925.3519999999996</v>
      </c>
      <c r="X95" s="238">
        <f t="shared" si="115"/>
        <v>1925.3519999999996</v>
      </c>
      <c r="Y95" s="238">
        <f t="shared" si="115"/>
        <v>1925.3519999999996</v>
      </c>
      <c r="Z95" s="238">
        <f t="shared" si="115"/>
        <v>1925.3519999999996</v>
      </c>
      <c r="AA95" s="238">
        <f t="shared" si="115"/>
        <v>2117.8872000000001</v>
      </c>
      <c r="AB95" s="238">
        <f t="shared" si="115"/>
        <v>2117.8872000000001</v>
      </c>
      <c r="AC95" s="238">
        <f t="shared" si="115"/>
        <v>2117.8872000000001</v>
      </c>
      <c r="AD95" s="238">
        <f t="shared" si="115"/>
        <v>2117.8872000000001</v>
      </c>
      <c r="AE95" s="238">
        <f t="shared" si="115"/>
        <v>2117.8872000000001</v>
      </c>
      <c r="AF95" s="238">
        <f t="shared" si="115"/>
        <v>2117.8872000000001</v>
      </c>
      <c r="AG95" s="238">
        <f t="shared" si="115"/>
        <v>2117.8872000000001</v>
      </c>
      <c r="AH95" s="239">
        <f t="shared" si="115"/>
        <v>0</v>
      </c>
      <c r="AI95" s="238">
        <f t="shared" si="115"/>
        <v>-8712</v>
      </c>
      <c r="AJ95" s="238">
        <f t="shared" si="115"/>
        <v>-23104.223999999991</v>
      </c>
      <c r="AK95" s="238">
        <f t="shared" si="115"/>
        <v>-25414.646400000001</v>
      </c>
      <c r="AL95" s="238">
        <f t="shared" si="115"/>
        <v>-27829.037808000001</v>
      </c>
      <c r="AM95" s="238">
        <f t="shared" si="115"/>
        <v>-30333.651210720003</v>
      </c>
      <c r="AN95" s="238">
        <f t="shared" si="115"/>
        <v>-32912.011563631204</v>
      </c>
      <c r="AO95" s="238">
        <f t="shared" si="115"/>
        <v>-35544.972488721702</v>
      </c>
      <c r="AP95" s="238">
        <f t="shared" si="115"/>
        <v>-38033.120562932221</v>
      </c>
      <c r="AQ95" s="238">
        <f t="shared" si="115"/>
        <v>-40505.273399522805</v>
      </c>
      <c r="AR95" s="238">
        <f t="shared" si="115"/>
        <v>-42935.589803494178</v>
      </c>
      <c r="AS95" s="238">
        <f t="shared" si="115"/>
        <v>-45082.369293668882</v>
      </c>
      <c r="AT95" s="238">
        <f t="shared" si="115"/>
        <v>-47336.487758352334</v>
      </c>
    </row>
    <row r="96" spans="1:46" ht="13.5" customHeight="1" x14ac:dyDescent="0.3">
      <c r="A96" s="239"/>
      <c r="B96" s="239"/>
      <c r="C96" s="239"/>
      <c r="D96" s="240"/>
      <c r="E96" s="244"/>
      <c r="F96" s="239"/>
      <c r="G96" s="239"/>
      <c r="H96" s="7"/>
      <c r="I96" s="219"/>
      <c r="J96" s="239"/>
      <c r="K96" s="239"/>
      <c r="L96" s="239"/>
      <c r="M96" s="239"/>
      <c r="N96" s="239"/>
      <c r="O96" s="239"/>
      <c r="P96" s="239"/>
      <c r="Q96" s="239"/>
      <c r="R96" s="239"/>
      <c r="S96" s="239"/>
      <c r="T96" s="239"/>
      <c r="U96" s="239"/>
      <c r="V96" s="239"/>
      <c r="W96" s="239"/>
      <c r="X96" s="239"/>
      <c r="Y96" s="239"/>
      <c r="Z96" s="239"/>
      <c r="AA96" s="239"/>
      <c r="AB96" s="239"/>
      <c r="AC96" s="239"/>
      <c r="AD96" s="239"/>
      <c r="AE96" s="239"/>
      <c r="AF96" s="239"/>
      <c r="AG96" s="239"/>
      <c r="AH96" s="239"/>
      <c r="AI96" s="239"/>
      <c r="AJ96" s="239"/>
      <c r="AK96" s="239"/>
      <c r="AL96" s="239"/>
      <c r="AM96" s="239"/>
      <c r="AN96" s="239"/>
      <c r="AO96" s="239"/>
      <c r="AP96" s="239"/>
      <c r="AQ96" s="239"/>
      <c r="AR96" s="239"/>
      <c r="AS96" s="239"/>
      <c r="AT96" s="239"/>
    </row>
    <row r="97" spans="1:46" ht="13.5" customHeight="1" x14ac:dyDescent="0.3">
      <c r="A97" s="239"/>
      <c r="B97" s="245" t="s">
        <v>507</v>
      </c>
      <c r="C97" s="239"/>
      <c r="D97" s="240"/>
      <c r="E97" s="240"/>
      <c r="F97" s="239"/>
      <c r="G97" s="239"/>
      <c r="H97" s="7"/>
      <c r="I97" s="219"/>
      <c r="J97" s="239"/>
      <c r="K97" s="239"/>
      <c r="L97" s="239"/>
      <c r="M97" s="239"/>
      <c r="N97" s="239"/>
      <c r="O97" s="239"/>
      <c r="P97" s="239"/>
      <c r="Q97" s="239"/>
      <c r="R97" s="239"/>
      <c r="S97" s="239"/>
      <c r="T97" s="239"/>
      <c r="U97" s="239"/>
      <c r="V97" s="239"/>
      <c r="W97" s="239"/>
      <c r="X97" s="239"/>
      <c r="Y97" s="239"/>
      <c r="Z97" s="239"/>
      <c r="AA97" s="239"/>
      <c r="AB97" s="239"/>
      <c r="AC97" s="239"/>
      <c r="AD97" s="239"/>
      <c r="AE97" s="239"/>
      <c r="AF97" s="239"/>
      <c r="AG97" s="239"/>
      <c r="AH97" s="239"/>
      <c r="AI97" s="239"/>
      <c r="AJ97" s="239"/>
      <c r="AK97" s="239"/>
      <c r="AL97" s="239"/>
      <c r="AM97" s="239"/>
      <c r="AN97" s="239"/>
      <c r="AO97" s="239"/>
      <c r="AP97" s="239"/>
      <c r="AQ97" s="239"/>
      <c r="AR97" s="239"/>
      <c r="AS97" s="239"/>
      <c r="AT97" s="239"/>
    </row>
    <row r="98" spans="1:46" ht="13.5" customHeight="1" x14ac:dyDescent="0.3">
      <c r="A98" s="239"/>
      <c r="B98" s="219">
        <v>1</v>
      </c>
      <c r="C98" s="219" t="s">
        <v>492</v>
      </c>
      <c r="D98" s="89" t="s">
        <v>4</v>
      </c>
      <c r="E98" s="224" t="s">
        <v>498</v>
      </c>
      <c r="F98" s="239"/>
      <c r="G98" s="239"/>
      <c r="H98" s="7"/>
      <c r="I98" s="219"/>
      <c r="J98" s="236">
        <f t="shared" ref="J98:AG98" si="116">-J93</f>
        <v>-1742.4</v>
      </c>
      <c r="K98" s="236">
        <f t="shared" si="116"/>
        <v>-1742.4</v>
      </c>
      <c r="L98" s="236">
        <f t="shared" si="116"/>
        <v>-1742.4</v>
      </c>
      <c r="M98" s="236">
        <f t="shared" si="116"/>
        <v>-1742.4</v>
      </c>
      <c r="N98" s="236">
        <f t="shared" si="116"/>
        <v>-1742.4</v>
      </c>
      <c r="O98" s="236">
        <f t="shared" si="116"/>
        <v>-1925.3519999999996</v>
      </c>
      <c r="P98" s="236">
        <f t="shared" si="116"/>
        <v>-1925.3519999999996</v>
      </c>
      <c r="Q98" s="236">
        <f t="shared" si="116"/>
        <v>-1925.3519999999996</v>
      </c>
      <c r="R98" s="236">
        <f t="shared" si="116"/>
        <v>-1925.3519999999996</v>
      </c>
      <c r="S98" s="236">
        <f t="shared" si="116"/>
        <v>-1925.3519999999996</v>
      </c>
      <c r="T98" s="236">
        <f t="shared" si="116"/>
        <v>-1925.3519999999996</v>
      </c>
      <c r="U98" s="236">
        <f t="shared" si="116"/>
        <v>-1925.3519999999996</v>
      </c>
      <c r="V98" s="236">
        <f t="shared" si="116"/>
        <v>-1925.3519999999996</v>
      </c>
      <c r="W98" s="236">
        <f t="shared" si="116"/>
        <v>-1925.3519999999996</v>
      </c>
      <c r="X98" s="236">
        <f t="shared" si="116"/>
        <v>-1925.3519999999996</v>
      </c>
      <c r="Y98" s="236">
        <f t="shared" si="116"/>
        <v>-1925.3519999999996</v>
      </c>
      <c r="Z98" s="236">
        <f t="shared" si="116"/>
        <v>-1925.3519999999996</v>
      </c>
      <c r="AA98" s="236">
        <f t="shared" si="116"/>
        <v>-2117.8872000000001</v>
      </c>
      <c r="AB98" s="236">
        <f t="shared" si="116"/>
        <v>-2117.8872000000001</v>
      </c>
      <c r="AC98" s="236">
        <f t="shared" si="116"/>
        <v>-2117.8872000000001</v>
      </c>
      <c r="AD98" s="236">
        <f t="shared" si="116"/>
        <v>-2117.8872000000001</v>
      </c>
      <c r="AE98" s="236">
        <f t="shared" si="116"/>
        <v>-2117.8872000000001</v>
      </c>
      <c r="AF98" s="236">
        <f t="shared" si="116"/>
        <v>-2117.8872000000001</v>
      </c>
      <c r="AG98" s="236">
        <f t="shared" si="116"/>
        <v>-2117.8872000000001</v>
      </c>
      <c r="AH98" s="239"/>
      <c r="AI98" s="236">
        <f t="shared" ref="AI98:AT98" si="117">AI93</f>
        <v>-8712</v>
      </c>
      <c r="AJ98" s="236">
        <f t="shared" si="117"/>
        <v>-23104.223999999991</v>
      </c>
      <c r="AK98" s="236">
        <f t="shared" si="117"/>
        <v>-25414.646400000001</v>
      </c>
      <c r="AL98" s="236">
        <f t="shared" si="117"/>
        <v>-27829.037808000001</v>
      </c>
      <c r="AM98" s="236">
        <f t="shared" si="117"/>
        <v>-30333.651210720003</v>
      </c>
      <c r="AN98" s="236">
        <f t="shared" si="117"/>
        <v>-32912.011563631204</v>
      </c>
      <c r="AO98" s="236">
        <f t="shared" si="117"/>
        <v>-35544.972488721702</v>
      </c>
      <c r="AP98" s="236">
        <f t="shared" si="117"/>
        <v>-38033.120562932221</v>
      </c>
      <c r="AQ98" s="236">
        <f t="shared" si="117"/>
        <v>-40505.273399522805</v>
      </c>
      <c r="AR98" s="236">
        <f t="shared" si="117"/>
        <v>-42935.589803494178</v>
      </c>
      <c r="AS98" s="236">
        <f t="shared" si="117"/>
        <v>-45082.369293668882</v>
      </c>
      <c r="AT98" s="236">
        <f t="shared" si="117"/>
        <v>-47336.487758352334</v>
      </c>
    </row>
    <row r="99" spans="1:46" ht="13.5" customHeight="1" x14ac:dyDescent="0.3">
      <c r="A99" s="239"/>
      <c r="B99" s="239"/>
      <c r="C99" s="228" t="s">
        <v>32</v>
      </c>
      <c r="D99" s="237" t="s">
        <v>4</v>
      </c>
      <c r="E99" s="240"/>
      <c r="F99" s="239"/>
      <c r="G99" s="239"/>
      <c r="H99" s="7"/>
      <c r="I99" s="219"/>
      <c r="J99" s="238">
        <f t="shared" ref="J99:AG99" si="118">SUM(J98:J98)</f>
        <v>-1742.4</v>
      </c>
      <c r="K99" s="238">
        <f t="shared" si="118"/>
        <v>-1742.4</v>
      </c>
      <c r="L99" s="238">
        <f t="shared" si="118"/>
        <v>-1742.4</v>
      </c>
      <c r="M99" s="238">
        <f t="shared" si="118"/>
        <v>-1742.4</v>
      </c>
      <c r="N99" s="238">
        <f t="shared" si="118"/>
        <v>-1742.4</v>
      </c>
      <c r="O99" s="238">
        <f t="shared" si="118"/>
        <v>-1925.3519999999996</v>
      </c>
      <c r="P99" s="238">
        <f t="shared" si="118"/>
        <v>-1925.3519999999996</v>
      </c>
      <c r="Q99" s="238">
        <f t="shared" si="118"/>
        <v>-1925.3519999999996</v>
      </c>
      <c r="R99" s="238">
        <f t="shared" si="118"/>
        <v>-1925.3519999999996</v>
      </c>
      <c r="S99" s="238">
        <f t="shared" si="118"/>
        <v>-1925.3519999999996</v>
      </c>
      <c r="T99" s="238">
        <f t="shared" si="118"/>
        <v>-1925.3519999999996</v>
      </c>
      <c r="U99" s="238">
        <f t="shared" si="118"/>
        <v>-1925.3519999999996</v>
      </c>
      <c r="V99" s="238">
        <f t="shared" si="118"/>
        <v>-1925.3519999999996</v>
      </c>
      <c r="W99" s="238">
        <f t="shared" si="118"/>
        <v>-1925.3519999999996</v>
      </c>
      <c r="X99" s="238">
        <f t="shared" si="118"/>
        <v>-1925.3519999999996</v>
      </c>
      <c r="Y99" s="238">
        <f t="shared" si="118"/>
        <v>-1925.3519999999996</v>
      </c>
      <c r="Z99" s="238">
        <f t="shared" si="118"/>
        <v>-1925.3519999999996</v>
      </c>
      <c r="AA99" s="238">
        <f t="shared" si="118"/>
        <v>-2117.8872000000001</v>
      </c>
      <c r="AB99" s="238">
        <f t="shared" si="118"/>
        <v>-2117.8872000000001</v>
      </c>
      <c r="AC99" s="238">
        <f t="shared" si="118"/>
        <v>-2117.8872000000001</v>
      </c>
      <c r="AD99" s="238">
        <f t="shared" si="118"/>
        <v>-2117.8872000000001</v>
      </c>
      <c r="AE99" s="238">
        <f t="shared" si="118"/>
        <v>-2117.8872000000001</v>
      </c>
      <c r="AF99" s="238">
        <f t="shared" si="118"/>
        <v>-2117.8872000000001</v>
      </c>
      <c r="AG99" s="238">
        <f t="shared" si="118"/>
        <v>-2117.8872000000001</v>
      </c>
      <c r="AH99" s="239"/>
      <c r="AI99" s="238">
        <f t="shared" ref="AI99:AT99" si="119">SUM(AI98:AI98)</f>
        <v>-8712</v>
      </c>
      <c r="AJ99" s="238">
        <f t="shared" si="119"/>
        <v>-23104.223999999991</v>
      </c>
      <c r="AK99" s="238">
        <f t="shared" si="119"/>
        <v>-25414.646400000001</v>
      </c>
      <c r="AL99" s="238">
        <f t="shared" si="119"/>
        <v>-27829.037808000001</v>
      </c>
      <c r="AM99" s="238">
        <f t="shared" si="119"/>
        <v>-30333.651210720003</v>
      </c>
      <c r="AN99" s="238">
        <f t="shared" si="119"/>
        <v>-32912.011563631204</v>
      </c>
      <c r="AO99" s="238">
        <f t="shared" si="119"/>
        <v>-35544.972488721702</v>
      </c>
      <c r="AP99" s="238">
        <f t="shared" si="119"/>
        <v>-38033.120562932221</v>
      </c>
      <c r="AQ99" s="238">
        <f t="shared" si="119"/>
        <v>-40505.273399522805</v>
      </c>
      <c r="AR99" s="238">
        <f t="shared" si="119"/>
        <v>-42935.589803494178</v>
      </c>
      <c r="AS99" s="238">
        <f t="shared" si="119"/>
        <v>-45082.369293668882</v>
      </c>
      <c r="AT99" s="238">
        <f t="shared" si="119"/>
        <v>-47336.487758352334</v>
      </c>
    </row>
    <row r="100" spans="1:46" ht="13.5" customHeight="1" x14ac:dyDescent="0.3">
      <c r="A100" s="7"/>
      <c r="B100" s="7"/>
      <c r="C100" s="7"/>
      <c r="D100" s="7"/>
      <c r="E100" s="7"/>
      <c r="F100" s="7"/>
      <c r="G100" s="239"/>
      <c r="H100" s="7"/>
      <c r="I100" s="219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239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</row>
    <row r="101" spans="1:46" ht="13.5" customHeight="1" x14ac:dyDescent="0.3">
      <c r="A101" s="80" t="s">
        <v>508</v>
      </c>
      <c r="B101" s="80" t="s">
        <v>509</v>
      </c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</row>
    <row r="102" spans="1:46" ht="13.5" customHeight="1" x14ac:dyDescent="0.3">
      <c r="A102" s="239"/>
      <c r="B102" s="239"/>
      <c r="C102" s="239"/>
      <c r="D102" s="240"/>
      <c r="E102" s="240"/>
      <c r="F102" s="239"/>
      <c r="G102" s="239"/>
      <c r="H102" s="239"/>
      <c r="I102" s="239"/>
      <c r="J102" s="239"/>
      <c r="K102" s="239"/>
      <c r="L102" s="239"/>
      <c r="M102" s="239"/>
      <c r="N102" s="239"/>
      <c r="O102" s="239"/>
      <c r="P102" s="239"/>
      <c r="Q102" s="239"/>
      <c r="R102" s="239"/>
      <c r="S102" s="239"/>
      <c r="T102" s="239"/>
      <c r="U102" s="239"/>
      <c r="V102" s="239"/>
      <c r="W102" s="239"/>
      <c r="X102" s="239"/>
      <c r="Y102" s="239"/>
      <c r="Z102" s="239"/>
      <c r="AA102" s="239"/>
      <c r="AB102" s="239"/>
      <c r="AC102" s="239"/>
      <c r="AD102" s="239"/>
      <c r="AE102" s="239"/>
      <c r="AF102" s="239"/>
      <c r="AG102" s="239"/>
      <c r="AH102" s="239"/>
      <c r="AI102" s="239"/>
      <c r="AJ102" s="239"/>
      <c r="AK102" s="239"/>
      <c r="AL102" s="239"/>
      <c r="AM102" s="239"/>
      <c r="AN102" s="239"/>
      <c r="AO102" s="239"/>
      <c r="AP102" s="239"/>
      <c r="AQ102" s="239"/>
      <c r="AR102" s="239"/>
      <c r="AS102" s="239"/>
      <c r="AT102" s="239"/>
    </row>
    <row r="103" spans="1:46" ht="13.5" customHeight="1" x14ac:dyDescent="0.3">
      <c r="A103" s="239"/>
      <c r="B103" s="246" t="s">
        <v>510</v>
      </c>
      <c r="C103" s="239"/>
      <c r="D103" s="240"/>
      <c r="E103" s="240"/>
      <c r="F103" s="239"/>
      <c r="G103" s="239"/>
      <c r="H103" s="239"/>
      <c r="I103" s="239"/>
      <c r="J103" s="239"/>
      <c r="K103" s="239"/>
      <c r="L103" s="239"/>
      <c r="M103" s="239"/>
      <c r="N103" s="239"/>
      <c r="O103" s="239"/>
      <c r="P103" s="239"/>
      <c r="Q103" s="239"/>
      <c r="R103" s="239"/>
      <c r="S103" s="239"/>
      <c r="T103" s="239"/>
      <c r="U103" s="239"/>
      <c r="V103" s="239"/>
      <c r="W103" s="239"/>
      <c r="X103" s="239"/>
      <c r="Y103" s="239"/>
      <c r="Z103" s="239"/>
      <c r="AA103" s="239"/>
      <c r="AB103" s="239"/>
      <c r="AC103" s="239"/>
      <c r="AD103" s="239"/>
      <c r="AE103" s="239"/>
      <c r="AF103" s="239"/>
      <c r="AG103" s="239"/>
      <c r="AH103" s="239"/>
      <c r="AI103" s="239"/>
      <c r="AJ103" s="239"/>
      <c r="AK103" s="239"/>
      <c r="AL103" s="239"/>
      <c r="AM103" s="239"/>
      <c r="AN103" s="239"/>
      <c r="AO103" s="239"/>
      <c r="AP103" s="239"/>
      <c r="AQ103" s="239"/>
      <c r="AR103" s="239"/>
      <c r="AS103" s="239"/>
      <c r="AT103" s="239"/>
    </row>
    <row r="104" spans="1:46" ht="13.5" customHeight="1" x14ac:dyDescent="0.3">
      <c r="A104" s="239"/>
      <c r="B104" s="247"/>
      <c r="C104" s="239"/>
      <c r="D104" s="240"/>
      <c r="E104" s="240"/>
      <c r="F104" s="239"/>
      <c r="G104" s="239"/>
      <c r="H104" s="239"/>
      <c r="I104" s="239"/>
      <c r="J104" s="239"/>
      <c r="K104" s="239"/>
      <c r="L104" s="239"/>
      <c r="M104" s="239"/>
      <c r="N104" s="239"/>
      <c r="O104" s="239"/>
      <c r="P104" s="239"/>
      <c r="Q104" s="239"/>
      <c r="R104" s="239"/>
      <c r="S104" s="239"/>
      <c r="T104" s="239"/>
      <c r="U104" s="239"/>
      <c r="V104" s="239"/>
      <c r="W104" s="239"/>
      <c r="X104" s="239"/>
      <c r="Y104" s="239"/>
      <c r="Z104" s="239"/>
      <c r="AA104" s="239"/>
      <c r="AB104" s="239"/>
      <c r="AC104" s="239"/>
      <c r="AD104" s="239"/>
      <c r="AE104" s="239"/>
      <c r="AF104" s="239"/>
      <c r="AG104" s="239"/>
      <c r="AH104" s="239"/>
      <c r="AI104" s="239"/>
      <c r="AJ104" s="239"/>
      <c r="AK104" s="239"/>
      <c r="AL104" s="239"/>
      <c r="AM104" s="239"/>
      <c r="AN104" s="239"/>
      <c r="AO104" s="239"/>
      <c r="AP104" s="239"/>
      <c r="AQ104" s="239"/>
      <c r="AR104" s="239"/>
      <c r="AS104" s="239"/>
      <c r="AT104" s="239"/>
    </row>
    <row r="105" spans="1:46" ht="13.5" customHeight="1" x14ac:dyDescent="0.3">
      <c r="A105" s="239"/>
      <c r="B105" s="230" t="s">
        <v>492</v>
      </c>
      <c r="C105" s="228"/>
      <c r="D105" s="240"/>
      <c r="E105" s="240"/>
      <c r="F105" s="239"/>
      <c r="G105" s="239"/>
      <c r="H105" s="239"/>
      <c r="I105" s="239"/>
      <c r="J105" s="239"/>
      <c r="K105" s="239"/>
      <c r="L105" s="239"/>
      <c r="M105" s="239"/>
      <c r="N105" s="239"/>
      <c r="O105" s="239"/>
      <c r="P105" s="239"/>
      <c r="Q105" s="239"/>
      <c r="R105" s="239"/>
      <c r="S105" s="239"/>
      <c r="T105" s="239"/>
      <c r="U105" s="239"/>
      <c r="V105" s="239"/>
      <c r="W105" s="239"/>
      <c r="X105" s="239"/>
      <c r="Y105" s="239"/>
      <c r="Z105" s="239"/>
      <c r="AA105" s="239"/>
      <c r="AB105" s="239"/>
      <c r="AC105" s="239"/>
      <c r="AD105" s="239"/>
      <c r="AE105" s="239"/>
      <c r="AF105" s="239"/>
      <c r="AG105" s="239"/>
      <c r="AH105" s="239"/>
      <c r="AI105" s="239"/>
      <c r="AJ105" s="239"/>
      <c r="AK105" s="239"/>
      <c r="AL105" s="239"/>
      <c r="AM105" s="239"/>
      <c r="AN105" s="239"/>
      <c r="AO105" s="239"/>
      <c r="AP105" s="239"/>
      <c r="AQ105" s="239"/>
      <c r="AR105" s="239"/>
      <c r="AS105" s="239"/>
      <c r="AT105" s="239"/>
    </row>
    <row r="106" spans="1:46" ht="13.5" customHeight="1" x14ac:dyDescent="0.3">
      <c r="A106" s="239"/>
      <c r="B106" s="219">
        <v>1</v>
      </c>
      <c r="C106" s="219" t="str">
        <f>C88</f>
        <v>Директор фермы</v>
      </c>
      <c r="D106" s="89" t="s">
        <v>477</v>
      </c>
      <c r="E106" s="240"/>
      <c r="F106" s="239"/>
      <c r="G106" s="239"/>
      <c r="H106" s="239"/>
      <c r="I106" s="239"/>
      <c r="J106" s="223">
        <f t="shared" ref="J106:AG106" si="120">MIN(J60*$F$30-(1-$F$27),J$18)*J$22</f>
        <v>22.785000000000004</v>
      </c>
      <c r="K106" s="223">
        <f t="shared" si="120"/>
        <v>22.785000000000004</v>
      </c>
      <c r="L106" s="223">
        <f t="shared" si="120"/>
        <v>22.785000000000004</v>
      </c>
      <c r="M106" s="223">
        <f t="shared" si="120"/>
        <v>22.785000000000004</v>
      </c>
      <c r="N106" s="223">
        <f t="shared" si="120"/>
        <v>22.785000000000004</v>
      </c>
      <c r="O106" s="223">
        <f t="shared" si="120"/>
        <v>25.177425000000003</v>
      </c>
      <c r="P106" s="223">
        <f t="shared" si="120"/>
        <v>25.177425000000003</v>
      </c>
      <c r="Q106" s="223">
        <f t="shared" si="120"/>
        <v>25.177425000000003</v>
      </c>
      <c r="R106" s="223">
        <f t="shared" si="120"/>
        <v>25.177425000000003</v>
      </c>
      <c r="S106" s="223">
        <f t="shared" si="120"/>
        <v>25.177425000000003</v>
      </c>
      <c r="T106" s="223">
        <f t="shared" si="120"/>
        <v>25.177425000000003</v>
      </c>
      <c r="U106" s="223">
        <f t="shared" si="120"/>
        <v>25.177425000000003</v>
      </c>
      <c r="V106" s="223">
        <f t="shared" si="120"/>
        <v>25.177425000000003</v>
      </c>
      <c r="W106" s="223">
        <f t="shared" si="120"/>
        <v>25.177425000000003</v>
      </c>
      <c r="X106" s="223">
        <f t="shared" si="120"/>
        <v>25.177425000000003</v>
      </c>
      <c r="Y106" s="223">
        <f t="shared" si="120"/>
        <v>25.177425000000003</v>
      </c>
      <c r="Z106" s="223">
        <f t="shared" si="120"/>
        <v>25.177425000000003</v>
      </c>
      <c r="AA106" s="223">
        <f t="shared" si="120"/>
        <v>27.695167500000004</v>
      </c>
      <c r="AB106" s="223">
        <f t="shared" si="120"/>
        <v>27.695167500000004</v>
      </c>
      <c r="AC106" s="223">
        <f t="shared" si="120"/>
        <v>27.695167500000004</v>
      </c>
      <c r="AD106" s="223">
        <f t="shared" si="120"/>
        <v>27.695167500000004</v>
      </c>
      <c r="AE106" s="223">
        <f t="shared" si="120"/>
        <v>27.695167500000004</v>
      </c>
      <c r="AF106" s="223">
        <f t="shared" si="120"/>
        <v>27.695167500000004</v>
      </c>
      <c r="AG106" s="223">
        <f t="shared" si="120"/>
        <v>27.695167500000004</v>
      </c>
      <c r="AH106" s="239"/>
      <c r="AI106" s="223">
        <f t="shared" ref="AI106:AT106" si="121">MIN(AI60*$F$30-(1-$F$27),AI$18)*AI$22</f>
        <v>20.825000000000003</v>
      </c>
      <c r="AJ106" s="223">
        <f t="shared" si="121"/>
        <v>23.011625000000002</v>
      </c>
      <c r="AK106" s="223">
        <f t="shared" si="121"/>
        <v>25.312787500000006</v>
      </c>
      <c r="AL106" s="223">
        <f t="shared" si="121"/>
        <v>27.717502312500002</v>
      </c>
      <c r="AM106" s="223">
        <f t="shared" si="121"/>
        <v>30.212077520625009</v>
      </c>
      <c r="AN106" s="223">
        <f t="shared" si="121"/>
        <v>32.780104109878131</v>
      </c>
      <c r="AO106" s="223">
        <f t="shared" si="121"/>
        <v>35.402512438668388</v>
      </c>
      <c r="AP106" s="223">
        <f t="shared" si="121"/>
        <v>37.880688309375181</v>
      </c>
      <c r="AQ106" s="223">
        <f t="shared" si="121"/>
        <v>40.342933049484564</v>
      </c>
      <c r="AR106" s="223">
        <f t="shared" si="121"/>
        <v>42.763509032453641</v>
      </c>
      <c r="AS106" s="223">
        <f t="shared" si="121"/>
        <v>44.901684484076327</v>
      </c>
      <c r="AT106" s="223">
        <f t="shared" si="121"/>
        <v>47.146768708280149</v>
      </c>
    </row>
    <row r="107" spans="1:46" ht="13.5" customHeight="1" x14ac:dyDescent="0.3">
      <c r="A107" s="239"/>
      <c r="B107" s="219">
        <v>2</v>
      </c>
      <c r="C107" s="219" t="str">
        <f>C89</f>
        <v>Ветеринар</v>
      </c>
      <c r="D107" s="89" t="s">
        <v>477</v>
      </c>
      <c r="E107" s="240"/>
      <c r="F107" s="239"/>
      <c r="G107" s="239"/>
      <c r="H107" s="239"/>
      <c r="I107" s="239"/>
      <c r="J107" s="223">
        <f t="shared" ref="J107:AG107" si="122">MIN(J61*$F$30-(1-$F$27),J$18)*J$22</f>
        <v>16.908500000000004</v>
      </c>
      <c r="K107" s="223">
        <f t="shared" si="122"/>
        <v>16.908500000000004</v>
      </c>
      <c r="L107" s="223">
        <f t="shared" si="122"/>
        <v>16.908500000000004</v>
      </c>
      <c r="M107" s="223">
        <f t="shared" si="122"/>
        <v>16.908500000000004</v>
      </c>
      <c r="N107" s="223">
        <f t="shared" si="122"/>
        <v>16.908500000000004</v>
      </c>
      <c r="O107" s="223">
        <f t="shared" si="122"/>
        <v>18.687200000000001</v>
      </c>
      <c r="P107" s="223">
        <f t="shared" si="122"/>
        <v>18.687200000000001</v>
      </c>
      <c r="Q107" s="223">
        <f t="shared" si="122"/>
        <v>18.687200000000001</v>
      </c>
      <c r="R107" s="223">
        <f t="shared" si="122"/>
        <v>18.687200000000001</v>
      </c>
      <c r="S107" s="223">
        <f t="shared" si="122"/>
        <v>18.687200000000001</v>
      </c>
      <c r="T107" s="223">
        <f t="shared" si="122"/>
        <v>18.687200000000001</v>
      </c>
      <c r="U107" s="223">
        <f t="shared" si="122"/>
        <v>18.687200000000001</v>
      </c>
      <c r="V107" s="223">
        <f t="shared" si="122"/>
        <v>18.687200000000001</v>
      </c>
      <c r="W107" s="223">
        <f t="shared" si="122"/>
        <v>18.687200000000001</v>
      </c>
      <c r="X107" s="223">
        <f t="shared" si="122"/>
        <v>18.687200000000001</v>
      </c>
      <c r="Y107" s="223">
        <f t="shared" si="122"/>
        <v>18.687200000000001</v>
      </c>
      <c r="Z107" s="223">
        <f t="shared" si="122"/>
        <v>18.687200000000001</v>
      </c>
      <c r="AA107" s="223">
        <f t="shared" si="122"/>
        <v>20.559070000000002</v>
      </c>
      <c r="AB107" s="223">
        <f t="shared" si="122"/>
        <v>20.559070000000002</v>
      </c>
      <c r="AC107" s="223">
        <f t="shared" si="122"/>
        <v>20.559070000000002</v>
      </c>
      <c r="AD107" s="223">
        <f t="shared" si="122"/>
        <v>20.559070000000002</v>
      </c>
      <c r="AE107" s="223">
        <f t="shared" si="122"/>
        <v>20.559070000000002</v>
      </c>
      <c r="AF107" s="223">
        <f t="shared" si="122"/>
        <v>20.559070000000002</v>
      </c>
      <c r="AG107" s="223">
        <f t="shared" si="122"/>
        <v>20.559070000000002</v>
      </c>
      <c r="AH107" s="239"/>
      <c r="AI107" s="223">
        <f t="shared" ref="AI107:AT107" si="123">MIN(AI61*$F$30-(1-$F$27),AI$18)*AI$22</f>
        <v>16.908500000000004</v>
      </c>
      <c r="AJ107" s="223">
        <f t="shared" si="123"/>
        <v>18.687200000000001</v>
      </c>
      <c r="AK107" s="223">
        <f t="shared" si="123"/>
        <v>20.559070000000002</v>
      </c>
      <c r="AL107" s="223">
        <f t="shared" si="123"/>
        <v>22.515174150000004</v>
      </c>
      <c r="AM107" s="223">
        <f t="shared" si="123"/>
        <v>24.544374823500004</v>
      </c>
      <c r="AN107" s="223">
        <f t="shared" si="123"/>
        <v>26.633324183497503</v>
      </c>
      <c r="AO107" s="223">
        <f t="shared" si="123"/>
        <v>28.766510118177305</v>
      </c>
      <c r="AP107" s="223">
        <f t="shared" si="123"/>
        <v>30.782370826449718</v>
      </c>
      <c r="AQ107" s="223">
        <f t="shared" si="123"/>
        <v>32.785272430168945</v>
      </c>
      <c r="AR107" s="223">
        <f t="shared" si="123"/>
        <v>34.754278775979088</v>
      </c>
      <c r="AS107" s="223">
        <f t="shared" si="123"/>
        <v>36.493567714778038</v>
      </c>
      <c r="AT107" s="223">
        <f t="shared" si="123"/>
        <v>38.319821100516933</v>
      </c>
    </row>
    <row r="108" spans="1:46" ht="13.5" customHeight="1" x14ac:dyDescent="0.3">
      <c r="A108" s="239"/>
      <c r="B108" s="219">
        <v>3</v>
      </c>
      <c r="C108" s="219" t="str">
        <f>C90</f>
        <v>Повар</v>
      </c>
      <c r="D108" s="89" t="s">
        <v>477</v>
      </c>
      <c r="E108" s="240"/>
      <c r="F108" s="239"/>
      <c r="G108" s="239"/>
      <c r="H108" s="239"/>
      <c r="I108" s="239"/>
      <c r="J108" s="223">
        <f t="shared" ref="J108:AG108" si="124">MIN(J62*$F$30-(1-$F$27),J$18)*J$22</f>
        <v>12.673500000000002</v>
      </c>
      <c r="K108" s="223">
        <f t="shared" si="124"/>
        <v>12.673500000000002</v>
      </c>
      <c r="L108" s="223">
        <f t="shared" si="124"/>
        <v>12.673500000000002</v>
      </c>
      <c r="M108" s="223">
        <f t="shared" si="124"/>
        <v>12.673500000000002</v>
      </c>
      <c r="N108" s="223">
        <f t="shared" si="124"/>
        <v>12.673500000000002</v>
      </c>
      <c r="O108" s="223">
        <f t="shared" si="124"/>
        <v>14.007525000000003</v>
      </c>
      <c r="P108" s="223">
        <f t="shared" si="124"/>
        <v>14.007525000000003</v>
      </c>
      <c r="Q108" s="223">
        <f t="shared" si="124"/>
        <v>14.007525000000003</v>
      </c>
      <c r="R108" s="223">
        <f t="shared" si="124"/>
        <v>14.007525000000003</v>
      </c>
      <c r="S108" s="223">
        <f t="shared" si="124"/>
        <v>14.007525000000003</v>
      </c>
      <c r="T108" s="223">
        <f t="shared" si="124"/>
        <v>14.007525000000003</v>
      </c>
      <c r="U108" s="223">
        <f t="shared" si="124"/>
        <v>14.007525000000003</v>
      </c>
      <c r="V108" s="223">
        <f t="shared" si="124"/>
        <v>14.007525000000003</v>
      </c>
      <c r="W108" s="223">
        <f t="shared" si="124"/>
        <v>14.007525000000003</v>
      </c>
      <c r="X108" s="223">
        <f t="shared" si="124"/>
        <v>14.007525000000003</v>
      </c>
      <c r="Y108" s="223">
        <f t="shared" si="124"/>
        <v>14.007525000000003</v>
      </c>
      <c r="Z108" s="223">
        <f t="shared" si="124"/>
        <v>14.007525000000003</v>
      </c>
      <c r="AA108" s="223">
        <f t="shared" si="124"/>
        <v>15.411427500000004</v>
      </c>
      <c r="AB108" s="223">
        <f t="shared" si="124"/>
        <v>15.411427500000004</v>
      </c>
      <c r="AC108" s="223">
        <f t="shared" si="124"/>
        <v>15.411427500000004</v>
      </c>
      <c r="AD108" s="223">
        <f t="shared" si="124"/>
        <v>15.411427500000004</v>
      </c>
      <c r="AE108" s="223">
        <f t="shared" si="124"/>
        <v>15.411427500000004</v>
      </c>
      <c r="AF108" s="223">
        <f t="shared" si="124"/>
        <v>15.411427500000004</v>
      </c>
      <c r="AG108" s="223">
        <f t="shared" si="124"/>
        <v>15.411427500000004</v>
      </c>
      <c r="AH108" s="239"/>
      <c r="AI108" s="223">
        <f t="shared" ref="AI108:AT108" si="125">MIN(AI62*$F$30-(1-$F$27),AI$18)*AI$22</f>
        <v>12.673500000000002</v>
      </c>
      <c r="AJ108" s="223">
        <f t="shared" si="125"/>
        <v>14.007525000000003</v>
      </c>
      <c r="AK108" s="223">
        <f t="shared" si="125"/>
        <v>15.411427500000004</v>
      </c>
      <c r="AL108" s="223">
        <f t="shared" si="125"/>
        <v>16.878505612500003</v>
      </c>
      <c r="AM108" s="223">
        <f t="shared" si="125"/>
        <v>18.400406117625003</v>
      </c>
      <c r="AN108" s="223">
        <f t="shared" si="125"/>
        <v>19.967118137623128</v>
      </c>
      <c r="AO108" s="223">
        <f t="shared" si="125"/>
        <v>21.567007588632979</v>
      </c>
      <c r="AP108" s="223">
        <f t="shared" si="125"/>
        <v>23.078903119837289</v>
      </c>
      <c r="AQ108" s="223">
        <f t="shared" si="125"/>
        <v>24.58107932262671</v>
      </c>
      <c r="AR108" s="223">
        <f t="shared" si="125"/>
        <v>26.057834081984314</v>
      </c>
      <c r="AS108" s="223">
        <f t="shared" si="125"/>
        <v>27.362300786083534</v>
      </c>
      <c r="AT108" s="223">
        <f t="shared" si="125"/>
        <v>28.731990825387712</v>
      </c>
    </row>
    <row r="109" spans="1:46" ht="13.5" customHeight="1" x14ac:dyDescent="0.3">
      <c r="A109" s="239"/>
      <c r="B109" s="219">
        <v>4</v>
      </c>
      <c r="C109" s="219" t="str">
        <f>C91</f>
        <v>Тракторист</v>
      </c>
      <c r="D109" s="89" t="s">
        <v>477</v>
      </c>
      <c r="E109" s="240"/>
      <c r="F109" s="239"/>
      <c r="G109" s="239"/>
      <c r="H109" s="239"/>
      <c r="I109" s="239"/>
      <c r="J109" s="223">
        <f t="shared" ref="J109:AG109" si="126">MIN(J63*$F$30-(1-$F$27),J$18)*J$22</f>
        <v>16.908500000000004</v>
      </c>
      <c r="K109" s="223">
        <f t="shared" si="126"/>
        <v>16.908500000000004</v>
      </c>
      <c r="L109" s="223">
        <f t="shared" si="126"/>
        <v>16.908500000000004</v>
      </c>
      <c r="M109" s="223">
        <f t="shared" si="126"/>
        <v>16.908500000000004</v>
      </c>
      <c r="N109" s="223">
        <f t="shared" si="126"/>
        <v>16.908500000000004</v>
      </c>
      <c r="O109" s="223">
        <f t="shared" si="126"/>
        <v>18.687200000000001</v>
      </c>
      <c r="P109" s="223">
        <f t="shared" si="126"/>
        <v>18.687200000000001</v>
      </c>
      <c r="Q109" s="223">
        <f t="shared" si="126"/>
        <v>18.687200000000001</v>
      </c>
      <c r="R109" s="223">
        <f t="shared" si="126"/>
        <v>18.687200000000001</v>
      </c>
      <c r="S109" s="223">
        <f t="shared" si="126"/>
        <v>18.687200000000001</v>
      </c>
      <c r="T109" s="223">
        <f t="shared" si="126"/>
        <v>18.687200000000001</v>
      </c>
      <c r="U109" s="223">
        <f t="shared" si="126"/>
        <v>18.687200000000001</v>
      </c>
      <c r="V109" s="223">
        <f t="shared" si="126"/>
        <v>18.687200000000001</v>
      </c>
      <c r="W109" s="223">
        <f t="shared" si="126"/>
        <v>18.687200000000001</v>
      </c>
      <c r="X109" s="223">
        <f t="shared" si="126"/>
        <v>18.687200000000001</v>
      </c>
      <c r="Y109" s="223">
        <f t="shared" si="126"/>
        <v>18.687200000000001</v>
      </c>
      <c r="Z109" s="223">
        <f t="shared" si="126"/>
        <v>18.687200000000001</v>
      </c>
      <c r="AA109" s="223">
        <f t="shared" si="126"/>
        <v>20.559070000000002</v>
      </c>
      <c r="AB109" s="223">
        <f t="shared" si="126"/>
        <v>20.559070000000002</v>
      </c>
      <c r="AC109" s="223">
        <f t="shared" si="126"/>
        <v>20.559070000000002</v>
      </c>
      <c r="AD109" s="223">
        <f t="shared" si="126"/>
        <v>20.559070000000002</v>
      </c>
      <c r="AE109" s="223">
        <f t="shared" si="126"/>
        <v>20.559070000000002</v>
      </c>
      <c r="AF109" s="223">
        <f t="shared" si="126"/>
        <v>20.559070000000002</v>
      </c>
      <c r="AG109" s="223">
        <f t="shared" si="126"/>
        <v>20.559070000000002</v>
      </c>
      <c r="AH109" s="239"/>
      <c r="AI109" s="223">
        <f t="shared" ref="AI109:AT109" si="127">MIN(AI63*$F$30-(1-$F$27),AI$18)*AI$22</f>
        <v>16.908500000000004</v>
      </c>
      <c r="AJ109" s="223">
        <f t="shared" si="127"/>
        <v>18.687200000000001</v>
      </c>
      <c r="AK109" s="223">
        <f t="shared" si="127"/>
        <v>20.559070000000002</v>
      </c>
      <c r="AL109" s="223">
        <f t="shared" si="127"/>
        <v>22.515174150000004</v>
      </c>
      <c r="AM109" s="223">
        <f t="shared" si="127"/>
        <v>24.544374823500004</v>
      </c>
      <c r="AN109" s="223">
        <f t="shared" si="127"/>
        <v>26.633324183497503</v>
      </c>
      <c r="AO109" s="223">
        <f t="shared" si="127"/>
        <v>28.766510118177305</v>
      </c>
      <c r="AP109" s="223">
        <f t="shared" si="127"/>
        <v>30.782370826449718</v>
      </c>
      <c r="AQ109" s="223">
        <f t="shared" si="127"/>
        <v>32.785272430168945</v>
      </c>
      <c r="AR109" s="223">
        <f t="shared" si="127"/>
        <v>34.754278775979088</v>
      </c>
      <c r="AS109" s="223">
        <f t="shared" si="127"/>
        <v>36.493567714778038</v>
      </c>
      <c r="AT109" s="223">
        <f t="shared" si="127"/>
        <v>38.319821100516933</v>
      </c>
    </row>
    <row r="110" spans="1:46" ht="13.5" customHeight="1" x14ac:dyDescent="0.3">
      <c r="A110" s="239"/>
      <c r="B110" s="219">
        <v>5</v>
      </c>
      <c r="C110" s="219" t="str">
        <f>C92</f>
        <v xml:space="preserve">Бухглатер </v>
      </c>
      <c r="D110" s="89" t="s">
        <v>477</v>
      </c>
      <c r="E110" s="240"/>
      <c r="F110" s="239"/>
      <c r="G110" s="239"/>
      <c r="H110" s="239"/>
      <c r="I110" s="239"/>
      <c r="J110" s="223">
        <f t="shared" ref="J110:AG110" si="128">MIN(J64*$F$30-(1-$F$27),J$18)*J$22</f>
        <v>12.673500000000002</v>
      </c>
      <c r="K110" s="223">
        <f t="shared" si="128"/>
        <v>12.673500000000002</v>
      </c>
      <c r="L110" s="223">
        <f t="shared" si="128"/>
        <v>12.673500000000002</v>
      </c>
      <c r="M110" s="223">
        <f t="shared" si="128"/>
        <v>12.673500000000002</v>
      </c>
      <c r="N110" s="223">
        <f t="shared" si="128"/>
        <v>12.673500000000002</v>
      </c>
      <c r="O110" s="223">
        <f t="shared" si="128"/>
        <v>14.007525000000003</v>
      </c>
      <c r="P110" s="223">
        <f t="shared" si="128"/>
        <v>14.007525000000003</v>
      </c>
      <c r="Q110" s="223">
        <f t="shared" si="128"/>
        <v>14.007525000000003</v>
      </c>
      <c r="R110" s="223">
        <f t="shared" si="128"/>
        <v>14.007525000000003</v>
      </c>
      <c r="S110" s="223">
        <f t="shared" si="128"/>
        <v>14.007525000000003</v>
      </c>
      <c r="T110" s="223">
        <f t="shared" si="128"/>
        <v>14.007525000000003</v>
      </c>
      <c r="U110" s="223">
        <f t="shared" si="128"/>
        <v>14.007525000000003</v>
      </c>
      <c r="V110" s="223">
        <f t="shared" si="128"/>
        <v>14.007525000000003</v>
      </c>
      <c r="W110" s="223">
        <f t="shared" si="128"/>
        <v>14.007525000000003</v>
      </c>
      <c r="X110" s="223">
        <f t="shared" si="128"/>
        <v>14.007525000000003</v>
      </c>
      <c r="Y110" s="223">
        <f t="shared" si="128"/>
        <v>14.007525000000003</v>
      </c>
      <c r="Z110" s="223">
        <f t="shared" si="128"/>
        <v>14.007525000000003</v>
      </c>
      <c r="AA110" s="223">
        <f t="shared" si="128"/>
        <v>15.411427500000004</v>
      </c>
      <c r="AB110" s="223">
        <f t="shared" si="128"/>
        <v>15.411427500000004</v>
      </c>
      <c r="AC110" s="223">
        <f t="shared" si="128"/>
        <v>15.411427500000004</v>
      </c>
      <c r="AD110" s="223">
        <f t="shared" si="128"/>
        <v>15.411427500000004</v>
      </c>
      <c r="AE110" s="223">
        <f t="shared" si="128"/>
        <v>15.411427500000004</v>
      </c>
      <c r="AF110" s="223">
        <f t="shared" si="128"/>
        <v>15.411427500000004</v>
      </c>
      <c r="AG110" s="223">
        <f t="shared" si="128"/>
        <v>15.411427500000004</v>
      </c>
      <c r="AH110" s="239"/>
      <c r="AI110" s="223">
        <f t="shared" ref="AI110:AT110" si="129">MIN(AI64*$F$30-(1-$F$27),AI$18)*AI$22</f>
        <v>12.673500000000002</v>
      </c>
      <c r="AJ110" s="223">
        <f t="shared" si="129"/>
        <v>14.007525000000003</v>
      </c>
      <c r="AK110" s="223">
        <f t="shared" si="129"/>
        <v>15.411427500000004</v>
      </c>
      <c r="AL110" s="223">
        <f t="shared" si="129"/>
        <v>16.878505612500003</v>
      </c>
      <c r="AM110" s="223">
        <f t="shared" si="129"/>
        <v>18.400406117625003</v>
      </c>
      <c r="AN110" s="223">
        <f t="shared" si="129"/>
        <v>19.967118137623128</v>
      </c>
      <c r="AO110" s="223">
        <f t="shared" si="129"/>
        <v>21.567007588632979</v>
      </c>
      <c r="AP110" s="223">
        <f t="shared" si="129"/>
        <v>23.078903119837289</v>
      </c>
      <c r="AQ110" s="223">
        <f t="shared" si="129"/>
        <v>24.58107932262671</v>
      </c>
      <c r="AR110" s="223">
        <f t="shared" si="129"/>
        <v>26.057834081984314</v>
      </c>
      <c r="AS110" s="223">
        <f t="shared" si="129"/>
        <v>27.362300786083534</v>
      </c>
      <c r="AT110" s="223">
        <f t="shared" si="129"/>
        <v>28.731990825387712</v>
      </c>
    </row>
    <row r="111" spans="1:46" ht="13.5" customHeight="1" x14ac:dyDescent="0.3">
      <c r="A111" s="239"/>
      <c r="B111" s="243"/>
      <c r="C111" s="239"/>
      <c r="D111" s="240"/>
      <c r="E111" s="240"/>
      <c r="F111" s="239"/>
      <c r="G111" s="239"/>
      <c r="H111" s="239"/>
      <c r="I111" s="239"/>
      <c r="J111" s="239"/>
      <c r="K111" s="239"/>
      <c r="L111" s="239"/>
      <c r="M111" s="239"/>
      <c r="N111" s="239"/>
      <c r="O111" s="239"/>
      <c r="P111" s="239"/>
      <c r="Q111" s="239"/>
      <c r="R111" s="239"/>
      <c r="S111" s="239"/>
      <c r="T111" s="239"/>
      <c r="U111" s="239"/>
      <c r="V111" s="239"/>
      <c r="W111" s="239"/>
      <c r="X111" s="239"/>
      <c r="Y111" s="239"/>
      <c r="Z111" s="239"/>
      <c r="AA111" s="239"/>
      <c r="AB111" s="239"/>
      <c r="AC111" s="239"/>
      <c r="AD111" s="239"/>
      <c r="AE111" s="239"/>
      <c r="AF111" s="239"/>
      <c r="AG111" s="239"/>
      <c r="AH111" s="239"/>
      <c r="AI111" s="239"/>
      <c r="AJ111" s="239"/>
      <c r="AK111" s="239"/>
      <c r="AL111" s="239"/>
      <c r="AM111" s="239"/>
      <c r="AN111" s="239"/>
      <c r="AO111" s="239"/>
      <c r="AP111" s="239"/>
      <c r="AQ111" s="239"/>
      <c r="AR111" s="239"/>
      <c r="AS111" s="239"/>
      <c r="AT111" s="239"/>
    </row>
    <row r="112" spans="1:46" ht="13.5" customHeight="1" x14ac:dyDescent="0.3">
      <c r="A112" s="239"/>
      <c r="B112" s="239"/>
      <c r="C112" s="239"/>
      <c r="D112" s="240"/>
      <c r="E112" s="240"/>
      <c r="F112" s="239"/>
      <c r="G112" s="239"/>
      <c r="H112" s="239"/>
      <c r="I112" s="239"/>
      <c r="J112" s="239"/>
      <c r="K112" s="239"/>
      <c r="L112" s="239"/>
      <c r="M112" s="239"/>
      <c r="N112" s="239"/>
      <c r="O112" s="239"/>
      <c r="P112" s="239"/>
      <c r="Q112" s="239"/>
      <c r="R112" s="239"/>
      <c r="S112" s="239"/>
      <c r="T112" s="239"/>
      <c r="U112" s="239"/>
      <c r="V112" s="239"/>
      <c r="W112" s="239"/>
      <c r="X112" s="239"/>
      <c r="Y112" s="239"/>
      <c r="Z112" s="239"/>
      <c r="AA112" s="239"/>
      <c r="AB112" s="239"/>
      <c r="AC112" s="239"/>
      <c r="AD112" s="239"/>
      <c r="AE112" s="239"/>
      <c r="AF112" s="239"/>
      <c r="AG112" s="239"/>
      <c r="AH112" s="239"/>
      <c r="AI112" s="239"/>
      <c r="AJ112" s="239"/>
      <c r="AK112" s="239"/>
      <c r="AL112" s="239"/>
      <c r="AM112" s="239"/>
      <c r="AN112" s="239"/>
      <c r="AO112" s="239"/>
      <c r="AP112" s="239"/>
      <c r="AQ112" s="239"/>
      <c r="AR112" s="239"/>
      <c r="AS112" s="239"/>
      <c r="AT112" s="239"/>
    </row>
    <row r="113" spans="1:46" ht="13.5" customHeight="1" x14ac:dyDescent="0.3">
      <c r="A113" s="239"/>
      <c r="B113" s="247" t="s">
        <v>511</v>
      </c>
      <c r="C113" s="239"/>
      <c r="D113" s="240"/>
      <c r="E113" s="240"/>
      <c r="F113" s="239"/>
      <c r="G113" s="239"/>
      <c r="H113" s="239"/>
      <c r="I113" s="239"/>
      <c r="J113" s="239"/>
      <c r="K113" s="239"/>
      <c r="L113" s="239"/>
      <c r="M113" s="239"/>
      <c r="N113" s="239"/>
      <c r="O113" s="239"/>
      <c r="P113" s="239"/>
      <c r="Q113" s="239"/>
      <c r="R113" s="239"/>
      <c r="S113" s="239"/>
      <c r="T113" s="239"/>
      <c r="U113" s="239"/>
      <c r="V113" s="239"/>
      <c r="W113" s="239"/>
      <c r="X113" s="239"/>
      <c r="Y113" s="239"/>
      <c r="Z113" s="239"/>
      <c r="AA113" s="239"/>
      <c r="AB113" s="239"/>
      <c r="AC113" s="239"/>
      <c r="AD113" s="239"/>
      <c r="AE113" s="239"/>
      <c r="AF113" s="239"/>
      <c r="AG113" s="239"/>
      <c r="AH113" s="239"/>
      <c r="AI113" s="239"/>
      <c r="AJ113" s="239"/>
      <c r="AK113" s="239"/>
      <c r="AL113" s="239"/>
      <c r="AM113" s="239"/>
      <c r="AN113" s="239"/>
      <c r="AO113" s="239"/>
      <c r="AP113" s="239"/>
      <c r="AQ113" s="239"/>
      <c r="AR113" s="239"/>
      <c r="AS113" s="239"/>
      <c r="AT113" s="239"/>
    </row>
    <row r="114" spans="1:46" ht="13.5" customHeight="1" x14ac:dyDescent="0.3">
      <c r="A114" s="239"/>
      <c r="B114" s="239"/>
      <c r="C114" s="239"/>
      <c r="D114" s="240"/>
      <c r="E114" s="240"/>
      <c r="F114" s="239"/>
      <c r="G114" s="239"/>
      <c r="H114" s="239"/>
      <c r="I114" s="239"/>
      <c r="J114" s="239"/>
      <c r="K114" s="239"/>
      <c r="L114" s="239"/>
      <c r="M114" s="239"/>
      <c r="N114" s="239"/>
      <c r="O114" s="239"/>
      <c r="P114" s="239"/>
      <c r="Q114" s="239"/>
      <c r="R114" s="239"/>
      <c r="S114" s="239"/>
      <c r="T114" s="239"/>
      <c r="U114" s="239"/>
      <c r="V114" s="239"/>
      <c r="W114" s="239"/>
      <c r="X114" s="239"/>
      <c r="Y114" s="239"/>
      <c r="Z114" s="239"/>
      <c r="AA114" s="239"/>
      <c r="AB114" s="239"/>
      <c r="AC114" s="239"/>
      <c r="AD114" s="239"/>
      <c r="AE114" s="239"/>
      <c r="AF114" s="239"/>
      <c r="AG114" s="239"/>
      <c r="AH114" s="239"/>
      <c r="AI114" s="239"/>
      <c r="AJ114" s="239"/>
      <c r="AK114" s="239"/>
      <c r="AL114" s="239"/>
      <c r="AM114" s="239"/>
      <c r="AN114" s="239"/>
      <c r="AO114" s="239"/>
      <c r="AP114" s="239"/>
      <c r="AQ114" s="239"/>
      <c r="AR114" s="239"/>
      <c r="AS114" s="239"/>
      <c r="AT114" s="239"/>
    </row>
    <row r="115" spans="1:46" ht="13.5" customHeight="1" x14ac:dyDescent="0.3">
      <c r="A115" s="239"/>
      <c r="B115" s="230" t="s">
        <v>492</v>
      </c>
      <c r="C115" s="228"/>
      <c r="D115" s="240"/>
      <c r="E115" s="240"/>
      <c r="F115" s="239"/>
      <c r="G115" s="239"/>
      <c r="H115" s="239"/>
      <c r="I115" s="239"/>
      <c r="J115" s="239"/>
      <c r="K115" s="239"/>
      <c r="L115" s="239"/>
      <c r="M115" s="239"/>
      <c r="N115" s="239"/>
      <c r="O115" s="239"/>
      <c r="P115" s="239"/>
      <c r="Q115" s="239"/>
      <c r="R115" s="239"/>
      <c r="S115" s="239"/>
      <c r="T115" s="239"/>
      <c r="U115" s="239"/>
      <c r="V115" s="239"/>
      <c r="W115" s="239"/>
      <c r="X115" s="239"/>
      <c r="Y115" s="239"/>
      <c r="Z115" s="239"/>
      <c r="AA115" s="239"/>
      <c r="AB115" s="239"/>
      <c r="AC115" s="239"/>
      <c r="AD115" s="239"/>
      <c r="AE115" s="239"/>
      <c r="AF115" s="239"/>
      <c r="AG115" s="239"/>
      <c r="AH115" s="239"/>
      <c r="AI115" s="239"/>
      <c r="AJ115" s="239"/>
      <c r="AK115" s="239"/>
      <c r="AL115" s="239"/>
      <c r="AM115" s="239"/>
      <c r="AN115" s="239"/>
      <c r="AO115" s="239"/>
      <c r="AP115" s="239"/>
      <c r="AQ115" s="239"/>
      <c r="AR115" s="239"/>
      <c r="AS115" s="239"/>
      <c r="AT115" s="239"/>
    </row>
    <row r="116" spans="1:46" ht="13.5" customHeight="1" x14ac:dyDescent="0.3">
      <c r="A116" s="239"/>
      <c r="B116" s="219">
        <v>1</v>
      </c>
      <c r="C116" s="219" t="str">
        <f>C106</f>
        <v>Директор фермы</v>
      </c>
      <c r="D116" s="89" t="s">
        <v>477</v>
      </c>
      <c r="E116" s="240"/>
      <c r="F116" s="239"/>
      <c r="G116" s="239"/>
      <c r="H116" s="239"/>
      <c r="I116" s="239"/>
      <c r="J116" s="223">
        <f t="shared" ref="J116:AG116" si="130">(J60*$F$30*(1-$F$27-J$25))*J$23-J106</f>
        <v>37.9086</v>
      </c>
      <c r="K116" s="223">
        <f t="shared" si="130"/>
        <v>37.9086</v>
      </c>
      <c r="L116" s="223">
        <f t="shared" si="130"/>
        <v>37.9086</v>
      </c>
      <c r="M116" s="223">
        <f t="shared" si="130"/>
        <v>37.9086</v>
      </c>
      <c r="N116" s="223">
        <f t="shared" si="130"/>
        <v>37.9086</v>
      </c>
      <c r="O116" s="223">
        <f t="shared" si="130"/>
        <v>41.889003000000002</v>
      </c>
      <c r="P116" s="223">
        <f t="shared" si="130"/>
        <v>41.889003000000002</v>
      </c>
      <c r="Q116" s="223">
        <f t="shared" si="130"/>
        <v>41.889003000000002</v>
      </c>
      <c r="R116" s="223">
        <f t="shared" si="130"/>
        <v>41.889003000000002</v>
      </c>
      <c r="S116" s="223">
        <f t="shared" si="130"/>
        <v>41.889003000000002</v>
      </c>
      <c r="T116" s="223">
        <f t="shared" si="130"/>
        <v>41.889003000000002</v>
      </c>
      <c r="U116" s="223">
        <f t="shared" si="130"/>
        <v>41.889003000000002</v>
      </c>
      <c r="V116" s="223">
        <f t="shared" si="130"/>
        <v>41.889003000000002</v>
      </c>
      <c r="W116" s="223">
        <f t="shared" si="130"/>
        <v>41.889003000000002</v>
      </c>
      <c r="X116" s="223">
        <f t="shared" si="130"/>
        <v>41.889003000000002</v>
      </c>
      <c r="Y116" s="223">
        <f t="shared" si="130"/>
        <v>41.889003000000002</v>
      </c>
      <c r="Z116" s="223">
        <f t="shared" si="130"/>
        <v>41.889003000000002</v>
      </c>
      <c r="AA116" s="223">
        <f t="shared" si="130"/>
        <v>46.07790330000001</v>
      </c>
      <c r="AB116" s="223">
        <f t="shared" si="130"/>
        <v>46.07790330000001</v>
      </c>
      <c r="AC116" s="223">
        <f t="shared" si="130"/>
        <v>46.07790330000001</v>
      </c>
      <c r="AD116" s="223">
        <f t="shared" si="130"/>
        <v>46.07790330000001</v>
      </c>
      <c r="AE116" s="223">
        <f t="shared" si="130"/>
        <v>46.07790330000001</v>
      </c>
      <c r="AF116" s="223">
        <f t="shared" si="130"/>
        <v>46.07790330000001</v>
      </c>
      <c r="AG116" s="223">
        <f t="shared" si="130"/>
        <v>46.07790330000001</v>
      </c>
      <c r="AH116" s="239"/>
      <c r="AI116" s="223">
        <f t="shared" ref="AI116:AT116" si="131">(AI60*$F$30*(1-$F$27-AI$25))*AI$23-AI106</f>
        <v>39.868600000000001</v>
      </c>
      <c r="AJ116" s="223">
        <f t="shared" si="131"/>
        <v>44.054803</v>
      </c>
      <c r="AK116" s="223">
        <f t="shared" si="131"/>
        <v>48.460283300000008</v>
      </c>
      <c r="AL116" s="223">
        <f t="shared" si="131"/>
        <v>53.064010213500012</v>
      </c>
      <c r="AM116" s="223">
        <f t="shared" si="131"/>
        <v>57.839771132714993</v>
      </c>
      <c r="AN116" s="223">
        <f t="shared" si="131"/>
        <v>62.756151678995771</v>
      </c>
      <c r="AO116" s="223">
        <f t="shared" si="131"/>
        <v>67.776643813315445</v>
      </c>
      <c r="AP116" s="223">
        <f t="shared" si="131"/>
        <v>72.521008880247507</v>
      </c>
      <c r="AQ116" s="223">
        <f t="shared" si="131"/>
        <v>77.234874457463576</v>
      </c>
      <c r="AR116" s="223">
        <f t="shared" si="131"/>
        <v>81.868966924911419</v>
      </c>
      <c r="AS116" s="223">
        <f t="shared" si="131"/>
        <v>85.962415271156999</v>
      </c>
      <c r="AT116" s="223">
        <f t="shared" si="131"/>
        <v>90.260536034714846</v>
      </c>
    </row>
    <row r="117" spans="1:46" ht="13.5" customHeight="1" x14ac:dyDescent="0.3">
      <c r="A117" s="239"/>
      <c r="B117" s="219">
        <v>2</v>
      </c>
      <c r="C117" s="219" t="str">
        <f>C107</f>
        <v>Ветеринар</v>
      </c>
      <c r="D117" s="89" t="s">
        <v>477</v>
      </c>
      <c r="E117" s="240"/>
      <c r="F117" s="239"/>
      <c r="G117" s="239"/>
      <c r="H117" s="239"/>
      <c r="I117" s="239"/>
      <c r="J117" s="223">
        <f t="shared" ref="J117:AG117" si="132">(J61*$F$30*(1-$F$27-J$25))*J$23-J107</f>
        <v>23.553899999999999</v>
      </c>
      <c r="K117" s="223">
        <f t="shared" si="132"/>
        <v>23.553899999999999</v>
      </c>
      <c r="L117" s="223">
        <f t="shared" si="132"/>
        <v>23.553899999999999</v>
      </c>
      <c r="M117" s="223">
        <f t="shared" si="132"/>
        <v>23.553899999999999</v>
      </c>
      <c r="N117" s="223">
        <f t="shared" si="132"/>
        <v>23.553899999999999</v>
      </c>
      <c r="O117" s="223">
        <f t="shared" si="132"/>
        <v>26.023751999999991</v>
      </c>
      <c r="P117" s="223">
        <f t="shared" si="132"/>
        <v>26.023751999999991</v>
      </c>
      <c r="Q117" s="223">
        <f t="shared" si="132"/>
        <v>26.023751999999991</v>
      </c>
      <c r="R117" s="223">
        <f t="shared" si="132"/>
        <v>26.023751999999991</v>
      </c>
      <c r="S117" s="223">
        <f t="shared" si="132"/>
        <v>26.023751999999991</v>
      </c>
      <c r="T117" s="223">
        <f t="shared" si="132"/>
        <v>26.023751999999991</v>
      </c>
      <c r="U117" s="223">
        <f t="shared" si="132"/>
        <v>26.023751999999991</v>
      </c>
      <c r="V117" s="223">
        <f t="shared" si="132"/>
        <v>26.023751999999991</v>
      </c>
      <c r="W117" s="223">
        <f t="shared" si="132"/>
        <v>26.023751999999991</v>
      </c>
      <c r="X117" s="223">
        <f t="shared" si="132"/>
        <v>26.023751999999991</v>
      </c>
      <c r="Y117" s="223">
        <f t="shared" si="132"/>
        <v>26.023751999999991</v>
      </c>
      <c r="Z117" s="223">
        <f t="shared" si="132"/>
        <v>26.023751999999991</v>
      </c>
      <c r="AA117" s="223">
        <f t="shared" si="132"/>
        <v>28.622977200000005</v>
      </c>
      <c r="AB117" s="223">
        <f t="shared" si="132"/>
        <v>28.622977200000005</v>
      </c>
      <c r="AC117" s="223">
        <f t="shared" si="132"/>
        <v>28.622977200000005</v>
      </c>
      <c r="AD117" s="223">
        <f t="shared" si="132"/>
        <v>28.622977200000005</v>
      </c>
      <c r="AE117" s="223">
        <f t="shared" si="132"/>
        <v>28.622977200000005</v>
      </c>
      <c r="AF117" s="223">
        <f t="shared" si="132"/>
        <v>28.622977200000005</v>
      </c>
      <c r="AG117" s="223">
        <f t="shared" si="132"/>
        <v>28.622977200000005</v>
      </c>
      <c r="AH117" s="239"/>
      <c r="AI117" s="223">
        <f t="shared" ref="AI117:AT117" si="133">(AI61*$F$30*(1-$F$27-AI$25))*AI$23-AI107</f>
        <v>23.553899999999999</v>
      </c>
      <c r="AJ117" s="223">
        <f t="shared" si="133"/>
        <v>26.023751999999991</v>
      </c>
      <c r="AK117" s="223">
        <f t="shared" si="133"/>
        <v>28.622977200000005</v>
      </c>
      <c r="AL117" s="223">
        <f t="shared" si="133"/>
        <v>31.339167533999994</v>
      </c>
      <c r="AM117" s="223">
        <f t="shared" si="133"/>
        <v>34.156857612059994</v>
      </c>
      <c r="AN117" s="223">
        <f t="shared" si="133"/>
        <v>37.057513009085099</v>
      </c>
      <c r="AO117" s="223">
        <f t="shared" si="133"/>
        <v>40.0195940498119</v>
      </c>
      <c r="AP117" s="223">
        <f t="shared" si="133"/>
        <v>42.818760633298737</v>
      </c>
      <c r="AQ117" s="223">
        <f t="shared" si="133"/>
        <v>45.599932574463153</v>
      </c>
      <c r="AR117" s="223">
        <f t="shared" si="133"/>
        <v>48.334038528930947</v>
      </c>
      <c r="AS117" s="223">
        <f t="shared" si="133"/>
        <v>50.749165455377494</v>
      </c>
      <c r="AT117" s="223">
        <f t="shared" si="133"/>
        <v>53.285048728146378</v>
      </c>
    </row>
    <row r="118" spans="1:46" ht="13.5" customHeight="1" x14ac:dyDescent="0.3">
      <c r="A118" s="239"/>
      <c r="B118" s="219">
        <v>3</v>
      </c>
      <c r="C118" s="219" t="str">
        <f>C108</f>
        <v>Повар</v>
      </c>
      <c r="D118" s="89" t="s">
        <v>477</v>
      </c>
      <c r="E118" s="240"/>
      <c r="F118" s="239"/>
      <c r="G118" s="239"/>
      <c r="H118" s="239"/>
      <c r="I118" s="239"/>
      <c r="J118" s="223">
        <f t="shared" ref="J118:AG118" si="134">(J62*$F$30*(1-$F$27-J$25))*J$23-J108</f>
        <v>17.673299999999998</v>
      </c>
      <c r="K118" s="223">
        <f t="shared" si="134"/>
        <v>17.673299999999998</v>
      </c>
      <c r="L118" s="223">
        <f t="shared" si="134"/>
        <v>17.673299999999998</v>
      </c>
      <c r="M118" s="223">
        <f t="shared" si="134"/>
        <v>17.673299999999998</v>
      </c>
      <c r="N118" s="223">
        <f t="shared" si="134"/>
        <v>17.673299999999998</v>
      </c>
      <c r="O118" s="223">
        <f t="shared" si="134"/>
        <v>19.525689</v>
      </c>
      <c r="P118" s="223">
        <f t="shared" si="134"/>
        <v>19.525689</v>
      </c>
      <c r="Q118" s="223">
        <f t="shared" si="134"/>
        <v>19.525689</v>
      </c>
      <c r="R118" s="223">
        <f t="shared" si="134"/>
        <v>19.525689</v>
      </c>
      <c r="S118" s="223">
        <f t="shared" si="134"/>
        <v>19.525689</v>
      </c>
      <c r="T118" s="223">
        <f t="shared" si="134"/>
        <v>19.525689</v>
      </c>
      <c r="U118" s="223">
        <f t="shared" si="134"/>
        <v>19.525689</v>
      </c>
      <c r="V118" s="223">
        <f t="shared" si="134"/>
        <v>19.525689</v>
      </c>
      <c r="W118" s="223">
        <f t="shared" si="134"/>
        <v>19.525689</v>
      </c>
      <c r="X118" s="223">
        <f t="shared" si="134"/>
        <v>19.525689</v>
      </c>
      <c r="Y118" s="223">
        <f t="shared" si="134"/>
        <v>19.525689</v>
      </c>
      <c r="Z118" s="223">
        <f t="shared" si="134"/>
        <v>19.525689</v>
      </c>
      <c r="AA118" s="223">
        <f t="shared" si="134"/>
        <v>21.475107900000005</v>
      </c>
      <c r="AB118" s="223">
        <f t="shared" si="134"/>
        <v>21.475107900000005</v>
      </c>
      <c r="AC118" s="223">
        <f t="shared" si="134"/>
        <v>21.475107900000005</v>
      </c>
      <c r="AD118" s="223">
        <f t="shared" si="134"/>
        <v>21.475107900000005</v>
      </c>
      <c r="AE118" s="223">
        <f t="shared" si="134"/>
        <v>21.475107900000005</v>
      </c>
      <c r="AF118" s="223">
        <f t="shared" si="134"/>
        <v>21.475107900000005</v>
      </c>
      <c r="AG118" s="223">
        <f t="shared" si="134"/>
        <v>21.475107900000005</v>
      </c>
      <c r="AH118" s="239"/>
      <c r="AI118" s="223">
        <f t="shared" ref="AI118:AT118" si="135">(AI62*$F$30*(1-$F$27-AI$25))*AI$23-AI108</f>
        <v>17.673299999999998</v>
      </c>
      <c r="AJ118" s="223">
        <f t="shared" si="135"/>
        <v>19.525689</v>
      </c>
      <c r="AK118" s="223">
        <f t="shared" si="135"/>
        <v>21.475107900000005</v>
      </c>
      <c r="AL118" s="223">
        <f t="shared" si="135"/>
        <v>23.512250650500004</v>
      </c>
      <c r="AM118" s="223">
        <f t="shared" si="135"/>
        <v>25.625518209044998</v>
      </c>
      <c r="AN118" s="223">
        <f t="shared" si="135"/>
        <v>27.801009756813823</v>
      </c>
      <c r="AO118" s="223">
        <f t="shared" si="135"/>
        <v>30.022570537358934</v>
      </c>
      <c r="AP118" s="223">
        <f t="shared" si="135"/>
        <v>32.121945474974055</v>
      </c>
      <c r="AQ118" s="223">
        <f t="shared" si="135"/>
        <v>34.207824430847367</v>
      </c>
      <c r="AR118" s="223">
        <f t="shared" si="135"/>
        <v>36.258403896698212</v>
      </c>
      <c r="AS118" s="223">
        <f t="shared" si="135"/>
        <v>38.069749091533126</v>
      </c>
      <c r="AT118" s="223">
        <f t="shared" si="135"/>
        <v>39.971661546109786</v>
      </c>
    </row>
    <row r="119" spans="1:46" ht="13.5" customHeight="1" x14ac:dyDescent="0.3">
      <c r="A119" s="239"/>
      <c r="B119" s="219">
        <v>4</v>
      </c>
      <c r="C119" s="219" t="str">
        <f>C109</f>
        <v>Тракторист</v>
      </c>
      <c r="D119" s="89" t="s">
        <v>477</v>
      </c>
      <c r="E119" s="240"/>
      <c r="F119" s="239"/>
      <c r="G119" s="239"/>
      <c r="H119" s="239"/>
      <c r="I119" s="239"/>
      <c r="J119" s="223">
        <f t="shared" ref="J119:AG119" si="136">(J63*$F$30*(1-$F$27-J$25))*J$23-J109</f>
        <v>23.553899999999999</v>
      </c>
      <c r="K119" s="223">
        <f t="shared" si="136"/>
        <v>23.553899999999999</v>
      </c>
      <c r="L119" s="223">
        <f t="shared" si="136"/>
        <v>23.553899999999999</v>
      </c>
      <c r="M119" s="223">
        <f t="shared" si="136"/>
        <v>23.553899999999999</v>
      </c>
      <c r="N119" s="223">
        <f t="shared" si="136"/>
        <v>23.553899999999999</v>
      </c>
      <c r="O119" s="223">
        <f t="shared" si="136"/>
        <v>26.023751999999991</v>
      </c>
      <c r="P119" s="223">
        <f t="shared" si="136"/>
        <v>26.023751999999991</v>
      </c>
      <c r="Q119" s="223">
        <f t="shared" si="136"/>
        <v>26.023751999999991</v>
      </c>
      <c r="R119" s="223">
        <f t="shared" si="136"/>
        <v>26.023751999999991</v>
      </c>
      <c r="S119" s="223">
        <f t="shared" si="136"/>
        <v>26.023751999999991</v>
      </c>
      <c r="T119" s="223">
        <f t="shared" si="136"/>
        <v>26.023751999999991</v>
      </c>
      <c r="U119" s="223">
        <f t="shared" si="136"/>
        <v>26.023751999999991</v>
      </c>
      <c r="V119" s="223">
        <f t="shared" si="136"/>
        <v>26.023751999999991</v>
      </c>
      <c r="W119" s="223">
        <f t="shared" si="136"/>
        <v>26.023751999999991</v>
      </c>
      <c r="X119" s="223">
        <f t="shared" si="136"/>
        <v>26.023751999999991</v>
      </c>
      <c r="Y119" s="223">
        <f t="shared" si="136"/>
        <v>26.023751999999991</v>
      </c>
      <c r="Z119" s="223">
        <f t="shared" si="136"/>
        <v>26.023751999999991</v>
      </c>
      <c r="AA119" s="223">
        <f t="shared" si="136"/>
        <v>28.622977200000005</v>
      </c>
      <c r="AB119" s="223">
        <f t="shared" si="136"/>
        <v>28.622977200000005</v>
      </c>
      <c r="AC119" s="223">
        <f t="shared" si="136"/>
        <v>28.622977200000005</v>
      </c>
      <c r="AD119" s="223">
        <f t="shared" si="136"/>
        <v>28.622977200000005</v>
      </c>
      <c r="AE119" s="223">
        <f t="shared" si="136"/>
        <v>28.622977200000005</v>
      </c>
      <c r="AF119" s="223">
        <f t="shared" si="136"/>
        <v>28.622977200000005</v>
      </c>
      <c r="AG119" s="223">
        <f t="shared" si="136"/>
        <v>28.622977200000005</v>
      </c>
      <c r="AH119" s="239"/>
      <c r="AI119" s="223">
        <f t="shared" ref="AI119:AT119" si="137">(AI63*$F$30*(1-$F$27-AI$25))*AI$23-AI109</f>
        <v>23.553899999999999</v>
      </c>
      <c r="AJ119" s="223">
        <f t="shared" si="137"/>
        <v>26.023751999999991</v>
      </c>
      <c r="AK119" s="223">
        <f t="shared" si="137"/>
        <v>28.622977200000005</v>
      </c>
      <c r="AL119" s="223">
        <f t="shared" si="137"/>
        <v>31.339167533999994</v>
      </c>
      <c r="AM119" s="223">
        <f t="shared" si="137"/>
        <v>34.156857612059994</v>
      </c>
      <c r="AN119" s="223">
        <f t="shared" si="137"/>
        <v>37.057513009085099</v>
      </c>
      <c r="AO119" s="223">
        <f t="shared" si="137"/>
        <v>40.0195940498119</v>
      </c>
      <c r="AP119" s="223">
        <f t="shared" si="137"/>
        <v>42.818760633298737</v>
      </c>
      <c r="AQ119" s="223">
        <f t="shared" si="137"/>
        <v>45.599932574463153</v>
      </c>
      <c r="AR119" s="223">
        <f t="shared" si="137"/>
        <v>48.334038528930947</v>
      </c>
      <c r="AS119" s="223">
        <f t="shared" si="137"/>
        <v>50.749165455377494</v>
      </c>
      <c r="AT119" s="223">
        <f t="shared" si="137"/>
        <v>53.285048728146378</v>
      </c>
    </row>
    <row r="120" spans="1:46" ht="13.5" customHeight="1" x14ac:dyDescent="0.3">
      <c r="A120" s="239"/>
      <c r="B120" s="219">
        <v>5</v>
      </c>
      <c r="C120" s="219" t="str">
        <f>C110</f>
        <v xml:space="preserve">Бухглатер </v>
      </c>
      <c r="D120" s="89" t="s">
        <v>477</v>
      </c>
      <c r="E120" s="240"/>
      <c r="F120" s="239"/>
      <c r="G120" s="239"/>
      <c r="H120" s="239"/>
      <c r="I120" s="239"/>
      <c r="J120" s="223">
        <f t="shared" ref="J120:AG120" si="138">(J64*$F$30*(1-$F$27-J$25))*J$23-J110</f>
        <v>17.673299999999998</v>
      </c>
      <c r="K120" s="223">
        <f t="shared" si="138"/>
        <v>17.673299999999998</v>
      </c>
      <c r="L120" s="223">
        <f t="shared" si="138"/>
        <v>17.673299999999998</v>
      </c>
      <c r="M120" s="223">
        <f t="shared" si="138"/>
        <v>17.673299999999998</v>
      </c>
      <c r="N120" s="223">
        <f t="shared" si="138"/>
        <v>17.673299999999998</v>
      </c>
      <c r="O120" s="223">
        <f t="shared" si="138"/>
        <v>19.525689</v>
      </c>
      <c r="P120" s="223">
        <f t="shared" si="138"/>
        <v>19.525689</v>
      </c>
      <c r="Q120" s="223">
        <f t="shared" si="138"/>
        <v>19.525689</v>
      </c>
      <c r="R120" s="223">
        <f t="shared" si="138"/>
        <v>19.525689</v>
      </c>
      <c r="S120" s="223">
        <f t="shared" si="138"/>
        <v>19.525689</v>
      </c>
      <c r="T120" s="223">
        <f t="shared" si="138"/>
        <v>19.525689</v>
      </c>
      <c r="U120" s="223">
        <f t="shared" si="138"/>
        <v>19.525689</v>
      </c>
      <c r="V120" s="223">
        <f t="shared" si="138"/>
        <v>19.525689</v>
      </c>
      <c r="W120" s="223">
        <f t="shared" si="138"/>
        <v>19.525689</v>
      </c>
      <c r="X120" s="223">
        <f t="shared" si="138"/>
        <v>19.525689</v>
      </c>
      <c r="Y120" s="223">
        <f t="shared" si="138"/>
        <v>19.525689</v>
      </c>
      <c r="Z120" s="223">
        <f t="shared" si="138"/>
        <v>19.525689</v>
      </c>
      <c r="AA120" s="223">
        <f t="shared" si="138"/>
        <v>21.475107900000005</v>
      </c>
      <c r="AB120" s="223">
        <f t="shared" si="138"/>
        <v>21.475107900000005</v>
      </c>
      <c r="AC120" s="223">
        <f t="shared" si="138"/>
        <v>21.475107900000005</v>
      </c>
      <c r="AD120" s="223">
        <f t="shared" si="138"/>
        <v>21.475107900000005</v>
      </c>
      <c r="AE120" s="223">
        <f t="shared" si="138"/>
        <v>21.475107900000005</v>
      </c>
      <c r="AF120" s="223">
        <f t="shared" si="138"/>
        <v>21.475107900000005</v>
      </c>
      <c r="AG120" s="223">
        <f t="shared" si="138"/>
        <v>21.475107900000005</v>
      </c>
      <c r="AH120" s="239"/>
      <c r="AI120" s="223">
        <f t="shared" ref="AI120:AT120" si="139">(AI64*$F$30*(1-$F$27-AI$25))*AI$23-AI110</f>
        <v>17.673299999999998</v>
      </c>
      <c r="AJ120" s="223">
        <f t="shared" si="139"/>
        <v>19.525689</v>
      </c>
      <c r="AK120" s="223">
        <f t="shared" si="139"/>
        <v>21.475107900000005</v>
      </c>
      <c r="AL120" s="223">
        <f t="shared" si="139"/>
        <v>23.512250650500004</v>
      </c>
      <c r="AM120" s="223">
        <f t="shared" si="139"/>
        <v>25.625518209044998</v>
      </c>
      <c r="AN120" s="223">
        <f t="shared" si="139"/>
        <v>27.801009756813823</v>
      </c>
      <c r="AO120" s="223">
        <f t="shared" si="139"/>
        <v>30.022570537358934</v>
      </c>
      <c r="AP120" s="223">
        <f t="shared" si="139"/>
        <v>32.121945474974055</v>
      </c>
      <c r="AQ120" s="223">
        <f t="shared" si="139"/>
        <v>34.207824430847367</v>
      </c>
      <c r="AR120" s="223">
        <f t="shared" si="139"/>
        <v>36.258403896698212</v>
      </c>
      <c r="AS120" s="223">
        <f t="shared" si="139"/>
        <v>38.069749091533126</v>
      </c>
      <c r="AT120" s="223">
        <f t="shared" si="139"/>
        <v>39.971661546109786</v>
      </c>
    </row>
    <row r="121" spans="1:46" ht="13.5" customHeight="1" x14ac:dyDescent="0.3">
      <c r="A121" s="239"/>
      <c r="B121" s="243"/>
      <c r="C121" s="239"/>
      <c r="D121" s="240"/>
      <c r="E121" s="240"/>
      <c r="F121" s="239"/>
      <c r="G121" s="239"/>
      <c r="H121" s="239"/>
      <c r="I121" s="239"/>
      <c r="J121" s="239"/>
      <c r="K121" s="239"/>
      <c r="L121" s="239"/>
      <c r="M121" s="239"/>
      <c r="N121" s="239"/>
      <c r="O121" s="239"/>
      <c r="P121" s="239"/>
      <c r="Q121" s="239"/>
      <c r="R121" s="239"/>
      <c r="S121" s="239"/>
      <c r="T121" s="239"/>
      <c r="U121" s="239"/>
      <c r="V121" s="239"/>
      <c r="W121" s="239"/>
      <c r="X121" s="239"/>
      <c r="Y121" s="239"/>
      <c r="Z121" s="239"/>
      <c r="AA121" s="239"/>
      <c r="AB121" s="239"/>
      <c r="AC121" s="239"/>
      <c r="AD121" s="239"/>
      <c r="AE121" s="239"/>
      <c r="AF121" s="239"/>
      <c r="AG121" s="239"/>
      <c r="AH121" s="239"/>
      <c r="AI121" s="239"/>
      <c r="AJ121" s="239"/>
      <c r="AK121" s="239"/>
      <c r="AL121" s="239"/>
      <c r="AM121" s="239"/>
      <c r="AN121" s="239"/>
      <c r="AO121" s="239"/>
      <c r="AP121" s="239"/>
      <c r="AQ121" s="239"/>
      <c r="AR121" s="239"/>
      <c r="AS121" s="239"/>
      <c r="AT121" s="239"/>
    </row>
    <row r="122" spans="1:46" ht="13.5" customHeight="1" x14ac:dyDescent="0.3">
      <c r="A122" s="239"/>
      <c r="B122" s="239"/>
      <c r="C122" s="239"/>
      <c r="D122" s="240"/>
      <c r="E122" s="240"/>
      <c r="F122" s="239"/>
      <c r="G122" s="248"/>
      <c r="H122" s="239"/>
      <c r="I122" s="239"/>
      <c r="J122" s="248"/>
      <c r="K122" s="248"/>
      <c r="L122" s="248"/>
      <c r="M122" s="248"/>
      <c r="N122" s="248"/>
      <c r="O122" s="248"/>
      <c r="P122" s="248"/>
      <c r="Q122" s="248"/>
      <c r="R122" s="248"/>
      <c r="S122" s="248"/>
      <c r="T122" s="248"/>
      <c r="U122" s="248"/>
      <c r="V122" s="248"/>
      <c r="W122" s="248"/>
      <c r="X122" s="248"/>
      <c r="Y122" s="248"/>
      <c r="Z122" s="248"/>
      <c r="AA122" s="248"/>
      <c r="AB122" s="248"/>
      <c r="AC122" s="248"/>
      <c r="AD122" s="248"/>
      <c r="AE122" s="248"/>
      <c r="AF122" s="248"/>
      <c r="AG122" s="248"/>
      <c r="AH122" s="239"/>
      <c r="AI122" s="248"/>
      <c r="AJ122" s="248"/>
      <c r="AK122" s="248"/>
      <c r="AL122" s="248"/>
      <c r="AM122" s="248"/>
      <c r="AN122" s="248"/>
      <c r="AO122" s="248"/>
      <c r="AP122" s="248"/>
      <c r="AQ122" s="248"/>
      <c r="AR122" s="248"/>
      <c r="AS122" s="248"/>
      <c r="AT122" s="248"/>
    </row>
    <row r="123" spans="1:46" ht="13.5" customHeight="1" x14ac:dyDescent="0.3">
      <c r="A123" s="239"/>
      <c r="B123" s="247" t="s">
        <v>512</v>
      </c>
      <c r="C123" s="239"/>
      <c r="D123" s="240"/>
      <c r="E123" s="240"/>
      <c r="F123" s="239"/>
      <c r="G123" s="248"/>
      <c r="H123" s="239"/>
      <c r="I123" s="239"/>
      <c r="J123" s="248"/>
      <c r="K123" s="248"/>
      <c r="L123" s="248"/>
      <c r="M123" s="248"/>
      <c r="N123" s="248"/>
      <c r="O123" s="248"/>
      <c r="P123" s="248"/>
      <c r="Q123" s="248"/>
      <c r="R123" s="248"/>
      <c r="S123" s="248"/>
      <c r="T123" s="248"/>
      <c r="U123" s="248"/>
      <c r="V123" s="248"/>
      <c r="W123" s="248"/>
      <c r="X123" s="248"/>
      <c r="Y123" s="248"/>
      <c r="Z123" s="248"/>
      <c r="AA123" s="248"/>
      <c r="AB123" s="248"/>
      <c r="AC123" s="248"/>
      <c r="AD123" s="248"/>
      <c r="AE123" s="248"/>
      <c r="AF123" s="248"/>
      <c r="AG123" s="248"/>
      <c r="AH123" s="239"/>
      <c r="AI123" s="248"/>
      <c r="AJ123" s="248"/>
      <c r="AK123" s="248"/>
      <c r="AL123" s="248"/>
      <c r="AM123" s="248"/>
      <c r="AN123" s="248"/>
      <c r="AO123" s="248"/>
      <c r="AP123" s="248"/>
      <c r="AQ123" s="248"/>
      <c r="AR123" s="248"/>
      <c r="AS123" s="248"/>
      <c r="AT123" s="248"/>
    </row>
    <row r="124" spans="1:46" ht="13.5" customHeight="1" x14ac:dyDescent="0.3">
      <c r="A124" s="239"/>
      <c r="B124" s="239"/>
      <c r="C124" s="239"/>
      <c r="D124" s="240"/>
      <c r="E124" s="240"/>
      <c r="F124" s="239"/>
      <c r="G124" s="248"/>
      <c r="H124" s="239"/>
      <c r="I124" s="239"/>
      <c r="J124" s="248"/>
      <c r="K124" s="248"/>
      <c r="L124" s="248"/>
      <c r="M124" s="248"/>
      <c r="N124" s="248"/>
      <c r="O124" s="248"/>
      <c r="P124" s="248"/>
      <c r="Q124" s="248"/>
      <c r="R124" s="248"/>
      <c r="S124" s="248"/>
      <c r="T124" s="248"/>
      <c r="U124" s="248"/>
      <c r="V124" s="248"/>
      <c r="W124" s="248"/>
      <c r="X124" s="248"/>
      <c r="Y124" s="248"/>
      <c r="Z124" s="248"/>
      <c r="AA124" s="248"/>
      <c r="AB124" s="248"/>
      <c r="AC124" s="248"/>
      <c r="AD124" s="248"/>
      <c r="AE124" s="248"/>
      <c r="AF124" s="248"/>
      <c r="AG124" s="248"/>
      <c r="AH124" s="239"/>
      <c r="AI124" s="248"/>
      <c r="AJ124" s="248"/>
      <c r="AK124" s="248"/>
      <c r="AL124" s="248"/>
      <c r="AM124" s="248"/>
      <c r="AN124" s="248"/>
      <c r="AO124" s="248"/>
      <c r="AP124" s="248"/>
      <c r="AQ124" s="248"/>
      <c r="AR124" s="248"/>
      <c r="AS124" s="248"/>
      <c r="AT124" s="248"/>
    </row>
    <row r="125" spans="1:46" ht="13.5" customHeight="1" x14ac:dyDescent="0.3">
      <c r="A125" s="239"/>
      <c r="B125" s="230" t="s">
        <v>492</v>
      </c>
      <c r="C125" s="228"/>
      <c r="D125" s="240"/>
      <c r="E125" s="240"/>
      <c r="F125" s="239"/>
      <c r="G125" s="248"/>
      <c r="H125" s="239"/>
      <c r="I125" s="239"/>
      <c r="J125" s="248"/>
      <c r="K125" s="248"/>
      <c r="L125" s="248"/>
      <c r="M125" s="248"/>
      <c r="N125" s="248"/>
      <c r="O125" s="248"/>
      <c r="P125" s="248"/>
      <c r="Q125" s="248"/>
      <c r="R125" s="248"/>
      <c r="S125" s="248"/>
      <c r="T125" s="248"/>
      <c r="U125" s="248"/>
      <c r="V125" s="248"/>
      <c r="W125" s="248"/>
      <c r="X125" s="248"/>
      <c r="Y125" s="248"/>
      <c r="Z125" s="248"/>
      <c r="AA125" s="248"/>
      <c r="AB125" s="248"/>
      <c r="AC125" s="248"/>
      <c r="AD125" s="248"/>
      <c r="AE125" s="248"/>
      <c r="AF125" s="248"/>
      <c r="AG125" s="248"/>
      <c r="AH125" s="239"/>
      <c r="AI125" s="248"/>
      <c r="AJ125" s="248"/>
      <c r="AK125" s="248"/>
      <c r="AL125" s="248"/>
      <c r="AM125" s="248"/>
      <c r="AN125" s="248"/>
      <c r="AO125" s="248"/>
      <c r="AP125" s="248"/>
      <c r="AQ125" s="248"/>
      <c r="AR125" s="248"/>
      <c r="AS125" s="248"/>
      <c r="AT125" s="248"/>
    </row>
    <row r="126" spans="1:46" ht="13.5" customHeight="1" x14ac:dyDescent="0.3">
      <c r="A126" s="239"/>
      <c r="B126" s="219">
        <v>1</v>
      </c>
      <c r="C126" s="219" t="str">
        <f>C116</f>
        <v>Директор фермы</v>
      </c>
      <c r="D126" s="89" t="s">
        <v>477</v>
      </c>
      <c r="E126" s="240"/>
      <c r="F126" s="239"/>
      <c r="G126" s="248"/>
      <c r="H126" s="239"/>
      <c r="I126" s="239"/>
      <c r="J126" s="223">
        <f t="shared" ref="J126:AG126" si="140">MIN(J60*$F$30,J$19)*J$24</f>
        <v>21.779999999999998</v>
      </c>
      <c r="K126" s="223">
        <f t="shared" si="140"/>
        <v>21.779999999999998</v>
      </c>
      <c r="L126" s="223">
        <f t="shared" si="140"/>
        <v>21.779999999999998</v>
      </c>
      <c r="M126" s="223">
        <f t="shared" si="140"/>
        <v>21.779999999999998</v>
      </c>
      <c r="N126" s="223">
        <f t="shared" si="140"/>
        <v>21.779999999999998</v>
      </c>
      <c r="O126" s="223">
        <f t="shared" si="140"/>
        <v>24.0669</v>
      </c>
      <c r="P126" s="223">
        <f t="shared" si="140"/>
        <v>24.0669</v>
      </c>
      <c r="Q126" s="223">
        <f t="shared" si="140"/>
        <v>24.0669</v>
      </c>
      <c r="R126" s="223">
        <f t="shared" si="140"/>
        <v>24.0669</v>
      </c>
      <c r="S126" s="223">
        <f t="shared" si="140"/>
        <v>24.0669</v>
      </c>
      <c r="T126" s="223">
        <f t="shared" si="140"/>
        <v>24.0669</v>
      </c>
      <c r="U126" s="223">
        <f t="shared" si="140"/>
        <v>24.0669</v>
      </c>
      <c r="V126" s="223">
        <f t="shared" si="140"/>
        <v>24.0669</v>
      </c>
      <c r="W126" s="223">
        <f t="shared" si="140"/>
        <v>24.0669</v>
      </c>
      <c r="X126" s="223">
        <f t="shared" si="140"/>
        <v>24.0669</v>
      </c>
      <c r="Y126" s="223">
        <f t="shared" si="140"/>
        <v>24.0669</v>
      </c>
      <c r="Z126" s="223">
        <f t="shared" si="140"/>
        <v>24.0669</v>
      </c>
      <c r="AA126" s="223">
        <f t="shared" si="140"/>
        <v>26.473590000000002</v>
      </c>
      <c r="AB126" s="223">
        <f t="shared" si="140"/>
        <v>26.473590000000002</v>
      </c>
      <c r="AC126" s="223">
        <f t="shared" si="140"/>
        <v>26.473590000000002</v>
      </c>
      <c r="AD126" s="223">
        <f t="shared" si="140"/>
        <v>26.473590000000002</v>
      </c>
      <c r="AE126" s="223">
        <f t="shared" si="140"/>
        <v>26.473590000000002</v>
      </c>
      <c r="AF126" s="223">
        <f t="shared" si="140"/>
        <v>26.473590000000002</v>
      </c>
      <c r="AG126" s="223">
        <f t="shared" si="140"/>
        <v>26.473590000000002</v>
      </c>
      <c r="AH126" s="239"/>
      <c r="AI126" s="223">
        <f t="shared" ref="AI126:AT126" si="141">MIN(AI60*$F$30,AI$19)*AI$24</f>
        <v>21.779999999999998</v>
      </c>
      <c r="AJ126" s="223">
        <f t="shared" si="141"/>
        <v>24.0669</v>
      </c>
      <c r="AK126" s="223">
        <f t="shared" si="141"/>
        <v>26.473590000000002</v>
      </c>
      <c r="AL126" s="223">
        <f t="shared" si="141"/>
        <v>28.988581050000001</v>
      </c>
      <c r="AM126" s="223">
        <f t="shared" si="141"/>
        <v>31.5975533445</v>
      </c>
      <c r="AN126" s="223">
        <f t="shared" si="141"/>
        <v>34.283345378782499</v>
      </c>
      <c r="AO126" s="223">
        <f t="shared" si="141"/>
        <v>37.026013009085105</v>
      </c>
      <c r="AP126" s="223">
        <f t="shared" si="141"/>
        <v>39.617833919721058</v>
      </c>
      <c r="AQ126" s="223">
        <f t="shared" si="141"/>
        <v>42.192993124502927</v>
      </c>
      <c r="AR126" s="223">
        <f t="shared" si="141"/>
        <v>44.724572711973103</v>
      </c>
      <c r="AS126" s="223">
        <f t="shared" si="141"/>
        <v>46.960801347571767</v>
      </c>
      <c r="AT126" s="223">
        <f t="shared" si="141"/>
        <v>49.308841414950351</v>
      </c>
    </row>
    <row r="127" spans="1:46" ht="13.5" customHeight="1" x14ac:dyDescent="0.3">
      <c r="A127" s="239"/>
      <c r="B127" s="219">
        <v>2</v>
      </c>
      <c r="C127" s="219" t="str">
        <f>C117</f>
        <v>Ветеринар</v>
      </c>
      <c r="D127" s="89" t="s">
        <v>477</v>
      </c>
      <c r="E127" s="240"/>
      <c r="F127" s="239"/>
      <c r="G127" s="248"/>
      <c r="H127" s="239"/>
      <c r="I127" s="239"/>
      <c r="J127" s="223">
        <f t="shared" ref="J127:AG127" si="142">MIN(J61*$F$30,J$19)*J$24</f>
        <v>14.52</v>
      </c>
      <c r="K127" s="223">
        <f t="shared" si="142"/>
        <v>14.52</v>
      </c>
      <c r="L127" s="223">
        <f t="shared" si="142"/>
        <v>14.52</v>
      </c>
      <c r="M127" s="223">
        <f t="shared" si="142"/>
        <v>14.52</v>
      </c>
      <c r="N127" s="223">
        <f t="shared" si="142"/>
        <v>14.52</v>
      </c>
      <c r="O127" s="223">
        <f t="shared" si="142"/>
        <v>16.044599999999999</v>
      </c>
      <c r="P127" s="223">
        <f t="shared" si="142"/>
        <v>16.044599999999999</v>
      </c>
      <c r="Q127" s="223">
        <f t="shared" si="142"/>
        <v>16.044599999999999</v>
      </c>
      <c r="R127" s="223">
        <f t="shared" si="142"/>
        <v>16.044599999999999</v>
      </c>
      <c r="S127" s="223">
        <f t="shared" si="142"/>
        <v>16.044599999999999</v>
      </c>
      <c r="T127" s="223">
        <f t="shared" si="142"/>
        <v>16.044599999999999</v>
      </c>
      <c r="U127" s="223">
        <f t="shared" si="142"/>
        <v>16.044599999999999</v>
      </c>
      <c r="V127" s="223">
        <f t="shared" si="142"/>
        <v>16.044599999999999</v>
      </c>
      <c r="W127" s="223">
        <f t="shared" si="142"/>
        <v>16.044599999999999</v>
      </c>
      <c r="X127" s="223">
        <f t="shared" si="142"/>
        <v>16.044599999999999</v>
      </c>
      <c r="Y127" s="223">
        <f t="shared" si="142"/>
        <v>16.044599999999999</v>
      </c>
      <c r="Z127" s="223">
        <f t="shared" si="142"/>
        <v>16.044599999999999</v>
      </c>
      <c r="AA127" s="223">
        <f t="shared" si="142"/>
        <v>17.649059999999999</v>
      </c>
      <c r="AB127" s="223">
        <f t="shared" si="142"/>
        <v>17.649059999999999</v>
      </c>
      <c r="AC127" s="223">
        <f t="shared" si="142"/>
        <v>17.649059999999999</v>
      </c>
      <c r="AD127" s="223">
        <f t="shared" si="142"/>
        <v>17.649059999999999</v>
      </c>
      <c r="AE127" s="223">
        <f t="shared" si="142"/>
        <v>17.649059999999999</v>
      </c>
      <c r="AF127" s="223">
        <f t="shared" si="142"/>
        <v>17.649059999999999</v>
      </c>
      <c r="AG127" s="223">
        <f t="shared" si="142"/>
        <v>17.649059999999999</v>
      </c>
      <c r="AH127" s="239"/>
      <c r="AI127" s="223">
        <f t="shared" ref="AI127:AT127" si="143">MIN(AI61*$F$30,AI$19)*AI$24</f>
        <v>14.52</v>
      </c>
      <c r="AJ127" s="223">
        <f t="shared" si="143"/>
        <v>16.044599999999999</v>
      </c>
      <c r="AK127" s="223">
        <f t="shared" si="143"/>
        <v>17.649059999999999</v>
      </c>
      <c r="AL127" s="223">
        <f t="shared" si="143"/>
        <v>19.325720700000002</v>
      </c>
      <c r="AM127" s="223">
        <f t="shared" si="143"/>
        <v>21.065035562999999</v>
      </c>
      <c r="AN127" s="223">
        <f t="shared" si="143"/>
        <v>22.855563585854998</v>
      </c>
      <c r="AO127" s="223">
        <f t="shared" si="143"/>
        <v>24.684008672723397</v>
      </c>
      <c r="AP127" s="223">
        <f t="shared" si="143"/>
        <v>26.411889279814037</v>
      </c>
      <c r="AQ127" s="223">
        <f t="shared" si="143"/>
        <v>28.128662083001949</v>
      </c>
      <c r="AR127" s="223">
        <f t="shared" si="143"/>
        <v>29.816381807982069</v>
      </c>
      <c r="AS127" s="223">
        <f t="shared" si="143"/>
        <v>31.307200898381172</v>
      </c>
      <c r="AT127" s="223">
        <f t="shared" si="143"/>
        <v>32.872560943300229</v>
      </c>
    </row>
    <row r="128" spans="1:46" ht="13.5" customHeight="1" x14ac:dyDescent="0.3">
      <c r="A128" s="239"/>
      <c r="B128" s="219">
        <v>3</v>
      </c>
      <c r="C128" s="219" t="str">
        <f>C118</f>
        <v>Повар</v>
      </c>
      <c r="D128" s="89" t="s">
        <v>477</v>
      </c>
      <c r="E128" s="240"/>
      <c r="F128" s="239"/>
      <c r="G128" s="248"/>
      <c r="H128" s="239"/>
      <c r="I128" s="239"/>
      <c r="J128" s="223">
        <f t="shared" ref="J128:AG128" si="144">MIN(J62*$F$30,J$19)*J$24</f>
        <v>10.889999999999999</v>
      </c>
      <c r="K128" s="223">
        <f t="shared" si="144"/>
        <v>10.889999999999999</v>
      </c>
      <c r="L128" s="223">
        <f t="shared" si="144"/>
        <v>10.889999999999999</v>
      </c>
      <c r="M128" s="223">
        <f t="shared" si="144"/>
        <v>10.889999999999999</v>
      </c>
      <c r="N128" s="223">
        <f t="shared" si="144"/>
        <v>10.889999999999999</v>
      </c>
      <c r="O128" s="223">
        <f t="shared" si="144"/>
        <v>12.03345</v>
      </c>
      <c r="P128" s="223">
        <f t="shared" si="144"/>
        <v>12.03345</v>
      </c>
      <c r="Q128" s="223">
        <f t="shared" si="144"/>
        <v>12.03345</v>
      </c>
      <c r="R128" s="223">
        <f t="shared" si="144"/>
        <v>12.03345</v>
      </c>
      <c r="S128" s="223">
        <f t="shared" si="144"/>
        <v>12.03345</v>
      </c>
      <c r="T128" s="223">
        <f t="shared" si="144"/>
        <v>12.03345</v>
      </c>
      <c r="U128" s="223">
        <f t="shared" si="144"/>
        <v>12.03345</v>
      </c>
      <c r="V128" s="223">
        <f t="shared" si="144"/>
        <v>12.03345</v>
      </c>
      <c r="W128" s="223">
        <f t="shared" si="144"/>
        <v>12.03345</v>
      </c>
      <c r="X128" s="223">
        <f t="shared" si="144"/>
        <v>12.03345</v>
      </c>
      <c r="Y128" s="223">
        <f t="shared" si="144"/>
        <v>12.03345</v>
      </c>
      <c r="Z128" s="223">
        <f t="shared" si="144"/>
        <v>12.03345</v>
      </c>
      <c r="AA128" s="223">
        <f t="shared" si="144"/>
        <v>13.236795000000001</v>
      </c>
      <c r="AB128" s="223">
        <f t="shared" si="144"/>
        <v>13.236795000000001</v>
      </c>
      <c r="AC128" s="223">
        <f t="shared" si="144"/>
        <v>13.236795000000001</v>
      </c>
      <c r="AD128" s="223">
        <f t="shared" si="144"/>
        <v>13.236795000000001</v>
      </c>
      <c r="AE128" s="223">
        <f t="shared" si="144"/>
        <v>13.236795000000001</v>
      </c>
      <c r="AF128" s="223">
        <f t="shared" si="144"/>
        <v>13.236795000000001</v>
      </c>
      <c r="AG128" s="223">
        <f t="shared" si="144"/>
        <v>13.236795000000001</v>
      </c>
      <c r="AH128" s="239"/>
      <c r="AI128" s="223">
        <f t="shared" ref="AI128:AT128" si="145">MIN(AI62*$F$30,AI$19)*AI$24</f>
        <v>10.889999999999999</v>
      </c>
      <c r="AJ128" s="223">
        <f t="shared" si="145"/>
        <v>12.03345</v>
      </c>
      <c r="AK128" s="223">
        <f t="shared" si="145"/>
        <v>13.236795000000001</v>
      </c>
      <c r="AL128" s="223">
        <f t="shared" si="145"/>
        <v>14.494290525</v>
      </c>
      <c r="AM128" s="223">
        <f t="shared" si="145"/>
        <v>15.79877667225</v>
      </c>
      <c r="AN128" s="223">
        <f t="shared" si="145"/>
        <v>17.14167268939125</v>
      </c>
      <c r="AO128" s="223">
        <f t="shared" si="145"/>
        <v>18.513006504542552</v>
      </c>
      <c r="AP128" s="223">
        <f t="shared" si="145"/>
        <v>19.808916959860529</v>
      </c>
      <c r="AQ128" s="223">
        <f t="shared" si="145"/>
        <v>21.096496562251463</v>
      </c>
      <c r="AR128" s="223">
        <f t="shared" si="145"/>
        <v>22.362286355986551</v>
      </c>
      <c r="AS128" s="223">
        <f t="shared" si="145"/>
        <v>23.480400673785883</v>
      </c>
      <c r="AT128" s="223">
        <f t="shared" si="145"/>
        <v>24.654420707475175</v>
      </c>
    </row>
    <row r="129" spans="1:46" ht="13.5" customHeight="1" x14ac:dyDescent="0.3">
      <c r="A129" s="239"/>
      <c r="B129" s="219">
        <v>4</v>
      </c>
      <c r="C129" s="219" t="str">
        <f>C119</f>
        <v>Тракторист</v>
      </c>
      <c r="D129" s="89" t="s">
        <v>477</v>
      </c>
      <c r="E129" s="240"/>
      <c r="F129" s="239"/>
      <c r="G129" s="248"/>
      <c r="H129" s="239"/>
      <c r="I129" s="239"/>
      <c r="J129" s="223">
        <f t="shared" ref="J129:AG129" si="146">MIN(J63*$F$30,J$19)*J$24</f>
        <v>14.52</v>
      </c>
      <c r="K129" s="223">
        <f t="shared" si="146"/>
        <v>14.52</v>
      </c>
      <c r="L129" s="223">
        <f t="shared" si="146"/>
        <v>14.52</v>
      </c>
      <c r="M129" s="223">
        <f t="shared" si="146"/>
        <v>14.52</v>
      </c>
      <c r="N129" s="223">
        <f t="shared" si="146"/>
        <v>14.52</v>
      </c>
      <c r="O129" s="223">
        <f t="shared" si="146"/>
        <v>16.044599999999999</v>
      </c>
      <c r="P129" s="223">
        <f t="shared" si="146"/>
        <v>16.044599999999999</v>
      </c>
      <c r="Q129" s="223">
        <f t="shared" si="146"/>
        <v>16.044599999999999</v>
      </c>
      <c r="R129" s="223">
        <f t="shared" si="146"/>
        <v>16.044599999999999</v>
      </c>
      <c r="S129" s="223">
        <f t="shared" si="146"/>
        <v>16.044599999999999</v>
      </c>
      <c r="T129" s="223">
        <f t="shared" si="146"/>
        <v>16.044599999999999</v>
      </c>
      <c r="U129" s="223">
        <f t="shared" si="146"/>
        <v>16.044599999999999</v>
      </c>
      <c r="V129" s="223">
        <f t="shared" si="146"/>
        <v>16.044599999999999</v>
      </c>
      <c r="W129" s="223">
        <f t="shared" si="146"/>
        <v>16.044599999999999</v>
      </c>
      <c r="X129" s="223">
        <f t="shared" si="146"/>
        <v>16.044599999999999</v>
      </c>
      <c r="Y129" s="223">
        <f t="shared" si="146"/>
        <v>16.044599999999999</v>
      </c>
      <c r="Z129" s="223">
        <f t="shared" si="146"/>
        <v>16.044599999999999</v>
      </c>
      <c r="AA129" s="223">
        <f t="shared" si="146"/>
        <v>17.649059999999999</v>
      </c>
      <c r="AB129" s="223">
        <f t="shared" si="146"/>
        <v>17.649059999999999</v>
      </c>
      <c r="AC129" s="223">
        <f t="shared" si="146"/>
        <v>17.649059999999999</v>
      </c>
      <c r="AD129" s="223">
        <f t="shared" si="146"/>
        <v>17.649059999999999</v>
      </c>
      <c r="AE129" s="223">
        <f t="shared" si="146"/>
        <v>17.649059999999999</v>
      </c>
      <c r="AF129" s="223">
        <f t="shared" si="146"/>
        <v>17.649059999999999</v>
      </c>
      <c r="AG129" s="223">
        <f t="shared" si="146"/>
        <v>17.649059999999999</v>
      </c>
      <c r="AH129" s="239"/>
      <c r="AI129" s="223">
        <f t="shared" ref="AI129:AT129" si="147">MIN(AI63*$F$30,AI$19)*AI$24</f>
        <v>14.52</v>
      </c>
      <c r="AJ129" s="223">
        <f t="shared" si="147"/>
        <v>16.044599999999999</v>
      </c>
      <c r="AK129" s="223">
        <f t="shared" si="147"/>
        <v>17.649059999999999</v>
      </c>
      <c r="AL129" s="223">
        <f t="shared" si="147"/>
        <v>19.325720700000002</v>
      </c>
      <c r="AM129" s="223">
        <f t="shared" si="147"/>
        <v>21.065035562999999</v>
      </c>
      <c r="AN129" s="223">
        <f t="shared" si="147"/>
        <v>22.855563585854998</v>
      </c>
      <c r="AO129" s="223">
        <f t="shared" si="147"/>
        <v>24.684008672723397</v>
      </c>
      <c r="AP129" s="223">
        <f t="shared" si="147"/>
        <v>26.411889279814037</v>
      </c>
      <c r="AQ129" s="223">
        <f t="shared" si="147"/>
        <v>28.128662083001949</v>
      </c>
      <c r="AR129" s="223">
        <f t="shared" si="147"/>
        <v>29.816381807982069</v>
      </c>
      <c r="AS129" s="223">
        <f t="shared" si="147"/>
        <v>31.307200898381172</v>
      </c>
      <c r="AT129" s="223">
        <f t="shared" si="147"/>
        <v>32.872560943300229</v>
      </c>
    </row>
    <row r="130" spans="1:46" ht="13.5" customHeight="1" x14ac:dyDescent="0.3">
      <c r="A130" s="239"/>
      <c r="B130" s="219">
        <v>5</v>
      </c>
      <c r="C130" s="219" t="str">
        <f>C120</f>
        <v xml:space="preserve">Бухглатер </v>
      </c>
      <c r="D130" s="89" t="s">
        <v>477</v>
      </c>
      <c r="E130" s="240"/>
      <c r="F130" s="239"/>
      <c r="G130" s="248"/>
      <c r="H130" s="239"/>
      <c r="I130" s="239"/>
      <c r="J130" s="223">
        <f t="shared" ref="J130:AG130" si="148">MIN(J64*$F$30,J$19)*J$24</f>
        <v>10.889999999999999</v>
      </c>
      <c r="K130" s="223">
        <f t="shared" si="148"/>
        <v>10.889999999999999</v>
      </c>
      <c r="L130" s="223">
        <f t="shared" si="148"/>
        <v>10.889999999999999</v>
      </c>
      <c r="M130" s="223">
        <f t="shared" si="148"/>
        <v>10.889999999999999</v>
      </c>
      <c r="N130" s="223">
        <f t="shared" si="148"/>
        <v>10.889999999999999</v>
      </c>
      <c r="O130" s="223">
        <f t="shared" si="148"/>
        <v>12.03345</v>
      </c>
      <c r="P130" s="223">
        <f t="shared" si="148"/>
        <v>12.03345</v>
      </c>
      <c r="Q130" s="223">
        <f t="shared" si="148"/>
        <v>12.03345</v>
      </c>
      <c r="R130" s="223">
        <f t="shared" si="148"/>
        <v>12.03345</v>
      </c>
      <c r="S130" s="223">
        <f t="shared" si="148"/>
        <v>12.03345</v>
      </c>
      <c r="T130" s="223">
        <f t="shared" si="148"/>
        <v>12.03345</v>
      </c>
      <c r="U130" s="223">
        <f t="shared" si="148"/>
        <v>12.03345</v>
      </c>
      <c r="V130" s="223">
        <f t="shared" si="148"/>
        <v>12.03345</v>
      </c>
      <c r="W130" s="223">
        <f t="shared" si="148"/>
        <v>12.03345</v>
      </c>
      <c r="X130" s="223">
        <f t="shared" si="148"/>
        <v>12.03345</v>
      </c>
      <c r="Y130" s="223">
        <f t="shared" si="148"/>
        <v>12.03345</v>
      </c>
      <c r="Z130" s="223">
        <f t="shared" si="148"/>
        <v>12.03345</v>
      </c>
      <c r="AA130" s="223">
        <f t="shared" si="148"/>
        <v>13.236795000000001</v>
      </c>
      <c r="AB130" s="223">
        <f t="shared" si="148"/>
        <v>13.236795000000001</v>
      </c>
      <c r="AC130" s="223">
        <f t="shared" si="148"/>
        <v>13.236795000000001</v>
      </c>
      <c r="AD130" s="223">
        <f t="shared" si="148"/>
        <v>13.236795000000001</v>
      </c>
      <c r="AE130" s="223">
        <f t="shared" si="148"/>
        <v>13.236795000000001</v>
      </c>
      <c r="AF130" s="223">
        <f t="shared" si="148"/>
        <v>13.236795000000001</v>
      </c>
      <c r="AG130" s="223">
        <f t="shared" si="148"/>
        <v>13.236795000000001</v>
      </c>
      <c r="AH130" s="239"/>
      <c r="AI130" s="223">
        <f t="shared" ref="AI130:AT130" si="149">MIN(AI64*$F$30,AI$19)*AI$24</f>
        <v>10.889999999999999</v>
      </c>
      <c r="AJ130" s="223">
        <f t="shared" si="149"/>
        <v>12.03345</v>
      </c>
      <c r="AK130" s="223">
        <f t="shared" si="149"/>
        <v>13.236795000000001</v>
      </c>
      <c r="AL130" s="223">
        <f t="shared" si="149"/>
        <v>14.494290525</v>
      </c>
      <c r="AM130" s="223">
        <f t="shared" si="149"/>
        <v>15.79877667225</v>
      </c>
      <c r="AN130" s="223">
        <f t="shared" si="149"/>
        <v>17.14167268939125</v>
      </c>
      <c r="AO130" s="223">
        <f t="shared" si="149"/>
        <v>18.513006504542552</v>
      </c>
      <c r="AP130" s="223">
        <f t="shared" si="149"/>
        <v>19.808916959860529</v>
      </c>
      <c r="AQ130" s="223">
        <f t="shared" si="149"/>
        <v>21.096496562251463</v>
      </c>
      <c r="AR130" s="223">
        <f t="shared" si="149"/>
        <v>22.362286355986551</v>
      </c>
      <c r="AS130" s="223">
        <f t="shared" si="149"/>
        <v>23.480400673785883</v>
      </c>
      <c r="AT130" s="223">
        <f t="shared" si="149"/>
        <v>24.654420707475175</v>
      </c>
    </row>
    <row r="131" spans="1:46" ht="13.5" customHeight="1" x14ac:dyDescent="0.3">
      <c r="A131" s="239"/>
      <c r="B131" s="243"/>
      <c r="C131" s="239"/>
      <c r="D131" s="240"/>
      <c r="E131" s="240"/>
      <c r="F131" s="239"/>
      <c r="G131" s="248"/>
      <c r="H131" s="239"/>
      <c r="I131" s="239"/>
      <c r="J131" s="239"/>
      <c r="K131" s="239"/>
      <c r="L131" s="239"/>
      <c r="M131" s="239"/>
      <c r="N131" s="239"/>
      <c r="O131" s="239"/>
      <c r="P131" s="239"/>
      <c r="Q131" s="239"/>
      <c r="R131" s="239"/>
      <c r="S131" s="239"/>
      <c r="T131" s="239"/>
      <c r="U131" s="239"/>
      <c r="V131" s="239"/>
      <c r="W131" s="239"/>
      <c r="X131" s="239"/>
      <c r="Y131" s="239"/>
      <c r="Z131" s="239"/>
      <c r="AA131" s="248"/>
      <c r="AB131" s="248"/>
      <c r="AC131" s="248"/>
      <c r="AD131" s="248"/>
      <c r="AE131" s="248"/>
      <c r="AF131" s="248"/>
      <c r="AG131" s="248"/>
      <c r="AH131" s="239"/>
      <c r="AI131" s="248"/>
      <c r="AJ131" s="248"/>
      <c r="AK131" s="248"/>
      <c r="AL131" s="248"/>
      <c r="AM131" s="248"/>
      <c r="AN131" s="248"/>
      <c r="AO131" s="248"/>
      <c r="AP131" s="248"/>
      <c r="AQ131" s="248"/>
      <c r="AR131" s="248"/>
      <c r="AS131" s="248"/>
      <c r="AT131" s="248"/>
    </row>
    <row r="132" spans="1:46" ht="13.5" customHeight="1" x14ac:dyDescent="0.3">
      <c r="A132" s="239"/>
      <c r="B132" s="239"/>
      <c r="C132" s="239"/>
      <c r="D132" s="240"/>
      <c r="E132" s="240"/>
      <c r="F132" s="239"/>
      <c r="G132" s="248"/>
      <c r="H132" s="248"/>
      <c r="I132" s="248"/>
      <c r="J132" s="248"/>
      <c r="K132" s="248"/>
      <c r="L132" s="248"/>
      <c r="M132" s="248"/>
      <c r="N132" s="248"/>
      <c r="O132" s="248"/>
      <c r="P132" s="248"/>
      <c r="Q132" s="248"/>
      <c r="R132" s="248"/>
      <c r="S132" s="248"/>
      <c r="T132" s="248"/>
      <c r="U132" s="248"/>
      <c r="V132" s="248"/>
      <c r="W132" s="248"/>
      <c r="X132" s="248"/>
      <c r="Y132" s="248"/>
      <c r="Z132" s="248"/>
      <c r="AA132" s="248"/>
      <c r="AB132" s="248"/>
      <c r="AC132" s="248"/>
      <c r="AD132" s="248"/>
      <c r="AE132" s="248"/>
      <c r="AF132" s="248"/>
      <c r="AG132" s="248"/>
      <c r="AH132" s="248"/>
      <c r="AI132" s="248"/>
      <c r="AJ132" s="248"/>
      <c r="AK132" s="248"/>
      <c r="AL132" s="248"/>
      <c r="AM132" s="248"/>
      <c r="AN132" s="248"/>
      <c r="AO132" s="248"/>
      <c r="AP132" s="248"/>
      <c r="AQ132" s="248"/>
      <c r="AR132" s="248"/>
      <c r="AS132" s="248"/>
      <c r="AT132" s="248"/>
    </row>
    <row r="133" spans="1:46" ht="13.5" customHeight="1" x14ac:dyDescent="0.3">
      <c r="A133" s="80" t="s">
        <v>508</v>
      </c>
      <c r="B133" s="80" t="s">
        <v>513</v>
      </c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</row>
    <row r="134" spans="1:46" ht="13.5" customHeight="1" x14ac:dyDescent="0.3">
      <c r="A134" s="239"/>
      <c r="B134" s="239"/>
      <c r="C134" s="239"/>
      <c r="D134" s="240"/>
      <c r="E134" s="240"/>
      <c r="F134" s="239"/>
      <c r="G134" s="248"/>
      <c r="H134" s="248"/>
      <c r="I134" s="248"/>
      <c r="J134" s="248"/>
      <c r="K134" s="248"/>
      <c r="L134" s="248"/>
      <c r="M134" s="248"/>
      <c r="N134" s="248"/>
      <c r="O134" s="248"/>
      <c r="P134" s="248"/>
      <c r="Q134" s="248"/>
      <c r="R134" s="248"/>
      <c r="S134" s="248"/>
      <c r="T134" s="248"/>
      <c r="U134" s="248"/>
      <c r="V134" s="248"/>
      <c r="W134" s="248"/>
      <c r="X134" s="248"/>
      <c r="Y134" s="248"/>
      <c r="Z134" s="248"/>
      <c r="AA134" s="248"/>
      <c r="AB134" s="248"/>
      <c r="AC134" s="248"/>
      <c r="AD134" s="248"/>
      <c r="AE134" s="248"/>
      <c r="AF134" s="248"/>
      <c r="AG134" s="248"/>
      <c r="AH134" s="248"/>
      <c r="AI134" s="248"/>
      <c r="AJ134" s="248"/>
      <c r="AK134" s="248"/>
      <c r="AL134" s="248"/>
      <c r="AM134" s="248"/>
      <c r="AN134" s="248"/>
      <c r="AO134" s="248"/>
      <c r="AP134" s="248"/>
      <c r="AQ134" s="248"/>
      <c r="AR134" s="248"/>
      <c r="AS134" s="248"/>
      <c r="AT134" s="248"/>
    </row>
    <row r="135" spans="1:46" ht="13.5" customHeight="1" x14ac:dyDescent="0.3">
      <c r="A135" s="239"/>
      <c r="B135" s="250" t="s">
        <v>494</v>
      </c>
      <c r="C135" s="239"/>
      <c r="D135" s="240"/>
      <c r="E135" s="240"/>
      <c r="F135" s="239"/>
      <c r="G135" s="248"/>
      <c r="H135" s="248"/>
      <c r="I135" s="248"/>
      <c r="J135" s="248"/>
      <c r="K135" s="248"/>
      <c r="L135" s="248"/>
      <c r="M135" s="248"/>
      <c r="N135" s="248"/>
      <c r="O135" s="248"/>
      <c r="P135" s="248"/>
      <c r="Q135" s="248"/>
      <c r="R135" s="248"/>
      <c r="S135" s="248"/>
      <c r="T135" s="248"/>
      <c r="U135" s="248"/>
      <c r="V135" s="248"/>
      <c r="W135" s="248"/>
      <c r="X135" s="248"/>
      <c r="Y135" s="248"/>
      <c r="Z135" s="248"/>
      <c r="AA135" s="248"/>
      <c r="AB135" s="248"/>
      <c r="AC135" s="248"/>
      <c r="AD135" s="248"/>
      <c r="AE135" s="248"/>
      <c r="AF135" s="248"/>
      <c r="AG135" s="248"/>
      <c r="AH135" s="248"/>
      <c r="AI135" s="248"/>
      <c r="AJ135" s="248"/>
      <c r="AK135" s="248"/>
      <c r="AL135" s="248"/>
      <c r="AM135" s="248"/>
      <c r="AN135" s="248"/>
      <c r="AO135" s="248"/>
      <c r="AP135" s="248"/>
      <c r="AQ135" s="248"/>
      <c r="AR135" s="248"/>
      <c r="AS135" s="248"/>
      <c r="AT135" s="248"/>
    </row>
    <row r="136" spans="1:46" ht="13.5" customHeight="1" x14ac:dyDescent="0.3">
      <c r="A136" s="239"/>
      <c r="B136" s="239"/>
      <c r="C136" s="251"/>
      <c r="D136" s="240"/>
      <c r="E136" s="240"/>
      <c r="F136" s="239"/>
      <c r="G136" s="248"/>
      <c r="H136" s="248"/>
      <c r="I136" s="248"/>
      <c r="J136" s="248"/>
      <c r="K136" s="248"/>
      <c r="L136" s="248"/>
      <c r="M136" s="248"/>
      <c r="N136" s="248"/>
      <c r="O136" s="248"/>
      <c r="P136" s="248"/>
      <c r="Q136" s="248"/>
      <c r="R136" s="248"/>
      <c r="S136" s="248"/>
      <c r="T136" s="248"/>
      <c r="U136" s="248"/>
      <c r="V136" s="248"/>
      <c r="W136" s="248"/>
      <c r="X136" s="248"/>
      <c r="Y136" s="248"/>
      <c r="Z136" s="248"/>
      <c r="AA136" s="248"/>
      <c r="AB136" s="248"/>
      <c r="AC136" s="248"/>
      <c r="AD136" s="248"/>
      <c r="AE136" s="248"/>
      <c r="AF136" s="248"/>
      <c r="AG136" s="248"/>
      <c r="AH136" s="248"/>
      <c r="AI136" s="248"/>
      <c r="AJ136" s="248"/>
      <c r="AK136" s="248"/>
      <c r="AL136" s="248"/>
      <c r="AM136" s="248"/>
      <c r="AN136" s="248"/>
      <c r="AO136" s="248"/>
      <c r="AP136" s="248"/>
      <c r="AQ136" s="248"/>
      <c r="AR136" s="248"/>
      <c r="AS136" s="248"/>
      <c r="AT136" s="248"/>
    </row>
    <row r="137" spans="1:46" ht="13.5" customHeight="1" x14ac:dyDescent="0.3">
      <c r="A137" s="239"/>
      <c r="B137" s="230" t="s">
        <v>492</v>
      </c>
      <c r="C137" s="239"/>
      <c r="D137" s="240"/>
      <c r="E137" s="240"/>
      <c r="F137" s="239"/>
      <c r="G137" s="248"/>
      <c r="H137" s="248"/>
      <c r="I137" s="248"/>
      <c r="J137" s="248"/>
      <c r="K137" s="248"/>
      <c r="L137" s="248"/>
      <c r="M137" s="248"/>
      <c r="N137" s="248"/>
      <c r="O137" s="248"/>
      <c r="P137" s="248"/>
      <c r="Q137" s="248"/>
      <c r="R137" s="248"/>
      <c r="S137" s="248"/>
      <c r="T137" s="248"/>
      <c r="U137" s="248"/>
      <c r="V137" s="248"/>
      <c r="W137" s="248"/>
      <c r="X137" s="248"/>
      <c r="Y137" s="248"/>
      <c r="Z137" s="248"/>
      <c r="AA137" s="248"/>
      <c r="AB137" s="248"/>
      <c r="AC137" s="248"/>
      <c r="AD137" s="248"/>
      <c r="AE137" s="248"/>
      <c r="AF137" s="248"/>
      <c r="AG137" s="248"/>
      <c r="AH137" s="249"/>
      <c r="AI137" s="248"/>
      <c r="AJ137" s="248"/>
      <c r="AK137" s="248"/>
      <c r="AL137" s="248"/>
      <c r="AM137" s="248"/>
      <c r="AN137" s="248"/>
      <c r="AO137" s="248"/>
      <c r="AP137" s="248"/>
      <c r="AQ137" s="248"/>
      <c r="AR137" s="248"/>
      <c r="AS137" s="248"/>
      <c r="AT137" s="248"/>
    </row>
    <row r="138" spans="1:46" ht="13.5" customHeight="1" x14ac:dyDescent="0.3">
      <c r="A138" s="239"/>
      <c r="B138" s="219">
        <v>1</v>
      </c>
      <c r="C138" s="219" t="str">
        <f>C126</f>
        <v>Директор фермы</v>
      </c>
      <c r="D138" s="89" t="s">
        <v>4</v>
      </c>
      <c r="E138" s="240"/>
      <c r="F138" s="239"/>
      <c r="G138" s="248"/>
      <c r="H138" s="248"/>
      <c r="I138" s="248"/>
      <c r="J138" s="223">
        <f t="shared" ref="J138:AG138" si="150">J106*J46</f>
        <v>22.785000000000004</v>
      </c>
      <c r="K138" s="223">
        <f t="shared" si="150"/>
        <v>22.785000000000004</v>
      </c>
      <c r="L138" s="223">
        <f t="shared" si="150"/>
        <v>22.785000000000004</v>
      </c>
      <c r="M138" s="223">
        <f t="shared" si="150"/>
        <v>22.785000000000004</v>
      </c>
      <c r="N138" s="223">
        <f t="shared" si="150"/>
        <v>22.785000000000004</v>
      </c>
      <c r="O138" s="223">
        <f t="shared" si="150"/>
        <v>25.177425000000003</v>
      </c>
      <c r="P138" s="223">
        <f t="shared" si="150"/>
        <v>25.177425000000003</v>
      </c>
      <c r="Q138" s="223">
        <f t="shared" si="150"/>
        <v>25.177425000000003</v>
      </c>
      <c r="R138" s="223">
        <f t="shared" si="150"/>
        <v>25.177425000000003</v>
      </c>
      <c r="S138" s="223">
        <f t="shared" si="150"/>
        <v>25.177425000000003</v>
      </c>
      <c r="T138" s="223">
        <f t="shared" si="150"/>
        <v>25.177425000000003</v>
      </c>
      <c r="U138" s="223">
        <f t="shared" si="150"/>
        <v>25.177425000000003</v>
      </c>
      <c r="V138" s="223">
        <f t="shared" si="150"/>
        <v>25.177425000000003</v>
      </c>
      <c r="W138" s="223">
        <f t="shared" si="150"/>
        <v>25.177425000000003</v>
      </c>
      <c r="X138" s="223">
        <f t="shared" si="150"/>
        <v>25.177425000000003</v>
      </c>
      <c r="Y138" s="223">
        <f t="shared" si="150"/>
        <v>25.177425000000003</v>
      </c>
      <c r="Z138" s="223">
        <f t="shared" si="150"/>
        <v>25.177425000000003</v>
      </c>
      <c r="AA138" s="223">
        <f t="shared" si="150"/>
        <v>27.695167500000004</v>
      </c>
      <c r="AB138" s="223">
        <f t="shared" si="150"/>
        <v>27.695167500000004</v>
      </c>
      <c r="AC138" s="223">
        <f t="shared" si="150"/>
        <v>27.695167500000004</v>
      </c>
      <c r="AD138" s="223">
        <f t="shared" si="150"/>
        <v>27.695167500000004</v>
      </c>
      <c r="AE138" s="223">
        <f t="shared" si="150"/>
        <v>27.695167500000004</v>
      </c>
      <c r="AF138" s="223">
        <f t="shared" si="150"/>
        <v>27.695167500000004</v>
      </c>
      <c r="AG138" s="223">
        <f t="shared" si="150"/>
        <v>27.695167500000004</v>
      </c>
      <c r="AH138" s="249"/>
      <c r="AI138" s="223">
        <f t="shared" ref="AI138:AT138" si="151">AI106*AI46*AI$10</f>
        <v>104.12500000000001</v>
      </c>
      <c r="AJ138" s="223">
        <f t="shared" si="151"/>
        <v>276.1395</v>
      </c>
      <c r="AK138" s="223">
        <f t="shared" si="151"/>
        <v>303.75345000000004</v>
      </c>
      <c r="AL138" s="223">
        <f t="shared" si="151"/>
        <v>332.61002775000003</v>
      </c>
      <c r="AM138" s="223">
        <f t="shared" si="151"/>
        <v>362.54493024750013</v>
      </c>
      <c r="AN138" s="223">
        <f t="shared" si="151"/>
        <v>393.3612493185376</v>
      </c>
      <c r="AO138" s="223">
        <f t="shared" si="151"/>
        <v>424.83014926402063</v>
      </c>
      <c r="AP138" s="223">
        <f t="shared" si="151"/>
        <v>454.56825971250214</v>
      </c>
      <c r="AQ138" s="223">
        <f t="shared" si="151"/>
        <v>484.11519659381474</v>
      </c>
      <c r="AR138" s="223">
        <f t="shared" si="151"/>
        <v>513.16210838944369</v>
      </c>
      <c r="AS138" s="223">
        <f t="shared" si="151"/>
        <v>538.82021380891592</v>
      </c>
      <c r="AT138" s="223">
        <f t="shared" si="151"/>
        <v>565.76122449936179</v>
      </c>
    </row>
    <row r="139" spans="1:46" ht="13.5" customHeight="1" x14ac:dyDescent="0.3">
      <c r="A139" s="239"/>
      <c r="B139" s="219">
        <v>2</v>
      </c>
      <c r="C139" s="219" t="str">
        <f>C127</f>
        <v>Ветеринар</v>
      </c>
      <c r="D139" s="89" t="s">
        <v>4</v>
      </c>
      <c r="E139" s="240"/>
      <c r="F139" s="239"/>
      <c r="G139" s="248"/>
      <c r="H139" s="248"/>
      <c r="I139" s="248"/>
      <c r="J139" s="223">
        <f t="shared" ref="J139:AG139" si="152">J107*J47</f>
        <v>8.4542500000000018</v>
      </c>
      <c r="K139" s="223">
        <f t="shared" si="152"/>
        <v>8.4542500000000018</v>
      </c>
      <c r="L139" s="223">
        <f t="shared" si="152"/>
        <v>8.4542500000000018</v>
      </c>
      <c r="M139" s="223">
        <f t="shared" si="152"/>
        <v>8.4542500000000018</v>
      </c>
      <c r="N139" s="223">
        <f t="shared" si="152"/>
        <v>8.4542500000000018</v>
      </c>
      <c r="O139" s="223">
        <f t="shared" si="152"/>
        <v>9.3436000000000003</v>
      </c>
      <c r="P139" s="223">
        <f t="shared" si="152"/>
        <v>9.3436000000000003</v>
      </c>
      <c r="Q139" s="223">
        <f t="shared" si="152"/>
        <v>9.3436000000000003</v>
      </c>
      <c r="R139" s="223">
        <f t="shared" si="152"/>
        <v>9.3436000000000003</v>
      </c>
      <c r="S139" s="223">
        <f t="shared" si="152"/>
        <v>9.3436000000000003</v>
      </c>
      <c r="T139" s="223">
        <f t="shared" si="152"/>
        <v>9.3436000000000003</v>
      </c>
      <c r="U139" s="223">
        <f t="shared" si="152"/>
        <v>9.3436000000000003</v>
      </c>
      <c r="V139" s="223">
        <f t="shared" si="152"/>
        <v>9.3436000000000003</v>
      </c>
      <c r="W139" s="223">
        <f t="shared" si="152"/>
        <v>9.3436000000000003</v>
      </c>
      <c r="X139" s="223">
        <f t="shared" si="152"/>
        <v>9.3436000000000003</v>
      </c>
      <c r="Y139" s="223">
        <f t="shared" si="152"/>
        <v>9.3436000000000003</v>
      </c>
      <c r="Z139" s="223">
        <f t="shared" si="152"/>
        <v>9.3436000000000003</v>
      </c>
      <c r="AA139" s="223">
        <f t="shared" si="152"/>
        <v>10.279535000000001</v>
      </c>
      <c r="AB139" s="223">
        <f t="shared" si="152"/>
        <v>10.279535000000001</v>
      </c>
      <c r="AC139" s="223">
        <f t="shared" si="152"/>
        <v>10.279535000000001</v>
      </c>
      <c r="AD139" s="223">
        <f t="shared" si="152"/>
        <v>10.279535000000001</v>
      </c>
      <c r="AE139" s="223">
        <f t="shared" si="152"/>
        <v>10.279535000000001</v>
      </c>
      <c r="AF139" s="223">
        <f t="shared" si="152"/>
        <v>10.279535000000001</v>
      </c>
      <c r="AG139" s="223">
        <f t="shared" si="152"/>
        <v>10.279535000000001</v>
      </c>
      <c r="AH139" s="249"/>
      <c r="AI139" s="223">
        <f t="shared" ref="AI139:AT139" si="153">AI107*AI47*AI$10</f>
        <v>42.271250000000009</v>
      </c>
      <c r="AJ139" s="223">
        <f t="shared" si="153"/>
        <v>112.1232</v>
      </c>
      <c r="AK139" s="223">
        <f t="shared" si="153"/>
        <v>123.35442</v>
      </c>
      <c r="AL139" s="223">
        <f t="shared" si="153"/>
        <v>135.09104490000001</v>
      </c>
      <c r="AM139" s="223">
        <f t="shared" si="153"/>
        <v>147.26624894100001</v>
      </c>
      <c r="AN139" s="223">
        <f t="shared" si="153"/>
        <v>159.79994510098501</v>
      </c>
      <c r="AO139" s="223">
        <f t="shared" si="153"/>
        <v>172.59906070906382</v>
      </c>
      <c r="AP139" s="223">
        <f t="shared" si="153"/>
        <v>184.6942249586983</v>
      </c>
      <c r="AQ139" s="223">
        <f t="shared" si="153"/>
        <v>196.71163458101367</v>
      </c>
      <c r="AR139" s="223">
        <f t="shared" si="153"/>
        <v>208.52567265587453</v>
      </c>
      <c r="AS139" s="223">
        <f t="shared" si="153"/>
        <v>218.96140628866823</v>
      </c>
      <c r="AT139" s="223">
        <f t="shared" si="153"/>
        <v>229.9189266031016</v>
      </c>
    </row>
    <row r="140" spans="1:46" ht="13.5" customHeight="1" x14ac:dyDescent="0.3">
      <c r="A140" s="239"/>
      <c r="B140" s="219">
        <v>3</v>
      </c>
      <c r="C140" s="219" t="str">
        <f>C128</f>
        <v>Повар</v>
      </c>
      <c r="D140" s="89" t="s">
        <v>4</v>
      </c>
      <c r="E140" s="240"/>
      <c r="F140" s="239"/>
      <c r="G140" s="248"/>
      <c r="H140" s="248"/>
      <c r="I140" s="248"/>
      <c r="J140" s="223">
        <f t="shared" ref="J140:AG140" si="154">J108*J48</f>
        <v>6.3367500000000012</v>
      </c>
      <c r="K140" s="223">
        <f t="shared" si="154"/>
        <v>6.3367500000000012</v>
      </c>
      <c r="L140" s="223">
        <f t="shared" si="154"/>
        <v>6.3367500000000012</v>
      </c>
      <c r="M140" s="223">
        <f t="shared" si="154"/>
        <v>6.3367500000000012</v>
      </c>
      <c r="N140" s="223">
        <f t="shared" si="154"/>
        <v>6.3367500000000012</v>
      </c>
      <c r="O140" s="223">
        <f t="shared" si="154"/>
        <v>7.0037625000000014</v>
      </c>
      <c r="P140" s="223">
        <f t="shared" si="154"/>
        <v>7.0037625000000014</v>
      </c>
      <c r="Q140" s="223">
        <f t="shared" si="154"/>
        <v>7.0037625000000014</v>
      </c>
      <c r="R140" s="223">
        <f t="shared" si="154"/>
        <v>7.0037625000000014</v>
      </c>
      <c r="S140" s="223">
        <f t="shared" si="154"/>
        <v>7.0037625000000014</v>
      </c>
      <c r="T140" s="223">
        <f t="shared" si="154"/>
        <v>7.0037625000000014</v>
      </c>
      <c r="U140" s="223">
        <f t="shared" si="154"/>
        <v>7.0037625000000014</v>
      </c>
      <c r="V140" s="223">
        <f t="shared" si="154"/>
        <v>7.0037625000000014</v>
      </c>
      <c r="W140" s="223">
        <f t="shared" si="154"/>
        <v>7.0037625000000014</v>
      </c>
      <c r="X140" s="223">
        <f t="shared" si="154"/>
        <v>7.0037625000000014</v>
      </c>
      <c r="Y140" s="223">
        <f t="shared" si="154"/>
        <v>7.0037625000000014</v>
      </c>
      <c r="Z140" s="223">
        <f t="shared" si="154"/>
        <v>7.0037625000000014</v>
      </c>
      <c r="AA140" s="223">
        <f t="shared" si="154"/>
        <v>7.7057137500000019</v>
      </c>
      <c r="AB140" s="223">
        <f t="shared" si="154"/>
        <v>7.7057137500000019</v>
      </c>
      <c r="AC140" s="223">
        <f t="shared" si="154"/>
        <v>7.7057137500000019</v>
      </c>
      <c r="AD140" s="223">
        <f t="shared" si="154"/>
        <v>7.7057137500000019</v>
      </c>
      <c r="AE140" s="223">
        <f t="shared" si="154"/>
        <v>7.7057137500000019</v>
      </c>
      <c r="AF140" s="223">
        <f t="shared" si="154"/>
        <v>7.7057137500000019</v>
      </c>
      <c r="AG140" s="223">
        <f t="shared" si="154"/>
        <v>7.7057137500000019</v>
      </c>
      <c r="AH140" s="249"/>
      <c r="AI140" s="223">
        <f t="shared" ref="AI140:AT140" si="155">AI108*AI48*AI$10</f>
        <v>31.683750000000007</v>
      </c>
      <c r="AJ140" s="223">
        <f t="shared" si="155"/>
        <v>84.045150000000021</v>
      </c>
      <c r="AK140" s="223">
        <f t="shared" si="155"/>
        <v>92.468565000000027</v>
      </c>
      <c r="AL140" s="223">
        <f t="shared" si="155"/>
        <v>101.27103367500001</v>
      </c>
      <c r="AM140" s="223">
        <f t="shared" si="155"/>
        <v>110.40243670575002</v>
      </c>
      <c r="AN140" s="223">
        <f t="shared" si="155"/>
        <v>119.80270882573876</v>
      </c>
      <c r="AO140" s="223">
        <f t="shared" si="155"/>
        <v>129.40204553179788</v>
      </c>
      <c r="AP140" s="223">
        <f t="shared" si="155"/>
        <v>138.47341871902373</v>
      </c>
      <c r="AQ140" s="223">
        <f t="shared" si="155"/>
        <v>147.48647593576027</v>
      </c>
      <c r="AR140" s="223">
        <f t="shared" si="155"/>
        <v>156.34700449190589</v>
      </c>
      <c r="AS140" s="223">
        <f t="shared" si="155"/>
        <v>164.17380471650119</v>
      </c>
      <c r="AT140" s="223">
        <f t="shared" si="155"/>
        <v>172.39194495232627</v>
      </c>
    </row>
    <row r="141" spans="1:46" ht="13.5" customHeight="1" x14ac:dyDescent="0.3">
      <c r="A141" s="239"/>
      <c r="B141" s="219">
        <v>4</v>
      </c>
      <c r="C141" s="219" t="str">
        <f>C129</f>
        <v>Тракторист</v>
      </c>
      <c r="D141" s="89" t="s">
        <v>4</v>
      </c>
      <c r="E141" s="240"/>
      <c r="F141" s="239"/>
      <c r="G141" s="248"/>
      <c r="H141" s="248"/>
      <c r="I141" s="248"/>
      <c r="J141" s="223">
        <f t="shared" ref="J141:AG141" si="156">J109*J49</f>
        <v>16.908500000000004</v>
      </c>
      <c r="K141" s="223">
        <f t="shared" si="156"/>
        <v>16.908500000000004</v>
      </c>
      <c r="L141" s="223">
        <f t="shared" si="156"/>
        <v>16.908500000000004</v>
      </c>
      <c r="M141" s="223">
        <f t="shared" si="156"/>
        <v>16.908500000000004</v>
      </c>
      <c r="N141" s="223">
        <f t="shared" si="156"/>
        <v>16.908500000000004</v>
      </c>
      <c r="O141" s="223">
        <f t="shared" si="156"/>
        <v>18.687200000000001</v>
      </c>
      <c r="P141" s="223">
        <f t="shared" si="156"/>
        <v>18.687200000000001</v>
      </c>
      <c r="Q141" s="223">
        <f t="shared" si="156"/>
        <v>18.687200000000001</v>
      </c>
      <c r="R141" s="223">
        <f t="shared" si="156"/>
        <v>18.687200000000001</v>
      </c>
      <c r="S141" s="223">
        <f t="shared" si="156"/>
        <v>18.687200000000001</v>
      </c>
      <c r="T141" s="223">
        <f t="shared" si="156"/>
        <v>18.687200000000001</v>
      </c>
      <c r="U141" s="223">
        <f t="shared" si="156"/>
        <v>18.687200000000001</v>
      </c>
      <c r="V141" s="223">
        <f t="shared" si="156"/>
        <v>18.687200000000001</v>
      </c>
      <c r="W141" s="223">
        <f t="shared" si="156"/>
        <v>18.687200000000001</v>
      </c>
      <c r="X141" s="223">
        <f t="shared" si="156"/>
        <v>18.687200000000001</v>
      </c>
      <c r="Y141" s="223">
        <f t="shared" si="156"/>
        <v>18.687200000000001</v>
      </c>
      <c r="Z141" s="223">
        <f t="shared" si="156"/>
        <v>18.687200000000001</v>
      </c>
      <c r="AA141" s="223">
        <f t="shared" si="156"/>
        <v>20.559070000000002</v>
      </c>
      <c r="AB141" s="223">
        <f t="shared" si="156"/>
        <v>20.559070000000002</v>
      </c>
      <c r="AC141" s="223">
        <f t="shared" si="156"/>
        <v>20.559070000000002</v>
      </c>
      <c r="AD141" s="223">
        <f t="shared" si="156"/>
        <v>20.559070000000002</v>
      </c>
      <c r="AE141" s="223">
        <f t="shared" si="156"/>
        <v>20.559070000000002</v>
      </c>
      <c r="AF141" s="223">
        <f t="shared" si="156"/>
        <v>20.559070000000002</v>
      </c>
      <c r="AG141" s="223">
        <f t="shared" si="156"/>
        <v>20.559070000000002</v>
      </c>
      <c r="AH141" s="249"/>
      <c r="AI141" s="223">
        <f t="shared" ref="AI141:AT141" si="157">AI109*AI49*AI$10</f>
        <v>84.542500000000018</v>
      </c>
      <c r="AJ141" s="223">
        <f t="shared" si="157"/>
        <v>224.24639999999999</v>
      </c>
      <c r="AK141" s="223">
        <f t="shared" si="157"/>
        <v>246.70884000000001</v>
      </c>
      <c r="AL141" s="223">
        <f t="shared" si="157"/>
        <v>270.18208980000003</v>
      </c>
      <c r="AM141" s="223">
        <f t="shared" si="157"/>
        <v>294.53249788200003</v>
      </c>
      <c r="AN141" s="223">
        <f t="shared" si="157"/>
        <v>319.59989020197003</v>
      </c>
      <c r="AO141" s="223">
        <f t="shared" si="157"/>
        <v>345.19812141812764</v>
      </c>
      <c r="AP141" s="223">
        <f t="shared" si="157"/>
        <v>369.3884499173966</v>
      </c>
      <c r="AQ141" s="223">
        <f t="shared" si="157"/>
        <v>393.42326916202734</v>
      </c>
      <c r="AR141" s="223">
        <f t="shared" si="157"/>
        <v>417.05134531174906</v>
      </c>
      <c r="AS141" s="223">
        <f t="shared" si="157"/>
        <v>437.92281257733646</v>
      </c>
      <c r="AT141" s="223">
        <f t="shared" si="157"/>
        <v>459.83785320620319</v>
      </c>
    </row>
    <row r="142" spans="1:46" ht="13.5" customHeight="1" x14ac:dyDescent="0.3">
      <c r="A142" s="239"/>
      <c r="B142" s="219">
        <v>5</v>
      </c>
      <c r="C142" s="219" t="str">
        <f>C130</f>
        <v xml:space="preserve">Бухглатер </v>
      </c>
      <c r="D142" s="89" t="s">
        <v>4</v>
      </c>
      <c r="E142" s="240"/>
      <c r="F142" s="239"/>
      <c r="G142" s="248"/>
      <c r="H142" s="248"/>
      <c r="I142" s="248"/>
      <c r="J142" s="223">
        <f t="shared" ref="J142:AG142" si="158">J110*J50</f>
        <v>3.8020500000000004</v>
      </c>
      <c r="K142" s="223">
        <f t="shared" si="158"/>
        <v>3.8020500000000004</v>
      </c>
      <c r="L142" s="223">
        <f t="shared" si="158"/>
        <v>3.8020500000000004</v>
      </c>
      <c r="M142" s="223">
        <f t="shared" si="158"/>
        <v>3.8020500000000004</v>
      </c>
      <c r="N142" s="223">
        <f t="shared" si="158"/>
        <v>3.8020500000000004</v>
      </c>
      <c r="O142" s="223">
        <f t="shared" si="158"/>
        <v>4.2022575000000009</v>
      </c>
      <c r="P142" s="223">
        <f t="shared" si="158"/>
        <v>4.2022575000000009</v>
      </c>
      <c r="Q142" s="223">
        <f t="shared" si="158"/>
        <v>4.2022575000000009</v>
      </c>
      <c r="R142" s="223">
        <f t="shared" si="158"/>
        <v>4.2022575000000009</v>
      </c>
      <c r="S142" s="223">
        <f t="shared" si="158"/>
        <v>4.2022575000000009</v>
      </c>
      <c r="T142" s="223">
        <f t="shared" si="158"/>
        <v>4.2022575000000009</v>
      </c>
      <c r="U142" s="223">
        <f t="shared" si="158"/>
        <v>4.2022575000000009</v>
      </c>
      <c r="V142" s="223">
        <f t="shared" si="158"/>
        <v>4.2022575000000009</v>
      </c>
      <c r="W142" s="223">
        <f t="shared" si="158"/>
        <v>4.2022575000000009</v>
      </c>
      <c r="X142" s="223">
        <f t="shared" si="158"/>
        <v>4.2022575000000009</v>
      </c>
      <c r="Y142" s="223">
        <f t="shared" si="158"/>
        <v>4.2022575000000009</v>
      </c>
      <c r="Z142" s="223">
        <f t="shared" si="158"/>
        <v>4.2022575000000009</v>
      </c>
      <c r="AA142" s="223">
        <f t="shared" si="158"/>
        <v>4.6234282500000008</v>
      </c>
      <c r="AB142" s="223">
        <f t="shared" si="158"/>
        <v>4.6234282500000008</v>
      </c>
      <c r="AC142" s="223">
        <f t="shared" si="158"/>
        <v>4.6234282500000008</v>
      </c>
      <c r="AD142" s="223">
        <f t="shared" si="158"/>
        <v>4.6234282500000008</v>
      </c>
      <c r="AE142" s="223">
        <f t="shared" si="158"/>
        <v>4.6234282500000008</v>
      </c>
      <c r="AF142" s="223">
        <f t="shared" si="158"/>
        <v>4.6234282500000008</v>
      </c>
      <c r="AG142" s="223">
        <f t="shared" si="158"/>
        <v>4.6234282500000008</v>
      </c>
      <c r="AH142" s="249"/>
      <c r="AI142" s="223">
        <f t="shared" ref="AI142:AT142" si="159">AI110*AI50*AI$10</f>
        <v>19.010250000000003</v>
      </c>
      <c r="AJ142" s="223">
        <f t="shared" si="159"/>
        <v>50.427090000000007</v>
      </c>
      <c r="AK142" s="223">
        <f t="shared" si="159"/>
        <v>55.481139000000013</v>
      </c>
      <c r="AL142" s="223">
        <f t="shared" si="159"/>
        <v>60.762620205000012</v>
      </c>
      <c r="AM142" s="223">
        <f t="shared" si="159"/>
        <v>66.241462023450012</v>
      </c>
      <c r="AN142" s="223">
        <f t="shared" si="159"/>
        <v>71.881625295443257</v>
      </c>
      <c r="AO142" s="223">
        <f t="shared" si="159"/>
        <v>77.641227319078723</v>
      </c>
      <c r="AP142" s="223">
        <f t="shared" si="159"/>
        <v>83.084051231414236</v>
      </c>
      <c r="AQ142" s="223">
        <f t="shared" si="159"/>
        <v>88.491885561456158</v>
      </c>
      <c r="AR142" s="223">
        <f t="shared" si="159"/>
        <v>93.808202695143521</v>
      </c>
      <c r="AS142" s="223">
        <f t="shared" si="159"/>
        <v>98.504282829900717</v>
      </c>
      <c r="AT142" s="223">
        <f t="shared" si="159"/>
        <v>103.43516697139577</v>
      </c>
    </row>
    <row r="143" spans="1:46" ht="13.5" customHeight="1" x14ac:dyDescent="0.3">
      <c r="A143" s="239"/>
      <c r="B143" s="243"/>
      <c r="C143" s="228" t="s">
        <v>32</v>
      </c>
      <c r="D143" s="237" t="s">
        <v>4</v>
      </c>
      <c r="E143" s="240"/>
      <c r="F143" s="239"/>
      <c r="G143" s="248"/>
      <c r="H143" s="248"/>
      <c r="I143" s="248"/>
      <c r="J143" s="238">
        <f t="shared" ref="J143:AG143" si="160">SUM(J138:J142)</f>
        <v>58.286550000000013</v>
      </c>
      <c r="K143" s="238">
        <f t="shared" si="160"/>
        <v>58.286550000000013</v>
      </c>
      <c r="L143" s="238">
        <f t="shared" si="160"/>
        <v>58.286550000000013</v>
      </c>
      <c r="M143" s="238">
        <f t="shared" si="160"/>
        <v>58.286550000000013</v>
      </c>
      <c r="N143" s="238">
        <f t="shared" si="160"/>
        <v>58.286550000000013</v>
      </c>
      <c r="O143" s="238">
        <f t="shared" si="160"/>
        <v>64.414245000000008</v>
      </c>
      <c r="P143" s="238">
        <f t="shared" si="160"/>
        <v>64.414245000000008</v>
      </c>
      <c r="Q143" s="238">
        <f t="shared" si="160"/>
        <v>64.414245000000008</v>
      </c>
      <c r="R143" s="238">
        <f t="shared" si="160"/>
        <v>64.414245000000008</v>
      </c>
      <c r="S143" s="238">
        <f t="shared" si="160"/>
        <v>64.414245000000008</v>
      </c>
      <c r="T143" s="238">
        <f t="shared" si="160"/>
        <v>64.414245000000008</v>
      </c>
      <c r="U143" s="238">
        <f t="shared" si="160"/>
        <v>64.414245000000008</v>
      </c>
      <c r="V143" s="238">
        <f t="shared" si="160"/>
        <v>64.414245000000008</v>
      </c>
      <c r="W143" s="238">
        <f t="shared" si="160"/>
        <v>64.414245000000008</v>
      </c>
      <c r="X143" s="238">
        <f t="shared" si="160"/>
        <v>64.414245000000008</v>
      </c>
      <c r="Y143" s="238">
        <f t="shared" si="160"/>
        <v>64.414245000000008</v>
      </c>
      <c r="Z143" s="238">
        <f t="shared" si="160"/>
        <v>64.414245000000008</v>
      </c>
      <c r="AA143" s="238">
        <f t="shared" si="160"/>
        <v>70.862914500000016</v>
      </c>
      <c r="AB143" s="238">
        <f t="shared" si="160"/>
        <v>70.862914500000016</v>
      </c>
      <c r="AC143" s="238">
        <f t="shared" si="160"/>
        <v>70.862914500000016</v>
      </c>
      <c r="AD143" s="238">
        <f t="shared" si="160"/>
        <v>70.862914500000016</v>
      </c>
      <c r="AE143" s="238">
        <f t="shared" si="160"/>
        <v>70.862914500000016</v>
      </c>
      <c r="AF143" s="238">
        <f t="shared" si="160"/>
        <v>70.862914500000016</v>
      </c>
      <c r="AG143" s="238">
        <f t="shared" si="160"/>
        <v>70.862914500000016</v>
      </c>
      <c r="AH143" s="249"/>
      <c r="AI143" s="238">
        <f t="shared" ref="AI143:AT143" si="161">SUM(AI138:AI142)</f>
        <v>281.63275000000004</v>
      </c>
      <c r="AJ143" s="238">
        <f t="shared" si="161"/>
        <v>746.98134000000005</v>
      </c>
      <c r="AK143" s="238">
        <f t="shared" si="161"/>
        <v>821.76641400000005</v>
      </c>
      <c r="AL143" s="238">
        <f t="shared" si="161"/>
        <v>899.91681632999996</v>
      </c>
      <c r="AM143" s="238">
        <f t="shared" si="161"/>
        <v>980.98757579970027</v>
      </c>
      <c r="AN143" s="238">
        <f t="shared" si="161"/>
        <v>1064.4454187426747</v>
      </c>
      <c r="AO143" s="238">
        <f t="shared" si="161"/>
        <v>1149.6706042420888</v>
      </c>
      <c r="AP143" s="238">
        <f t="shared" si="161"/>
        <v>1230.208404539035</v>
      </c>
      <c r="AQ143" s="238">
        <f t="shared" si="161"/>
        <v>1310.2284618340723</v>
      </c>
      <c r="AR143" s="238">
        <f t="shared" si="161"/>
        <v>1388.8943335441165</v>
      </c>
      <c r="AS143" s="238">
        <f t="shared" si="161"/>
        <v>1458.3825202213225</v>
      </c>
      <c r="AT143" s="238">
        <f t="shared" si="161"/>
        <v>1531.3451162323886</v>
      </c>
    </row>
    <row r="144" spans="1:46" ht="13.5" customHeight="1" x14ac:dyDescent="0.3">
      <c r="A144" s="239"/>
      <c r="B144" s="243"/>
      <c r="C144" s="239"/>
      <c r="D144" s="240"/>
      <c r="E144" s="240"/>
      <c r="F144" s="239"/>
      <c r="G144" s="248"/>
      <c r="H144" s="248"/>
      <c r="I144" s="248"/>
      <c r="J144" s="248"/>
      <c r="K144" s="248"/>
      <c r="L144" s="248"/>
      <c r="M144" s="248"/>
      <c r="N144" s="248"/>
      <c r="O144" s="248"/>
      <c r="P144" s="248"/>
      <c r="Q144" s="248"/>
      <c r="R144" s="248"/>
      <c r="S144" s="248"/>
      <c r="T144" s="248"/>
      <c r="U144" s="248"/>
      <c r="V144" s="248"/>
      <c r="W144" s="248"/>
      <c r="X144" s="248"/>
      <c r="Y144" s="248"/>
      <c r="Z144" s="248"/>
      <c r="AA144" s="248"/>
      <c r="AB144" s="248"/>
      <c r="AC144" s="248"/>
      <c r="AD144" s="248"/>
      <c r="AE144" s="248"/>
      <c r="AF144" s="248"/>
      <c r="AG144" s="248"/>
      <c r="AH144" s="249"/>
      <c r="AI144" s="248"/>
      <c r="AJ144" s="248"/>
      <c r="AK144" s="248"/>
      <c r="AL144" s="248"/>
      <c r="AM144" s="248"/>
      <c r="AN144" s="248"/>
      <c r="AO144" s="248"/>
      <c r="AP144" s="248"/>
      <c r="AQ144" s="248"/>
      <c r="AR144" s="248"/>
      <c r="AS144" s="248"/>
      <c r="AT144" s="248"/>
    </row>
    <row r="145" spans="1:46" ht="13.5" customHeight="1" x14ac:dyDescent="0.3">
      <c r="A145" s="239"/>
      <c r="B145" s="239"/>
      <c r="C145" s="228" t="s">
        <v>32</v>
      </c>
      <c r="D145" s="237" t="s">
        <v>4</v>
      </c>
      <c r="E145" s="240"/>
      <c r="F145" s="239"/>
      <c r="G145" s="248"/>
      <c r="H145" s="248"/>
      <c r="I145" s="248"/>
      <c r="J145" s="238">
        <f t="shared" ref="J145:AT145" si="162">J143</f>
        <v>58.286550000000013</v>
      </c>
      <c r="K145" s="238">
        <f t="shared" si="162"/>
        <v>58.286550000000013</v>
      </c>
      <c r="L145" s="238">
        <f t="shared" si="162"/>
        <v>58.286550000000013</v>
      </c>
      <c r="M145" s="238">
        <f t="shared" si="162"/>
        <v>58.286550000000013</v>
      </c>
      <c r="N145" s="238">
        <f t="shared" si="162"/>
        <v>58.286550000000013</v>
      </c>
      <c r="O145" s="238">
        <f t="shared" si="162"/>
        <v>64.414245000000008</v>
      </c>
      <c r="P145" s="238">
        <f t="shared" si="162"/>
        <v>64.414245000000008</v>
      </c>
      <c r="Q145" s="238">
        <f t="shared" si="162"/>
        <v>64.414245000000008</v>
      </c>
      <c r="R145" s="238">
        <f t="shared" si="162"/>
        <v>64.414245000000008</v>
      </c>
      <c r="S145" s="238">
        <f t="shared" si="162"/>
        <v>64.414245000000008</v>
      </c>
      <c r="T145" s="238">
        <f t="shared" si="162"/>
        <v>64.414245000000008</v>
      </c>
      <c r="U145" s="238">
        <f t="shared" si="162"/>
        <v>64.414245000000008</v>
      </c>
      <c r="V145" s="238">
        <f t="shared" si="162"/>
        <v>64.414245000000008</v>
      </c>
      <c r="W145" s="238">
        <f t="shared" si="162"/>
        <v>64.414245000000008</v>
      </c>
      <c r="X145" s="238">
        <f t="shared" si="162"/>
        <v>64.414245000000008</v>
      </c>
      <c r="Y145" s="238">
        <f t="shared" si="162"/>
        <v>64.414245000000008</v>
      </c>
      <c r="Z145" s="238">
        <f t="shared" si="162"/>
        <v>64.414245000000008</v>
      </c>
      <c r="AA145" s="238">
        <f t="shared" si="162"/>
        <v>70.862914500000016</v>
      </c>
      <c r="AB145" s="238">
        <f t="shared" si="162"/>
        <v>70.862914500000016</v>
      </c>
      <c r="AC145" s="238">
        <f t="shared" si="162"/>
        <v>70.862914500000016</v>
      </c>
      <c r="AD145" s="238">
        <f t="shared" si="162"/>
        <v>70.862914500000016</v>
      </c>
      <c r="AE145" s="238">
        <f t="shared" si="162"/>
        <v>70.862914500000016</v>
      </c>
      <c r="AF145" s="238">
        <f t="shared" si="162"/>
        <v>70.862914500000016</v>
      </c>
      <c r="AG145" s="238">
        <f t="shared" si="162"/>
        <v>70.862914500000016</v>
      </c>
      <c r="AH145" s="249">
        <f t="shared" si="162"/>
        <v>0</v>
      </c>
      <c r="AI145" s="238">
        <f t="shared" si="162"/>
        <v>281.63275000000004</v>
      </c>
      <c r="AJ145" s="238">
        <f t="shared" si="162"/>
        <v>746.98134000000005</v>
      </c>
      <c r="AK145" s="238">
        <f t="shared" si="162"/>
        <v>821.76641400000005</v>
      </c>
      <c r="AL145" s="238">
        <f t="shared" si="162"/>
        <v>899.91681632999996</v>
      </c>
      <c r="AM145" s="238">
        <f t="shared" si="162"/>
        <v>980.98757579970027</v>
      </c>
      <c r="AN145" s="238">
        <f t="shared" si="162"/>
        <v>1064.4454187426747</v>
      </c>
      <c r="AO145" s="238">
        <f t="shared" si="162"/>
        <v>1149.6706042420888</v>
      </c>
      <c r="AP145" s="238">
        <f t="shared" si="162"/>
        <v>1230.208404539035</v>
      </c>
      <c r="AQ145" s="238">
        <f t="shared" si="162"/>
        <v>1310.2284618340723</v>
      </c>
      <c r="AR145" s="238">
        <f t="shared" si="162"/>
        <v>1388.8943335441165</v>
      </c>
      <c r="AS145" s="238">
        <f t="shared" si="162"/>
        <v>1458.3825202213225</v>
      </c>
      <c r="AT145" s="238">
        <f t="shared" si="162"/>
        <v>1531.3451162323886</v>
      </c>
    </row>
    <row r="146" spans="1:46" ht="13.5" customHeight="1" x14ac:dyDescent="0.3">
      <c r="A146" s="239"/>
      <c r="B146" s="239"/>
      <c r="C146" s="239"/>
      <c r="D146" s="240"/>
      <c r="E146" s="240"/>
      <c r="F146" s="239"/>
      <c r="G146" s="248"/>
      <c r="H146" s="248"/>
      <c r="I146" s="248"/>
      <c r="J146" s="248"/>
      <c r="K146" s="248"/>
      <c r="L146" s="248"/>
      <c r="M146" s="248"/>
      <c r="N146" s="248"/>
      <c r="O146" s="248"/>
      <c r="P146" s="248"/>
      <c r="Q146" s="248"/>
      <c r="R146" s="248"/>
      <c r="S146" s="248"/>
      <c r="T146" s="248"/>
      <c r="U146" s="248"/>
      <c r="V146" s="248"/>
      <c r="W146" s="248"/>
      <c r="X146" s="248"/>
      <c r="Y146" s="248"/>
      <c r="Z146" s="248"/>
      <c r="AA146" s="248"/>
      <c r="AB146" s="248"/>
      <c r="AC146" s="248"/>
      <c r="AD146" s="248"/>
      <c r="AE146" s="248"/>
      <c r="AF146" s="248"/>
      <c r="AG146" s="248"/>
      <c r="AH146" s="249"/>
      <c r="AI146" s="248"/>
      <c r="AJ146" s="248"/>
      <c r="AK146" s="248"/>
      <c r="AL146" s="248"/>
      <c r="AM146" s="248"/>
      <c r="AN146" s="248"/>
      <c r="AO146" s="248"/>
      <c r="AP146" s="248"/>
      <c r="AQ146" s="248"/>
      <c r="AR146" s="248"/>
      <c r="AS146" s="248"/>
      <c r="AT146" s="248"/>
    </row>
    <row r="147" spans="1:46" ht="13.5" customHeight="1" x14ac:dyDescent="0.3">
      <c r="A147" s="239"/>
      <c r="B147" s="250" t="s">
        <v>495</v>
      </c>
      <c r="C147" s="239"/>
      <c r="D147" s="240"/>
      <c r="E147" s="240"/>
      <c r="F147" s="239"/>
      <c r="G147" s="248"/>
      <c r="H147" s="248"/>
      <c r="I147" s="248"/>
      <c r="J147" s="248"/>
      <c r="K147" s="248"/>
      <c r="L147" s="248"/>
      <c r="M147" s="248"/>
      <c r="N147" s="248"/>
      <c r="O147" s="248"/>
      <c r="P147" s="248"/>
      <c r="Q147" s="248"/>
      <c r="R147" s="248"/>
      <c r="S147" s="248"/>
      <c r="T147" s="248"/>
      <c r="U147" s="248"/>
      <c r="V147" s="248"/>
      <c r="W147" s="248"/>
      <c r="X147" s="248"/>
      <c r="Y147" s="248"/>
      <c r="Z147" s="248"/>
      <c r="AA147" s="248"/>
      <c r="AB147" s="248"/>
      <c r="AC147" s="248"/>
      <c r="AD147" s="248"/>
      <c r="AE147" s="248"/>
      <c r="AF147" s="248"/>
      <c r="AG147" s="248"/>
      <c r="AH147" s="249"/>
      <c r="AI147" s="248"/>
      <c r="AJ147" s="248"/>
      <c r="AK147" s="248"/>
      <c r="AL147" s="248"/>
      <c r="AM147" s="248"/>
      <c r="AN147" s="248"/>
      <c r="AO147" s="248"/>
      <c r="AP147" s="248"/>
      <c r="AQ147" s="248"/>
      <c r="AR147" s="248"/>
      <c r="AS147" s="248"/>
      <c r="AT147" s="248"/>
    </row>
    <row r="148" spans="1:46" ht="13.5" customHeight="1" x14ac:dyDescent="0.3">
      <c r="A148" s="239"/>
      <c r="B148" s="239"/>
      <c r="C148" s="239"/>
      <c r="D148" s="240"/>
      <c r="E148" s="240"/>
      <c r="F148" s="239"/>
      <c r="G148" s="248"/>
      <c r="H148" s="248"/>
      <c r="I148" s="248"/>
      <c r="J148" s="248"/>
      <c r="K148" s="248"/>
      <c r="L148" s="248"/>
      <c r="M148" s="248"/>
      <c r="N148" s="248"/>
      <c r="O148" s="248"/>
      <c r="P148" s="248"/>
      <c r="Q148" s="248"/>
      <c r="R148" s="248"/>
      <c r="S148" s="248"/>
      <c r="T148" s="248"/>
      <c r="U148" s="248"/>
      <c r="V148" s="248"/>
      <c r="W148" s="248"/>
      <c r="X148" s="248"/>
      <c r="Y148" s="248"/>
      <c r="Z148" s="248"/>
      <c r="AA148" s="248"/>
      <c r="AB148" s="248"/>
      <c r="AC148" s="248"/>
      <c r="AD148" s="248"/>
      <c r="AE148" s="248"/>
      <c r="AF148" s="248"/>
      <c r="AG148" s="248"/>
      <c r="AH148" s="249"/>
      <c r="AI148" s="248"/>
      <c r="AJ148" s="248"/>
      <c r="AK148" s="248"/>
      <c r="AL148" s="248"/>
      <c r="AM148" s="248"/>
      <c r="AN148" s="248"/>
      <c r="AO148" s="248"/>
      <c r="AP148" s="248"/>
      <c r="AQ148" s="248"/>
      <c r="AR148" s="248"/>
      <c r="AS148" s="248"/>
      <c r="AT148" s="248"/>
    </row>
    <row r="149" spans="1:46" ht="13.5" customHeight="1" x14ac:dyDescent="0.3">
      <c r="A149" s="239"/>
      <c r="B149" s="230" t="s">
        <v>492</v>
      </c>
      <c r="C149" s="239"/>
      <c r="D149" s="240"/>
      <c r="E149" s="240"/>
      <c r="F149" s="239"/>
      <c r="G149" s="248"/>
      <c r="H149" s="248"/>
      <c r="I149" s="248"/>
      <c r="J149" s="248"/>
      <c r="K149" s="248"/>
      <c r="L149" s="248"/>
      <c r="M149" s="248"/>
      <c r="N149" s="248"/>
      <c r="O149" s="248"/>
      <c r="P149" s="248"/>
      <c r="Q149" s="248"/>
      <c r="R149" s="248"/>
      <c r="S149" s="248"/>
      <c r="T149" s="248"/>
      <c r="U149" s="248"/>
      <c r="V149" s="248"/>
      <c r="W149" s="248"/>
      <c r="X149" s="248"/>
      <c r="Y149" s="248"/>
      <c r="Z149" s="248"/>
      <c r="AA149" s="248"/>
      <c r="AB149" s="248"/>
      <c r="AC149" s="248"/>
      <c r="AD149" s="248"/>
      <c r="AE149" s="248"/>
      <c r="AF149" s="248"/>
      <c r="AG149" s="248"/>
      <c r="AH149" s="249"/>
      <c r="AI149" s="248"/>
      <c r="AJ149" s="248"/>
      <c r="AK149" s="248"/>
      <c r="AL149" s="248"/>
      <c r="AM149" s="248"/>
      <c r="AN149" s="248"/>
      <c r="AO149" s="248"/>
      <c r="AP149" s="248"/>
      <c r="AQ149" s="248"/>
      <c r="AR149" s="248"/>
      <c r="AS149" s="248"/>
      <c r="AT149" s="248"/>
    </row>
    <row r="150" spans="1:46" ht="13.5" customHeight="1" x14ac:dyDescent="0.3">
      <c r="A150" s="239"/>
      <c r="B150" s="219">
        <v>1</v>
      </c>
      <c r="C150" s="219" t="str">
        <f>C138</f>
        <v>Директор фермы</v>
      </c>
      <c r="D150" s="89" t="s">
        <v>4</v>
      </c>
      <c r="E150" s="240"/>
      <c r="F150" s="239"/>
      <c r="G150" s="248"/>
      <c r="H150" s="248"/>
      <c r="I150" s="248"/>
      <c r="J150" s="223">
        <f t="shared" ref="J150:AG150" si="163">J116*J46</f>
        <v>37.9086</v>
      </c>
      <c r="K150" s="223">
        <f t="shared" si="163"/>
        <v>37.9086</v>
      </c>
      <c r="L150" s="223">
        <f t="shared" si="163"/>
        <v>37.9086</v>
      </c>
      <c r="M150" s="223">
        <f t="shared" si="163"/>
        <v>37.9086</v>
      </c>
      <c r="N150" s="223">
        <f t="shared" si="163"/>
        <v>37.9086</v>
      </c>
      <c r="O150" s="223">
        <f t="shared" si="163"/>
        <v>41.889003000000002</v>
      </c>
      <c r="P150" s="223">
        <f t="shared" si="163"/>
        <v>41.889003000000002</v>
      </c>
      <c r="Q150" s="223">
        <f t="shared" si="163"/>
        <v>41.889003000000002</v>
      </c>
      <c r="R150" s="223">
        <f t="shared" si="163"/>
        <v>41.889003000000002</v>
      </c>
      <c r="S150" s="223">
        <f t="shared" si="163"/>
        <v>41.889003000000002</v>
      </c>
      <c r="T150" s="223">
        <f t="shared" si="163"/>
        <v>41.889003000000002</v>
      </c>
      <c r="U150" s="223">
        <f t="shared" si="163"/>
        <v>41.889003000000002</v>
      </c>
      <c r="V150" s="223">
        <f t="shared" si="163"/>
        <v>41.889003000000002</v>
      </c>
      <c r="W150" s="223">
        <f t="shared" si="163"/>
        <v>41.889003000000002</v>
      </c>
      <c r="X150" s="223">
        <f t="shared" si="163"/>
        <v>41.889003000000002</v>
      </c>
      <c r="Y150" s="223">
        <f t="shared" si="163"/>
        <v>41.889003000000002</v>
      </c>
      <c r="Z150" s="223">
        <f t="shared" si="163"/>
        <v>41.889003000000002</v>
      </c>
      <c r="AA150" s="223">
        <f t="shared" si="163"/>
        <v>46.07790330000001</v>
      </c>
      <c r="AB150" s="223">
        <f t="shared" si="163"/>
        <v>46.07790330000001</v>
      </c>
      <c r="AC150" s="223">
        <f t="shared" si="163"/>
        <v>46.07790330000001</v>
      </c>
      <c r="AD150" s="223">
        <f t="shared" si="163"/>
        <v>46.07790330000001</v>
      </c>
      <c r="AE150" s="223">
        <f t="shared" si="163"/>
        <v>46.07790330000001</v>
      </c>
      <c r="AF150" s="223">
        <f t="shared" si="163"/>
        <v>46.07790330000001</v>
      </c>
      <c r="AG150" s="223">
        <f t="shared" si="163"/>
        <v>46.07790330000001</v>
      </c>
      <c r="AH150" s="249"/>
      <c r="AI150" s="223">
        <f t="shared" ref="AI150:AT150" si="164">AI116*AI46*AI$10</f>
        <v>199.34300000000002</v>
      </c>
      <c r="AJ150" s="223">
        <f t="shared" si="164"/>
        <v>528.65763600000002</v>
      </c>
      <c r="AK150" s="223">
        <f t="shared" si="164"/>
        <v>581.52339960000006</v>
      </c>
      <c r="AL150" s="223">
        <f t="shared" si="164"/>
        <v>636.76812256200014</v>
      </c>
      <c r="AM150" s="223">
        <f t="shared" si="164"/>
        <v>694.07725359257995</v>
      </c>
      <c r="AN150" s="223">
        <f t="shared" si="164"/>
        <v>753.07382014794928</v>
      </c>
      <c r="AO150" s="223">
        <f t="shared" si="164"/>
        <v>813.31972575978534</v>
      </c>
      <c r="AP150" s="223">
        <f t="shared" si="164"/>
        <v>870.25210656297008</v>
      </c>
      <c r="AQ150" s="223">
        <f t="shared" si="164"/>
        <v>926.81849348956291</v>
      </c>
      <c r="AR150" s="223">
        <f t="shared" si="164"/>
        <v>982.42760309893697</v>
      </c>
      <c r="AS150" s="223">
        <f t="shared" si="164"/>
        <v>1031.548983253884</v>
      </c>
      <c r="AT150" s="223">
        <f t="shared" si="164"/>
        <v>1083.1264324165782</v>
      </c>
    </row>
    <row r="151" spans="1:46" ht="13.5" customHeight="1" x14ac:dyDescent="0.3">
      <c r="A151" s="239"/>
      <c r="B151" s="219">
        <v>2</v>
      </c>
      <c r="C151" s="219" t="str">
        <f>C139</f>
        <v>Ветеринар</v>
      </c>
      <c r="D151" s="89" t="s">
        <v>4</v>
      </c>
      <c r="E151" s="240"/>
      <c r="F151" s="239"/>
      <c r="G151" s="248"/>
      <c r="H151" s="248"/>
      <c r="I151" s="248"/>
      <c r="J151" s="223">
        <f t="shared" ref="J151:AG151" si="165">J117*J47</f>
        <v>11.776949999999999</v>
      </c>
      <c r="K151" s="223">
        <f t="shared" si="165"/>
        <v>11.776949999999999</v>
      </c>
      <c r="L151" s="223">
        <f t="shared" si="165"/>
        <v>11.776949999999999</v>
      </c>
      <c r="M151" s="223">
        <f t="shared" si="165"/>
        <v>11.776949999999999</v>
      </c>
      <c r="N151" s="223">
        <f t="shared" si="165"/>
        <v>11.776949999999999</v>
      </c>
      <c r="O151" s="223">
        <f t="shared" si="165"/>
        <v>13.011875999999996</v>
      </c>
      <c r="P151" s="223">
        <f t="shared" si="165"/>
        <v>13.011875999999996</v>
      </c>
      <c r="Q151" s="223">
        <f t="shared" si="165"/>
        <v>13.011875999999996</v>
      </c>
      <c r="R151" s="223">
        <f t="shared" si="165"/>
        <v>13.011875999999996</v>
      </c>
      <c r="S151" s="223">
        <f t="shared" si="165"/>
        <v>13.011875999999996</v>
      </c>
      <c r="T151" s="223">
        <f t="shared" si="165"/>
        <v>13.011875999999996</v>
      </c>
      <c r="U151" s="223">
        <f t="shared" si="165"/>
        <v>13.011875999999996</v>
      </c>
      <c r="V151" s="223">
        <f t="shared" si="165"/>
        <v>13.011875999999996</v>
      </c>
      <c r="W151" s="223">
        <f t="shared" si="165"/>
        <v>13.011875999999996</v>
      </c>
      <c r="X151" s="223">
        <f t="shared" si="165"/>
        <v>13.011875999999996</v>
      </c>
      <c r="Y151" s="223">
        <f t="shared" si="165"/>
        <v>13.011875999999996</v>
      </c>
      <c r="Z151" s="223">
        <f t="shared" si="165"/>
        <v>13.011875999999996</v>
      </c>
      <c r="AA151" s="223">
        <f t="shared" si="165"/>
        <v>14.311488600000002</v>
      </c>
      <c r="AB151" s="223">
        <f t="shared" si="165"/>
        <v>14.311488600000002</v>
      </c>
      <c r="AC151" s="223">
        <f t="shared" si="165"/>
        <v>14.311488600000002</v>
      </c>
      <c r="AD151" s="223">
        <f t="shared" si="165"/>
        <v>14.311488600000002</v>
      </c>
      <c r="AE151" s="223">
        <f t="shared" si="165"/>
        <v>14.311488600000002</v>
      </c>
      <c r="AF151" s="223">
        <f t="shared" si="165"/>
        <v>14.311488600000002</v>
      </c>
      <c r="AG151" s="223">
        <f t="shared" si="165"/>
        <v>14.311488600000002</v>
      </c>
      <c r="AH151" s="249"/>
      <c r="AI151" s="223">
        <f t="shared" ref="AI151:AT151" si="166">AI117*AI47*AI$10</f>
        <v>58.884749999999997</v>
      </c>
      <c r="AJ151" s="223">
        <f t="shared" si="166"/>
        <v>156.14251199999995</v>
      </c>
      <c r="AK151" s="223">
        <f t="shared" si="166"/>
        <v>171.73786320000002</v>
      </c>
      <c r="AL151" s="223">
        <f t="shared" si="166"/>
        <v>188.03500520399996</v>
      </c>
      <c r="AM151" s="223">
        <f t="shared" si="166"/>
        <v>204.94114567235997</v>
      </c>
      <c r="AN151" s="223">
        <f t="shared" si="166"/>
        <v>222.34507805451059</v>
      </c>
      <c r="AO151" s="223">
        <f t="shared" si="166"/>
        <v>240.1175642988714</v>
      </c>
      <c r="AP151" s="223">
        <f t="shared" si="166"/>
        <v>256.91256379979245</v>
      </c>
      <c r="AQ151" s="223">
        <f t="shared" si="166"/>
        <v>273.59959544677895</v>
      </c>
      <c r="AR151" s="223">
        <f t="shared" si="166"/>
        <v>290.00423117358571</v>
      </c>
      <c r="AS151" s="223">
        <f t="shared" si="166"/>
        <v>304.49499273226496</v>
      </c>
      <c r="AT151" s="223">
        <f t="shared" si="166"/>
        <v>319.7102923688783</v>
      </c>
    </row>
    <row r="152" spans="1:46" ht="13.5" customHeight="1" x14ac:dyDescent="0.3">
      <c r="A152" s="239"/>
      <c r="B152" s="219">
        <v>3</v>
      </c>
      <c r="C152" s="219" t="str">
        <f>C140</f>
        <v>Повар</v>
      </c>
      <c r="D152" s="89" t="s">
        <v>4</v>
      </c>
      <c r="E152" s="240"/>
      <c r="F152" s="239"/>
      <c r="G152" s="248"/>
      <c r="H152" s="248"/>
      <c r="I152" s="248"/>
      <c r="J152" s="223">
        <f t="shared" ref="J152:AG152" si="167">J118*J48</f>
        <v>8.8366499999999988</v>
      </c>
      <c r="K152" s="223">
        <f t="shared" si="167"/>
        <v>8.8366499999999988</v>
      </c>
      <c r="L152" s="223">
        <f t="shared" si="167"/>
        <v>8.8366499999999988</v>
      </c>
      <c r="M152" s="223">
        <f t="shared" si="167"/>
        <v>8.8366499999999988</v>
      </c>
      <c r="N152" s="223">
        <f t="shared" si="167"/>
        <v>8.8366499999999988</v>
      </c>
      <c r="O152" s="223">
        <f t="shared" si="167"/>
        <v>9.7628444999999999</v>
      </c>
      <c r="P152" s="223">
        <f t="shared" si="167"/>
        <v>9.7628444999999999</v>
      </c>
      <c r="Q152" s="223">
        <f t="shared" si="167"/>
        <v>9.7628444999999999</v>
      </c>
      <c r="R152" s="223">
        <f t="shared" si="167"/>
        <v>9.7628444999999999</v>
      </c>
      <c r="S152" s="223">
        <f t="shared" si="167"/>
        <v>9.7628444999999999</v>
      </c>
      <c r="T152" s="223">
        <f t="shared" si="167"/>
        <v>9.7628444999999999</v>
      </c>
      <c r="U152" s="223">
        <f t="shared" si="167"/>
        <v>9.7628444999999999</v>
      </c>
      <c r="V152" s="223">
        <f t="shared" si="167"/>
        <v>9.7628444999999999</v>
      </c>
      <c r="W152" s="223">
        <f t="shared" si="167"/>
        <v>9.7628444999999999</v>
      </c>
      <c r="X152" s="223">
        <f t="shared" si="167"/>
        <v>9.7628444999999999</v>
      </c>
      <c r="Y152" s="223">
        <f t="shared" si="167"/>
        <v>9.7628444999999999</v>
      </c>
      <c r="Z152" s="223">
        <f t="shared" si="167"/>
        <v>9.7628444999999999</v>
      </c>
      <c r="AA152" s="223">
        <f t="shared" si="167"/>
        <v>10.737553950000002</v>
      </c>
      <c r="AB152" s="223">
        <f t="shared" si="167"/>
        <v>10.737553950000002</v>
      </c>
      <c r="AC152" s="223">
        <f t="shared" si="167"/>
        <v>10.737553950000002</v>
      </c>
      <c r="AD152" s="223">
        <f t="shared" si="167"/>
        <v>10.737553950000002</v>
      </c>
      <c r="AE152" s="223">
        <f t="shared" si="167"/>
        <v>10.737553950000002</v>
      </c>
      <c r="AF152" s="223">
        <f t="shared" si="167"/>
        <v>10.737553950000002</v>
      </c>
      <c r="AG152" s="223">
        <f t="shared" si="167"/>
        <v>10.737553950000002</v>
      </c>
      <c r="AH152" s="249"/>
      <c r="AI152" s="223">
        <f t="shared" ref="AI152:AT152" si="168">AI118*AI48*AI$10</f>
        <v>44.183249999999994</v>
      </c>
      <c r="AJ152" s="223">
        <f t="shared" si="168"/>
        <v>117.154134</v>
      </c>
      <c r="AK152" s="223">
        <f t="shared" si="168"/>
        <v>128.85064740000001</v>
      </c>
      <c r="AL152" s="223">
        <f t="shared" si="168"/>
        <v>141.07350390300002</v>
      </c>
      <c r="AM152" s="223">
        <f t="shared" si="168"/>
        <v>153.75310925426999</v>
      </c>
      <c r="AN152" s="223">
        <f t="shared" si="168"/>
        <v>166.80605854088293</v>
      </c>
      <c r="AO152" s="223">
        <f t="shared" si="168"/>
        <v>180.13542322415361</v>
      </c>
      <c r="AP152" s="223">
        <f t="shared" si="168"/>
        <v>192.73167284984433</v>
      </c>
      <c r="AQ152" s="223">
        <f t="shared" si="168"/>
        <v>205.2469465850842</v>
      </c>
      <c r="AR152" s="223">
        <f t="shared" si="168"/>
        <v>217.55042338018927</v>
      </c>
      <c r="AS152" s="223">
        <f t="shared" si="168"/>
        <v>228.41849454919875</v>
      </c>
      <c r="AT152" s="223">
        <f t="shared" si="168"/>
        <v>239.82996927665872</v>
      </c>
    </row>
    <row r="153" spans="1:46" ht="13.5" customHeight="1" x14ac:dyDescent="0.3">
      <c r="A153" s="239"/>
      <c r="B153" s="219">
        <v>4</v>
      </c>
      <c r="C153" s="219" t="str">
        <f>C141</f>
        <v>Тракторист</v>
      </c>
      <c r="D153" s="89" t="s">
        <v>4</v>
      </c>
      <c r="E153" s="240"/>
      <c r="F153" s="239"/>
      <c r="G153" s="248"/>
      <c r="H153" s="248"/>
      <c r="I153" s="248"/>
      <c r="J153" s="223">
        <f t="shared" ref="J153:AG153" si="169">J119*J49</f>
        <v>23.553899999999999</v>
      </c>
      <c r="K153" s="223">
        <f t="shared" si="169"/>
        <v>23.553899999999999</v>
      </c>
      <c r="L153" s="223">
        <f t="shared" si="169"/>
        <v>23.553899999999999</v>
      </c>
      <c r="M153" s="223">
        <f t="shared" si="169"/>
        <v>23.553899999999999</v>
      </c>
      <c r="N153" s="223">
        <f t="shared" si="169"/>
        <v>23.553899999999999</v>
      </c>
      <c r="O153" s="223">
        <f t="shared" si="169"/>
        <v>26.023751999999991</v>
      </c>
      <c r="P153" s="223">
        <f t="shared" si="169"/>
        <v>26.023751999999991</v>
      </c>
      <c r="Q153" s="223">
        <f t="shared" si="169"/>
        <v>26.023751999999991</v>
      </c>
      <c r="R153" s="223">
        <f t="shared" si="169"/>
        <v>26.023751999999991</v>
      </c>
      <c r="S153" s="223">
        <f t="shared" si="169"/>
        <v>26.023751999999991</v>
      </c>
      <c r="T153" s="223">
        <f t="shared" si="169"/>
        <v>26.023751999999991</v>
      </c>
      <c r="U153" s="223">
        <f t="shared" si="169"/>
        <v>26.023751999999991</v>
      </c>
      <c r="V153" s="223">
        <f t="shared" si="169"/>
        <v>26.023751999999991</v>
      </c>
      <c r="W153" s="223">
        <f t="shared" si="169"/>
        <v>26.023751999999991</v>
      </c>
      <c r="X153" s="223">
        <f t="shared" si="169"/>
        <v>26.023751999999991</v>
      </c>
      <c r="Y153" s="223">
        <f t="shared" si="169"/>
        <v>26.023751999999991</v>
      </c>
      <c r="Z153" s="223">
        <f t="shared" si="169"/>
        <v>26.023751999999991</v>
      </c>
      <c r="AA153" s="223">
        <f t="shared" si="169"/>
        <v>28.622977200000005</v>
      </c>
      <c r="AB153" s="223">
        <f t="shared" si="169"/>
        <v>28.622977200000005</v>
      </c>
      <c r="AC153" s="223">
        <f t="shared" si="169"/>
        <v>28.622977200000005</v>
      </c>
      <c r="AD153" s="223">
        <f t="shared" si="169"/>
        <v>28.622977200000005</v>
      </c>
      <c r="AE153" s="223">
        <f t="shared" si="169"/>
        <v>28.622977200000005</v>
      </c>
      <c r="AF153" s="223">
        <f t="shared" si="169"/>
        <v>28.622977200000005</v>
      </c>
      <c r="AG153" s="223">
        <f t="shared" si="169"/>
        <v>28.622977200000005</v>
      </c>
      <c r="AH153" s="249"/>
      <c r="AI153" s="223">
        <f t="shared" ref="AI153:AT153" si="170">AI119*AI49*AI$10</f>
        <v>117.76949999999999</v>
      </c>
      <c r="AJ153" s="223">
        <f t="shared" si="170"/>
        <v>312.28502399999991</v>
      </c>
      <c r="AK153" s="223">
        <f t="shared" si="170"/>
        <v>343.47572640000004</v>
      </c>
      <c r="AL153" s="223">
        <f t="shared" si="170"/>
        <v>376.07001040799992</v>
      </c>
      <c r="AM153" s="223">
        <f t="shared" si="170"/>
        <v>409.88229134471993</v>
      </c>
      <c r="AN153" s="223">
        <f t="shared" si="170"/>
        <v>444.69015610902119</v>
      </c>
      <c r="AO153" s="223">
        <f t="shared" si="170"/>
        <v>480.2351285977428</v>
      </c>
      <c r="AP153" s="223">
        <f t="shared" si="170"/>
        <v>513.8251275995849</v>
      </c>
      <c r="AQ153" s="223">
        <f t="shared" si="170"/>
        <v>547.1991908935579</v>
      </c>
      <c r="AR153" s="223">
        <f t="shared" si="170"/>
        <v>580.00846234717142</v>
      </c>
      <c r="AS153" s="223">
        <f t="shared" si="170"/>
        <v>608.98998546452992</v>
      </c>
      <c r="AT153" s="223">
        <f t="shared" si="170"/>
        <v>639.4205847377566</v>
      </c>
    </row>
    <row r="154" spans="1:46" ht="13.5" customHeight="1" x14ac:dyDescent="0.3">
      <c r="A154" s="239"/>
      <c r="B154" s="219">
        <v>5</v>
      </c>
      <c r="C154" s="219" t="str">
        <f>C142</f>
        <v xml:space="preserve">Бухглатер </v>
      </c>
      <c r="D154" s="89" t="s">
        <v>4</v>
      </c>
      <c r="E154" s="240"/>
      <c r="F154" s="239"/>
      <c r="G154" s="248"/>
      <c r="H154" s="248"/>
      <c r="I154" s="248"/>
      <c r="J154" s="223">
        <f t="shared" ref="J154:AG154" si="171">J120*J50</f>
        <v>5.3019899999999991</v>
      </c>
      <c r="K154" s="223">
        <f t="shared" si="171"/>
        <v>5.3019899999999991</v>
      </c>
      <c r="L154" s="223">
        <f t="shared" si="171"/>
        <v>5.3019899999999991</v>
      </c>
      <c r="M154" s="223">
        <f t="shared" si="171"/>
        <v>5.3019899999999991</v>
      </c>
      <c r="N154" s="223">
        <f t="shared" si="171"/>
        <v>5.3019899999999991</v>
      </c>
      <c r="O154" s="223">
        <f t="shared" si="171"/>
        <v>5.8577066999999996</v>
      </c>
      <c r="P154" s="223">
        <f t="shared" si="171"/>
        <v>5.8577066999999996</v>
      </c>
      <c r="Q154" s="223">
        <f t="shared" si="171"/>
        <v>5.8577066999999996</v>
      </c>
      <c r="R154" s="223">
        <f t="shared" si="171"/>
        <v>5.8577066999999996</v>
      </c>
      <c r="S154" s="223">
        <f t="shared" si="171"/>
        <v>5.8577066999999996</v>
      </c>
      <c r="T154" s="223">
        <f t="shared" si="171"/>
        <v>5.8577066999999996</v>
      </c>
      <c r="U154" s="223">
        <f t="shared" si="171"/>
        <v>5.8577066999999996</v>
      </c>
      <c r="V154" s="223">
        <f t="shared" si="171"/>
        <v>5.8577066999999996</v>
      </c>
      <c r="W154" s="223">
        <f t="shared" si="171"/>
        <v>5.8577066999999996</v>
      </c>
      <c r="X154" s="223">
        <f t="shared" si="171"/>
        <v>5.8577066999999996</v>
      </c>
      <c r="Y154" s="223">
        <f t="shared" si="171"/>
        <v>5.8577066999999996</v>
      </c>
      <c r="Z154" s="223">
        <f t="shared" si="171"/>
        <v>5.8577066999999996</v>
      </c>
      <c r="AA154" s="223">
        <f t="shared" si="171"/>
        <v>6.4425323700000012</v>
      </c>
      <c r="AB154" s="223">
        <f t="shared" si="171"/>
        <v>6.4425323700000012</v>
      </c>
      <c r="AC154" s="223">
        <f t="shared" si="171"/>
        <v>6.4425323700000012</v>
      </c>
      <c r="AD154" s="223">
        <f t="shared" si="171"/>
        <v>6.4425323700000012</v>
      </c>
      <c r="AE154" s="223">
        <f t="shared" si="171"/>
        <v>6.4425323700000012</v>
      </c>
      <c r="AF154" s="223">
        <f t="shared" si="171"/>
        <v>6.4425323700000012</v>
      </c>
      <c r="AG154" s="223">
        <f t="shared" si="171"/>
        <v>6.4425323700000012</v>
      </c>
      <c r="AH154" s="249"/>
      <c r="AI154" s="223">
        <f t="shared" ref="AI154:AT154" si="172">AI120*AI50*AI$10</f>
        <v>26.509949999999996</v>
      </c>
      <c r="AJ154" s="223">
        <f t="shared" si="172"/>
        <v>70.292480399999988</v>
      </c>
      <c r="AK154" s="223">
        <f t="shared" si="172"/>
        <v>77.310388440000011</v>
      </c>
      <c r="AL154" s="223">
        <f t="shared" si="172"/>
        <v>84.644102341800021</v>
      </c>
      <c r="AM154" s="223">
        <f t="shared" si="172"/>
        <v>92.251865552561981</v>
      </c>
      <c r="AN154" s="223">
        <f t="shared" si="172"/>
        <v>100.08363512452975</v>
      </c>
      <c r="AO154" s="223">
        <f t="shared" si="172"/>
        <v>108.08125393449217</v>
      </c>
      <c r="AP154" s="223">
        <f t="shared" si="172"/>
        <v>115.63900370990659</v>
      </c>
      <c r="AQ154" s="223">
        <f t="shared" si="172"/>
        <v>123.14816795105051</v>
      </c>
      <c r="AR154" s="223">
        <f t="shared" si="172"/>
        <v>130.53025402811357</v>
      </c>
      <c r="AS154" s="223">
        <f t="shared" si="172"/>
        <v>137.05109672951926</v>
      </c>
      <c r="AT154" s="223">
        <f t="shared" si="172"/>
        <v>143.89798156599522</v>
      </c>
    </row>
    <row r="155" spans="1:46" ht="13.5" customHeight="1" x14ac:dyDescent="0.3">
      <c r="A155" s="239"/>
      <c r="B155" s="243"/>
      <c r="C155" s="228" t="s">
        <v>32</v>
      </c>
      <c r="D155" s="237" t="s">
        <v>4</v>
      </c>
      <c r="E155" s="240"/>
      <c r="F155" s="239"/>
      <c r="G155" s="248"/>
      <c r="H155" s="248"/>
      <c r="I155" s="248"/>
      <c r="J155" s="238">
        <f t="shared" ref="J155:AG155" si="173">SUM(J150:J154)</f>
        <v>87.37809</v>
      </c>
      <c r="K155" s="238">
        <f t="shared" si="173"/>
        <v>87.37809</v>
      </c>
      <c r="L155" s="238">
        <f t="shared" si="173"/>
        <v>87.37809</v>
      </c>
      <c r="M155" s="238">
        <f t="shared" si="173"/>
        <v>87.37809</v>
      </c>
      <c r="N155" s="238">
        <f t="shared" si="173"/>
        <v>87.37809</v>
      </c>
      <c r="O155" s="238">
        <f t="shared" si="173"/>
        <v>96.545182199999985</v>
      </c>
      <c r="P155" s="238">
        <f t="shared" si="173"/>
        <v>96.545182199999985</v>
      </c>
      <c r="Q155" s="238">
        <f t="shared" si="173"/>
        <v>96.545182199999985</v>
      </c>
      <c r="R155" s="238">
        <f t="shared" si="173"/>
        <v>96.545182199999985</v>
      </c>
      <c r="S155" s="238">
        <f t="shared" si="173"/>
        <v>96.545182199999985</v>
      </c>
      <c r="T155" s="238">
        <f t="shared" si="173"/>
        <v>96.545182199999985</v>
      </c>
      <c r="U155" s="238">
        <f t="shared" si="173"/>
        <v>96.545182199999985</v>
      </c>
      <c r="V155" s="238">
        <f t="shared" si="173"/>
        <v>96.545182199999985</v>
      </c>
      <c r="W155" s="238">
        <f t="shared" si="173"/>
        <v>96.545182199999985</v>
      </c>
      <c r="X155" s="238">
        <f t="shared" si="173"/>
        <v>96.545182199999985</v>
      </c>
      <c r="Y155" s="238">
        <f t="shared" si="173"/>
        <v>96.545182199999985</v>
      </c>
      <c r="Z155" s="238">
        <f t="shared" si="173"/>
        <v>96.545182199999985</v>
      </c>
      <c r="AA155" s="238">
        <f t="shared" si="173"/>
        <v>106.19245542000002</v>
      </c>
      <c r="AB155" s="238">
        <f t="shared" si="173"/>
        <v>106.19245542000002</v>
      </c>
      <c r="AC155" s="238">
        <f t="shared" si="173"/>
        <v>106.19245542000002</v>
      </c>
      <c r="AD155" s="238">
        <f t="shared" si="173"/>
        <v>106.19245542000002</v>
      </c>
      <c r="AE155" s="238">
        <f t="shared" si="173"/>
        <v>106.19245542000002</v>
      </c>
      <c r="AF155" s="238">
        <f t="shared" si="173"/>
        <v>106.19245542000002</v>
      </c>
      <c r="AG155" s="238">
        <f t="shared" si="173"/>
        <v>106.19245542000002</v>
      </c>
      <c r="AH155" s="249"/>
      <c r="AI155" s="238">
        <f t="shared" ref="AI155:AT155" si="174">SUM(AI150:AI154)</f>
        <v>446.69045</v>
      </c>
      <c r="AJ155" s="238">
        <f t="shared" si="174"/>
        <v>1184.5317863999999</v>
      </c>
      <c r="AK155" s="238">
        <f t="shared" si="174"/>
        <v>1302.89802504</v>
      </c>
      <c r="AL155" s="238">
        <f t="shared" si="174"/>
        <v>1426.5907444188001</v>
      </c>
      <c r="AM155" s="238">
        <f t="shared" si="174"/>
        <v>1554.905665416492</v>
      </c>
      <c r="AN155" s="238">
        <f t="shared" si="174"/>
        <v>1686.9987479768938</v>
      </c>
      <c r="AO155" s="238">
        <f t="shared" si="174"/>
        <v>1821.8890958150453</v>
      </c>
      <c r="AP155" s="238">
        <f t="shared" si="174"/>
        <v>1949.3604745220982</v>
      </c>
      <c r="AQ155" s="238">
        <f t="shared" si="174"/>
        <v>2076.0123943660346</v>
      </c>
      <c r="AR155" s="238">
        <f t="shared" si="174"/>
        <v>2200.520974027997</v>
      </c>
      <c r="AS155" s="238">
        <f t="shared" si="174"/>
        <v>2310.5035527293967</v>
      </c>
      <c r="AT155" s="238">
        <f t="shared" si="174"/>
        <v>2425.9852603658665</v>
      </c>
    </row>
    <row r="156" spans="1:46" ht="13.5" customHeight="1" x14ac:dyDescent="0.3">
      <c r="A156" s="239"/>
      <c r="B156" s="243"/>
      <c r="C156" s="239"/>
      <c r="D156" s="240"/>
      <c r="E156" s="240"/>
      <c r="F156" s="239"/>
      <c r="G156" s="248"/>
      <c r="H156" s="248"/>
      <c r="I156" s="248"/>
      <c r="J156" s="248"/>
      <c r="K156" s="248"/>
      <c r="L156" s="248"/>
      <c r="M156" s="248"/>
      <c r="N156" s="248"/>
      <c r="O156" s="248"/>
      <c r="P156" s="248"/>
      <c r="Q156" s="248"/>
      <c r="R156" s="248"/>
      <c r="S156" s="248"/>
      <c r="T156" s="248"/>
      <c r="U156" s="248"/>
      <c r="V156" s="248"/>
      <c r="W156" s="248"/>
      <c r="X156" s="248"/>
      <c r="Y156" s="248"/>
      <c r="Z156" s="248"/>
      <c r="AA156" s="248"/>
      <c r="AB156" s="248"/>
      <c r="AC156" s="248"/>
      <c r="AD156" s="248"/>
      <c r="AE156" s="248"/>
      <c r="AF156" s="248"/>
      <c r="AG156" s="248"/>
      <c r="AH156" s="249"/>
      <c r="AI156" s="248"/>
      <c r="AJ156" s="248"/>
      <c r="AK156" s="248"/>
      <c r="AL156" s="248"/>
      <c r="AM156" s="248"/>
      <c r="AN156" s="248"/>
      <c r="AO156" s="248"/>
      <c r="AP156" s="248"/>
      <c r="AQ156" s="248"/>
      <c r="AR156" s="248"/>
      <c r="AS156" s="248"/>
      <c r="AT156" s="248"/>
    </row>
    <row r="157" spans="1:46" ht="13.5" customHeight="1" x14ac:dyDescent="0.3">
      <c r="A157" s="239"/>
      <c r="B157" s="239"/>
      <c r="C157" s="228" t="s">
        <v>32</v>
      </c>
      <c r="D157" s="237" t="s">
        <v>4</v>
      </c>
      <c r="E157" s="240"/>
      <c r="F157" s="239"/>
      <c r="G157" s="248"/>
      <c r="H157" s="248"/>
      <c r="I157" s="248"/>
      <c r="J157" s="238">
        <f t="shared" ref="J157:AT157" si="175">J155</f>
        <v>87.37809</v>
      </c>
      <c r="K157" s="238">
        <f t="shared" si="175"/>
        <v>87.37809</v>
      </c>
      <c r="L157" s="238">
        <f t="shared" si="175"/>
        <v>87.37809</v>
      </c>
      <c r="M157" s="238">
        <f t="shared" si="175"/>
        <v>87.37809</v>
      </c>
      <c r="N157" s="238">
        <f t="shared" si="175"/>
        <v>87.37809</v>
      </c>
      <c r="O157" s="238">
        <f t="shared" si="175"/>
        <v>96.545182199999985</v>
      </c>
      <c r="P157" s="238">
        <f t="shared" si="175"/>
        <v>96.545182199999985</v>
      </c>
      <c r="Q157" s="238">
        <f t="shared" si="175"/>
        <v>96.545182199999985</v>
      </c>
      <c r="R157" s="238">
        <f t="shared" si="175"/>
        <v>96.545182199999985</v>
      </c>
      <c r="S157" s="238">
        <f t="shared" si="175"/>
        <v>96.545182199999985</v>
      </c>
      <c r="T157" s="238">
        <f t="shared" si="175"/>
        <v>96.545182199999985</v>
      </c>
      <c r="U157" s="238">
        <f t="shared" si="175"/>
        <v>96.545182199999985</v>
      </c>
      <c r="V157" s="238">
        <f t="shared" si="175"/>
        <v>96.545182199999985</v>
      </c>
      <c r="W157" s="238">
        <f t="shared" si="175"/>
        <v>96.545182199999985</v>
      </c>
      <c r="X157" s="238">
        <f t="shared" si="175"/>
        <v>96.545182199999985</v>
      </c>
      <c r="Y157" s="238">
        <f t="shared" si="175"/>
        <v>96.545182199999985</v>
      </c>
      <c r="Z157" s="238">
        <f t="shared" si="175"/>
        <v>96.545182199999985</v>
      </c>
      <c r="AA157" s="238">
        <f t="shared" si="175"/>
        <v>106.19245542000002</v>
      </c>
      <c r="AB157" s="238">
        <f t="shared" si="175"/>
        <v>106.19245542000002</v>
      </c>
      <c r="AC157" s="238">
        <f t="shared" si="175"/>
        <v>106.19245542000002</v>
      </c>
      <c r="AD157" s="238">
        <f t="shared" si="175"/>
        <v>106.19245542000002</v>
      </c>
      <c r="AE157" s="238">
        <f t="shared" si="175"/>
        <v>106.19245542000002</v>
      </c>
      <c r="AF157" s="238">
        <f t="shared" si="175"/>
        <v>106.19245542000002</v>
      </c>
      <c r="AG157" s="238">
        <f t="shared" si="175"/>
        <v>106.19245542000002</v>
      </c>
      <c r="AH157" s="249">
        <f t="shared" si="175"/>
        <v>0</v>
      </c>
      <c r="AI157" s="238">
        <f t="shared" si="175"/>
        <v>446.69045</v>
      </c>
      <c r="AJ157" s="238">
        <f t="shared" si="175"/>
        <v>1184.5317863999999</v>
      </c>
      <c r="AK157" s="238">
        <f t="shared" si="175"/>
        <v>1302.89802504</v>
      </c>
      <c r="AL157" s="238">
        <f t="shared" si="175"/>
        <v>1426.5907444188001</v>
      </c>
      <c r="AM157" s="238">
        <f t="shared" si="175"/>
        <v>1554.905665416492</v>
      </c>
      <c r="AN157" s="238">
        <f t="shared" si="175"/>
        <v>1686.9987479768938</v>
      </c>
      <c r="AO157" s="238">
        <f t="shared" si="175"/>
        <v>1821.8890958150453</v>
      </c>
      <c r="AP157" s="238">
        <f t="shared" si="175"/>
        <v>1949.3604745220982</v>
      </c>
      <c r="AQ157" s="238">
        <f t="shared" si="175"/>
        <v>2076.0123943660346</v>
      </c>
      <c r="AR157" s="238">
        <f t="shared" si="175"/>
        <v>2200.520974027997</v>
      </c>
      <c r="AS157" s="238">
        <f t="shared" si="175"/>
        <v>2310.5035527293967</v>
      </c>
      <c r="AT157" s="238">
        <f t="shared" si="175"/>
        <v>2425.9852603658665</v>
      </c>
    </row>
    <row r="158" spans="1:46" ht="13.5" customHeight="1" x14ac:dyDescent="0.3">
      <c r="A158" s="239"/>
      <c r="B158" s="239"/>
      <c r="C158" s="239"/>
      <c r="D158" s="240"/>
      <c r="E158" s="240"/>
      <c r="F158" s="239"/>
      <c r="G158" s="248"/>
      <c r="H158" s="248"/>
      <c r="I158" s="248"/>
      <c r="J158" s="248"/>
      <c r="K158" s="248"/>
      <c r="L158" s="248"/>
      <c r="M158" s="248"/>
      <c r="N158" s="248"/>
      <c r="O158" s="248"/>
      <c r="P158" s="248"/>
      <c r="Q158" s="248"/>
      <c r="R158" s="248"/>
      <c r="S158" s="248"/>
      <c r="T158" s="248"/>
      <c r="U158" s="248"/>
      <c r="V158" s="248"/>
      <c r="W158" s="248"/>
      <c r="X158" s="248"/>
      <c r="Y158" s="248"/>
      <c r="Z158" s="248"/>
      <c r="AA158" s="248"/>
      <c r="AB158" s="248"/>
      <c r="AC158" s="248"/>
      <c r="AD158" s="248"/>
      <c r="AE158" s="248"/>
      <c r="AF158" s="248"/>
      <c r="AG158" s="248"/>
      <c r="AH158" s="249"/>
      <c r="AI158" s="248"/>
      <c r="AJ158" s="248"/>
      <c r="AK158" s="248"/>
      <c r="AL158" s="248"/>
      <c r="AM158" s="248"/>
      <c r="AN158" s="248"/>
      <c r="AO158" s="248"/>
      <c r="AP158" s="248"/>
      <c r="AQ158" s="248"/>
      <c r="AR158" s="248"/>
      <c r="AS158" s="248"/>
      <c r="AT158" s="248"/>
    </row>
    <row r="159" spans="1:46" ht="13.5" customHeight="1" x14ac:dyDescent="0.3">
      <c r="A159" s="239"/>
      <c r="B159" s="250" t="s">
        <v>496</v>
      </c>
      <c r="C159" s="239"/>
      <c r="D159" s="240"/>
      <c r="E159" s="240"/>
      <c r="F159" s="239"/>
      <c r="G159" s="248"/>
      <c r="H159" s="248"/>
      <c r="I159" s="248"/>
      <c r="J159" s="248"/>
      <c r="K159" s="248"/>
      <c r="L159" s="248"/>
      <c r="M159" s="248"/>
      <c r="N159" s="248"/>
      <c r="O159" s="248"/>
      <c r="P159" s="248"/>
      <c r="Q159" s="248"/>
      <c r="R159" s="248"/>
      <c r="S159" s="248"/>
      <c r="T159" s="248"/>
      <c r="U159" s="248"/>
      <c r="V159" s="248"/>
      <c r="W159" s="248"/>
      <c r="X159" s="248"/>
      <c r="Y159" s="248"/>
      <c r="Z159" s="248"/>
      <c r="AA159" s="248"/>
      <c r="AB159" s="248"/>
      <c r="AC159" s="248"/>
      <c r="AD159" s="248"/>
      <c r="AE159" s="248"/>
      <c r="AF159" s="248"/>
      <c r="AG159" s="248"/>
      <c r="AH159" s="249"/>
      <c r="AI159" s="248"/>
      <c r="AJ159" s="248"/>
      <c r="AK159" s="248"/>
      <c r="AL159" s="248"/>
      <c r="AM159" s="248"/>
      <c r="AN159" s="248"/>
      <c r="AO159" s="248"/>
      <c r="AP159" s="248"/>
      <c r="AQ159" s="248"/>
      <c r="AR159" s="248"/>
      <c r="AS159" s="248"/>
      <c r="AT159" s="248"/>
    </row>
    <row r="160" spans="1:46" ht="13.5" customHeight="1" x14ac:dyDescent="0.3">
      <c r="A160" s="239"/>
      <c r="B160" s="239"/>
      <c r="C160" s="239"/>
      <c r="D160" s="240"/>
      <c r="E160" s="240"/>
      <c r="F160" s="239"/>
      <c r="G160" s="248"/>
      <c r="H160" s="248"/>
      <c r="I160" s="248"/>
      <c r="J160" s="248"/>
      <c r="K160" s="248"/>
      <c r="L160" s="248"/>
      <c r="M160" s="248"/>
      <c r="N160" s="248"/>
      <c r="O160" s="248"/>
      <c r="P160" s="248"/>
      <c r="Q160" s="248"/>
      <c r="R160" s="248"/>
      <c r="S160" s="248"/>
      <c r="T160" s="248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48"/>
      <c r="AG160" s="248"/>
      <c r="AH160" s="249"/>
      <c r="AI160" s="248"/>
      <c r="AJ160" s="248"/>
      <c r="AK160" s="248"/>
      <c r="AL160" s="248"/>
      <c r="AM160" s="248"/>
      <c r="AN160" s="248"/>
      <c r="AO160" s="248"/>
      <c r="AP160" s="248"/>
      <c r="AQ160" s="248"/>
      <c r="AR160" s="248"/>
      <c r="AS160" s="248"/>
      <c r="AT160" s="248"/>
    </row>
    <row r="161" spans="1:46" ht="13.5" customHeight="1" x14ac:dyDescent="0.3">
      <c r="A161" s="239"/>
      <c r="B161" s="230" t="s">
        <v>492</v>
      </c>
      <c r="C161" s="239"/>
      <c r="D161" s="240"/>
      <c r="E161" s="240"/>
      <c r="F161" s="239"/>
      <c r="G161" s="248"/>
      <c r="H161" s="248"/>
      <c r="I161" s="248"/>
      <c r="J161" s="248"/>
      <c r="K161" s="248"/>
      <c r="L161" s="248"/>
      <c r="M161" s="248"/>
      <c r="N161" s="248"/>
      <c r="O161" s="248"/>
      <c r="P161" s="248"/>
      <c r="Q161" s="248"/>
      <c r="R161" s="248"/>
      <c r="S161" s="248"/>
      <c r="T161" s="248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48"/>
      <c r="AG161" s="248"/>
      <c r="AH161" s="249"/>
      <c r="AI161" s="248"/>
      <c r="AJ161" s="248"/>
      <c r="AK161" s="248"/>
      <c r="AL161" s="248"/>
      <c r="AM161" s="248"/>
      <c r="AN161" s="248"/>
      <c r="AO161" s="248"/>
      <c r="AP161" s="248"/>
      <c r="AQ161" s="248"/>
      <c r="AR161" s="248"/>
      <c r="AS161" s="248"/>
      <c r="AT161" s="248"/>
    </row>
    <row r="162" spans="1:46" ht="13.5" customHeight="1" x14ac:dyDescent="0.3">
      <c r="A162" s="239"/>
      <c r="B162" s="219">
        <v>1</v>
      </c>
      <c r="C162" s="219" t="str">
        <f>C150</f>
        <v>Директор фермы</v>
      </c>
      <c r="D162" s="89" t="s">
        <v>4</v>
      </c>
      <c r="E162" s="240"/>
      <c r="F162" s="239"/>
      <c r="G162" s="248"/>
      <c r="H162" s="248"/>
      <c r="I162" s="248"/>
      <c r="J162" s="223">
        <f t="shared" ref="J162:AG162" si="176">J126*J46</f>
        <v>21.779999999999998</v>
      </c>
      <c r="K162" s="223">
        <f t="shared" si="176"/>
        <v>21.779999999999998</v>
      </c>
      <c r="L162" s="223">
        <f t="shared" si="176"/>
        <v>21.779999999999998</v>
      </c>
      <c r="M162" s="223">
        <f t="shared" si="176"/>
        <v>21.779999999999998</v>
      </c>
      <c r="N162" s="223">
        <f t="shared" si="176"/>
        <v>21.779999999999998</v>
      </c>
      <c r="O162" s="223">
        <f t="shared" si="176"/>
        <v>24.0669</v>
      </c>
      <c r="P162" s="223">
        <f t="shared" si="176"/>
        <v>24.0669</v>
      </c>
      <c r="Q162" s="223">
        <f t="shared" si="176"/>
        <v>24.0669</v>
      </c>
      <c r="R162" s="223">
        <f t="shared" si="176"/>
        <v>24.0669</v>
      </c>
      <c r="S162" s="223">
        <f t="shared" si="176"/>
        <v>24.0669</v>
      </c>
      <c r="T162" s="223">
        <f t="shared" si="176"/>
        <v>24.0669</v>
      </c>
      <c r="U162" s="223">
        <f t="shared" si="176"/>
        <v>24.0669</v>
      </c>
      <c r="V162" s="223">
        <f t="shared" si="176"/>
        <v>24.0669</v>
      </c>
      <c r="W162" s="223">
        <f t="shared" si="176"/>
        <v>24.0669</v>
      </c>
      <c r="X162" s="223">
        <f t="shared" si="176"/>
        <v>24.0669</v>
      </c>
      <c r="Y162" s="223">
        <f t="shared" si="176"/>
        <v>24.0669</v>
      </c>
      <c r="Z162" s="223">
        <f t="shared" si="176"/>
        <v>24.0669</v>
      </c>
      <c r="AA162" s="223">
        <f t="shared" si="176"/>
        <v>26.473590000000002</v>
      </c>
      <c r="AB162" s="223">
        <f t="shared" si="176"/>
        <v>26.473590000000002</v>
      </c>
      <c r="AC162" s="223">
        <f t="shared" si="176"/>
        <v>26.473590000000002</v>
      </c>
      <c r="AD162" s="223">
        <f t="shared" si="176"/>
        <v>26.473590000000002</v>
      </c>
      <c r="AE162" s="223">
        <f t="shared" si="176"/>
        <v>26.473590000000002</v>
      </c>
      <c r="AF162" s="223">
        <f t="shared" si="176"/>
        <v>26.473590000000002</v>
      </c>
      <c r="AG162" s="223">
        <f t="shared" si="176"/>
        <v>26.473590000000002</v>
      </c>
      <c r="AH162" s="249"/>
      <c r="AI162" s="223">
        <f t="shared" ref="AI162:AT162" si="177">AI126*AI46*AI$10</f>
        <v>108.89999999999999</v>
      </c>
      <c r="AJ162" s="223">
        <f t="shared" si="177"/>
        <v>288.80279999999999</v>
      </c>
      <c r="AK162" s="223">
        <f t="shared" si="177"/>
        <v>317.68308000000002</v>
      </c>
      <c r="AL162" s="223">
        <f t="shared" si="177"/>
        <v>347.86297260000003</v>
      </c>
      <c r="AM162" s="223">
        <f t="shared" si="177"/>
        <v>379.170640134</v>
      </c>
      <c r="AN162" s="223">
        <f t="shared" si="177"/>
        <v>411.40014454538999</v>
      </c>
      <c r="AO162" s="223">
        <f t="shared" si="177"/>
        <v>444.31215610902126</v>
      </c>
      <c r="AP162" s="223">
        <f t="shared" si="177"/>
        <v>475.41400703665272</v>
      </c>
      <c r="AQ162" s="223">
        <f t="shared" si="177"/>
        <v>506.31591749403515</v>
      </c>
      <c r="AR162" s="223">
        <f t="shared" si="177"/>
        <v>536.69487254367721</v>
      </c>
      <c r="AS162" s="223">
        <f t="shared" si="177"/>
        <v>563.52961617086123</v>
      </c>
      <c r="AT162" s="223">
        <f t="shared" si="177"/>
        <v>591.70609697940426</v>
      </c>
    </row>
    <row r="163" spans="1:46" ht="13.5" customHeight="1" x14ac:dyDescent="0.3">
      <c r="A163" s="239"/>
      <c r="B163" s="219">
        <v>2</v>
      </c>
      <c r="C163" s="219" t="str">
        <f>C151</f>
        <v>Ветеринар</v>
      </c>
      <c r="D163" s="89" t="s">
        <v>4</v>
      </c>
      <c r="E163" s="240"/>
      <c r="F163" s="239"/>
      <c r="G163" s="248"/>
      <c r="H163" s="248"/>
      <c r="I163" s="248"/>
      <c r="J163" s="223">
        <f t="shared" ref="J163:AG163" si="178">J127*J47</f>
        <v>7.26</v>
      </c>
      <c r="K163" s="223">
        <f t="shared" si="178"/>
        <v>7.26</v>
      </c>
      <c r="L163" s="223">
        <f t="shared" si="178"/>
        <v>7.26</v>
      </c>
      <c r="M163" s="223">
        <f t="shared" si="178"/>
        <v>7.26</v>
      </c>
      <c r="N163" s="223">
        <f t="shared" si="178"/>
        <v>7.26</v>
      </c>
      <c r="O163" s="223">
        <f t="shared" si="178"/>
        <v>8.0222999999999995</v>
      </c>
      <c r="P163" s="223">
        <f t="shared" si="178"/>
        <v>8.0222999999999995</v>
      </c>
      <c r="Q163" s="223">
        <f t="shared" si="178"/>
        <v>8.0222999999999995</v>
      </c>
      <c r="R163" s="223">
        <f t="shared" si="178"/>
        <v>8.0222999999999995</v>
      </c>
      <c r="S163" s="223">
        <f t="shared" si="178"/>
        <v>8.0222999999999995</v>
      </c>
      <c r="T163" s="223">
        <f t="shared" si="178"/>
        <v>8.0222999999999995</v>
      </c>
      <c r="U163" s="223">
        <f t="shared" si="178"/>
        <v>8.0222999999999995</v>
      </c>
      <c r="V163" s="223">
        <f t="shared" si="178"/>
        <v>8.0222999999999995</v>
      </c>
      <c r="W163" s="223">
        <f t="shared" si="178"/>
        <v>8.0222999999999995</v>
      </c>
      <c r="X163" s="223">
        <f t="shared" si="178"/>
        <v>8.0222999999999995</v>
      </c>
      <c r="Y163" s="223">
        <f t="shared" si="178"/>
        <v>8.0222999999999995</v>
      </c>
      <c r="Z163" s="223">
        <f t="shared" si="178"/>
        <v>8.0222999999999995</v>
      </c>
      <c r="AA163" s="223">
        <f t="shared" si="178"/>
        <v>8.8245299999999993</v>
      </c>
      <c r="AB163" s="223">
        <f t="shared" si="178"/>
        <v>8.8245299999999993</v>
      </c>
      <c r="AC163" s="223">
        <f t="shared" si="178"/>
        <v>8.8245299999999993</v>
      </c>
      <c r="AD163" s="223">
        <f t="shared" si="178"/>
        <v>8.8245299999999993</v>
      </c>
      <c r="AE163" s="223">
        <f t="shared" si="178"/>
        <v>8.8245299999999993</v>
      </c>
      <c r="AF163" s="223">
        <f t="shared" si="178"/>
        <v>8.8245299999999993</v>
      </c>
      <c r="AG163" s="223">
        <f t="shared" si="178"/>
        <v>8.8245299999999993</v>
      </c>
      <c r="AH163" s="249"/>
      <c r="AI163" s="223">
        <f t="shared" ref="AI163:AT163" si="179">AI127*AI47*AI$10</f>
        <v>36.299999999999997</v>
      </c>
      <c r="AJ163" s="223">
        <f t="shared" si="179"/>
        <v>96.267599999999987</v>
      </c>
      <c r="AK163" s="223">
        <f t="shared" si="179"/>
        <v>105.89435999999999</v>
      </c>
      <c r="AL163" s="223">
        <f t="shared" si="179"/>
        <v>115.9543242</v>
      </c>
      <c r="AM163" s="223">
        <f t="shared" si="179"/>
        <v>126.390213378</v>
      </c>
      <c r="AN163" s="223">
        <f t="shared" si="179"/>
        <v>137.13338151513</v>
      </c>
      <c r="AO163" s="223">
        <f t="shared" si="179"/>
        <v>148.10405203634039</v>
      </c>
      <c r="AP163" s="223">
        <f t="shared" si="179"/>
        <v>158.47133567888423</v>
      </c>
      <c r="AQ163" s="223">
        <f t="shared" si="179"/>
        <v>168.77197249801168</v>
      </c>
      <c r="AR163" s="223">
        <f t="shared" si="179"/>
        <v>178.89829084789241</v>
      </c>
      <c r="AS163" s="223">
        <f t="shared" si="179"/>
        <v>187.84320539028704</v>
      </c>
      <c r="AT163" s="223">
        <f t="shared" si="179"/>
        <v>197.23536565980137</v>
      </c>
    </row>
    <row r="164" spans="1:46" ht="13.5" customHeight="1" x14ac:dyDescent="0.3">
      <c r="A164" s="239"/>
      <c r="B164" s="219">
        <v>3</v>
      </c>
      <c r="C164" s="219" t="str">
        <f>C152</f>
        <v>Повар</v>
      </c>
      <c r="D164" s="89" t="s">
        <v>4</v>
      </c>
      <c r="E164" s="240"/>
      <c r="F164" s="239"/>
      <c r="G164" s="248"/>
      <c r="H164" s="248"/>
      <c r="I164" s="248"/>
      <c r="J164" s="223">
        <f t="shared" ref="J164:AG164" si="180">J128*J48</f>
        <v>5.4449999999999994</v>
      </c>
      <c r="K164" s="223">
        <f t="shared" si="180"/>
        <v>5.4449999999999994</v>
      </c>
      <c r="L164" s="223">
        <f t="shared" si="180"/>
        <v>5.4449999999999994</v>
      </c>
      <c r="M164" s="223">
        <f t="shared" si="180"/>
        <v>5.4449999999999994</v>
      </c>
      <c r="N164" s="223">
        <f t="shared" si="180"/>
        <v>5.4449999999999994</v>
      </c>
      <c r="O164" s="223">
        <f t="shared" si="180"/>
        <v>6.0167250000000001</v>
      </c>
      <c r="P164" s="223">
        <f t="shared" si="180"/>
        <v>6.0167250000000001</v>
      </c>
      <c r="Q164" s="223">
        <f t="shared" si="180"/>
        <v>6.0167250000000001</v>
      </c>
      <c r="R164" s="223">
        <f t="shared" si="180"/>
        <v>6.0167250000000001</v>
      </c>
      <c r="S164" s="223">
        <f t="shared" si="180"/>
        <v>6.0167250000000001</v>
      </c>
      <c r="T164" s="223">
        <f t="shared" si="180"/>
        <v>6.0167250000000001</v>
      </c>
      <c r="U164" s="223">
        <f t="shared" si="180"/>
        <v>6.0167250000000001</v>
      </c>
      <c r="V164" s="223">
        <f t="shared" si="180"/>
        <v>6.0167250000000001</v>
      </c>
      <c r="W164" s="223">
        <f t="shared" si="180"/>
        <v>6.0167250000000001</v>
      </c>
      <c r="X164" s="223">
        <f t="shared" si="180"/>
        <v>6.0167250000000001</v>
      </c>
      <c r="Y164" s="223">
        <f t="shared" si="180"/>
        <v>6.0167250000000001</v>
      </c>
      <c r="Z164" s="223">
        <f t="shared" si="180"/>
        <v>6.0167250000000001</v>
      </c>
      <c r="AA164" s="223">
        <f t="shared" si="180"/>
        <v>6.6183975000000004</v>
      </c>
      <c r="AB164" s="223">
        <f t="shared" si="180"/>
        <v>6.6183975000000004</v>
      </c>
      <c r="AC164" s="223">
        <f t="shared" si="180"/>
        <v>6.6183975000000004</v>
      </c>
      <c r="AD164" s="223">
        <f t="shared" si="180"/>
        <v>6.6183975000000004</v>
      </c>
      <c r="AE164" s="223">
        <f t="shared" si="180"/>
        <v>6.6183975000000004</v>
      </c>
      <c r="AF164" s="223">
        <f t="shared" si="180"/>
        <v>6.6183975000000004</v>
      </c>
      <c r="AG164" s="223">
        <f t="shared" si="180"/>
        <v>6.6183975000000004</v>
      </c>
      <c r="AH164" s="249"/>
      <c r="AI164" s="223">
        <f t="shared" ref="AI164:AT164" si="181">AI128*AI48*AI$10</f>
        <v>27.224999999999998</v>
      </c>
      <c r="AJ164" s="223">
        <f t="shared" si="181"/>
        <v>72.200699999999998</v>
      </c>
      <c r="AK164" s="223">
        <f t="shared" si="181"/>
        <v>79.420770000000005</v>
      </c>
      <c r="AL164" s="223">
        <f t="shared" si="181"/>
        <v>86.965743150000009</v>
      </c>
      <c r="AM164" s="223">
        <f t="shared" si="181"/>
        <v>94.792660033499999</v>
      </c>
      <c r="AN164" s="223">
        <f t="shared" si="181"/>
        <v>102.8500361363475</v>
      </c>
      <c r="AO164" s="223">
        <f t="shared" si="181"/>
        <v>111.07803902725531</v>
      </c>
      <c r="AP164" s="223">
        <f t="shared" si="181"/>
        <v>118.85350175916318</v>
      </c>
      <c r="AQ164" s="223">
        <f t="shared" si="181"/>
        <v>126.57897937350879</v>
      </c>
      <c r="AR164" s="223">
        <f t="shared" si="181"/>
        <v>134.1737181359193</v>
      </c>
      <c r="AS164" s="223">
        <f t="shared" si="181"/>
        <v>140.88240404271531</v>
      </c>
      <c r="AT164" s="223">
        <f t="shared" si="181"/>
        <v>147.92652424485107</v>
      </c>
    </row>
    <row r="165" spans="1:46" ht="13.5" customHeight="1" x14ac:dyDescent="0.3">
      <c r="A165" s="239"/>
      <c r="B165" s="219">
        <v>4</v>
      </c>
      <c r="C165" s="219" t="str">
        <f>C153</f>
        <v>Тракторист</v>
      </c>
      <c r="D165" s="89" t="s">
        <v>4</v>
      </c>
      <c r="E165" s="240"/>
      <c r="F165" s="239"/>
      <c r="G165" s="248"/>
      <c r="H165" s="248"/>
      <c r="I165" s="248"/>
      <c r="J165" s="223">
        <f t="shared" ref="J165:AG165" si="182">J129*J49</f>
        <v>14.52</v>
      </c>
      <c r="K165" s="223">
        <f t="shared" si="182"/>
        <v>14.52</v>
      </c>
      <c r="L165" s="223">
        <f t="shared" si="182"/>
        <v>14.52</v>
      </c>
      <c r="M165" s="223">
        <f t="shared" si="182"/>
        <v>14.52</v>
      </c>
      <c r="N165" s="223">
        <f t="shared" si="182"/>
        <v>14.52</v>
      </c>
      <c r="O165" s="223">
        <f t="shared" si="182"/>
        <v>16.044599999999999</v>
      </c>
      <c r="P165" s="223">
        <f t="shared" si="182"/>
        <v>16.044599999999999</v>
      </c>
      <c r="Q165" s="223">
        <f t="shared" si="182"/>
        <v>16.044599999999999</v>
      </c>
      <c r="R165" s="223">
        <f t="shared" si="182"/>
        <v>16.044599999999999</v>
      </c>
      <c r="S165" s="223">
        <f t="shared" si="182"/>
        <v>16.044599999999999</v>
      </c>
      <c r="T165" s="223">
        <f t="shared" si="182"/>
        <v>16.044599999999999</v>
      </c>
      <c r="U165" s="223">
        <f t="shared" si="182"/>
        <v>16.044599999999999</v>
      </c>
      <c r="V165" s="223">
        <f t="shared" si="182"/>
        <v>16.044599999999999</v>
      </c>
      <c r="W165" s="223">
        <f t="shared" si="182"/>
        <v>16.044599999999999</v>
      </c>
      <c r="X165" s="223">
        <f t="shared" si="182"/>
        <v>16.044599999999999</v>
      </c>
      <c r="Y165" s="223">
        <f t="shared" si="182"/>
        <v>16.044599999999999</v>
      </c>
      <c r="Z165" s="223">
        <f t="shared" si="182"/>
        <v>16.044599999999999</v>
      </c>
      <c r="AA165" s="223">
        <f t="shared" si="182"/>
        <v>17.649059999999999</v>
      </c>
      <c r="AB165" s="223">
        <f t="shared" si="182"/>
        <v>17.649059999999999</v>
      </c>
      <c r="AC165" s="223">
        <f t="shared" si="182"/>
        <v>17.649059999999999</v>
      </c>
      <c r="AD165" s="223">
        <f t="shared" si="182"/>
        <v>17.649059999999999</v>
      </c>
      <c r="AE165" s="223">
        <f t="shared" si="182"/>
        <v>17.649059999999999</v>
      </c>
      <c r="AF165" s="223">
        <f t="shared" si="182"/>
        <v>17.649059999999999</v>
      </c>
      <c r="AG165" s="223">
        <f t="shared" si="182"/>
        <v>17.649059999999999</v>
      </c>
      <c r="AH165" s="249"/>
      <c r="AI165" s="223">
        <f t="shared" ref="AI165:AT165" si="183">AI129*AI49*AI$10</f>
        <v>72.599999999999994</v>
      </c>
      <c r="AJ165" s="223">
        <f t="shared" si="183"/>
        <v>192.53519999999997</v>
      </c>
      <c r="AK165" s="223">
        <f t="shared" si="183"/>
        <v>211.78871999999998</v>
      </c>
      <c r="AL165" s="223">
        <f t="shared" si="183"/>
        <v>231.9086484</v>
      </c>
      <c r="AM165" s="223">
        <f t="shared" si="183"/>
        <v>252.780426756</v>
      </c>
      <c r="AN165" s="223">
        <f t="shared" si="183"/>
        <v>274.26676303025999</v>
      </c>
      <c r="AO165" s="223">
        <f t="shared" si="183"/>
        <v>296.20810407268078</v>
      </c>
      <c r="AP165" s="223">
        <f t="shared" si="183"/>
        <v>316.94267135776846</v>
      </c>
      <c r="AQ165" s="223">
        <f t="shared" si="183"/>
        <v>337.54394499602336</v>
      </c>
      <c r="AR165" s="223">
        <f t="shared" si="183"/>
        <v>357.79658169578482</v>
      </c>
      <c r="AS165" s="223">
        <f t="shared" si="183"/>
        <v>375.68641078057408</v>
      </c>
      <c r="AT165" s="223">
        <f t="shared" si="183"/>
        <v>394.47073131960275</v>
      </c>
    </row>
    <row r="166" spans="1:46" ht="13.5" customHeight="1" x14ac:dyDescent="0.3">
      <c r="A166" s="239"/>
      <c r="B166" s="219">
        <v>5</v>
      </c>
      <c r="C166" s="219" t="str">
        <f>C154</f>
        <v xml:space="preserve">Бухглатер </v>
      </c>
      <c r="D166" s="89" t="s">
        <v>4</v>
      </c>
      <c r="E166" s="240"/>
      <c r="F166" s="239"/>
      <c r="G166" s="248"/>
      <c r="H166" s="248"/>
      <c r="I166" s="248"/>
      <c r="J166" s="223">
        <f t="shared" ref="J166:AG166" si="184">J130*J50</f>
        <v>3.2669999999999995</v>
      </c>
      <c r="K166" s="223">
        <f t="shared" si="184"/>
        <v>3.2669999999999995</v>
      </c>
      <c r="L166" s="223">
        <f t="shared" si="184"/>
        <v>3.2669999999999995</v>
      </c>
      <c r="M166" s="223">
        <f t="shared" si="184"/>
        <v>3.2669999999999995</v>
      </c>
      <c r="N166" s="223">
        <f t="shared" si="184"/>
        <v>3.2669999999999995</v>
      </c>
      <c r="O166" s="223">
        <f t="shared" si="184"/>
        <v>3.6100349999999999</v>
      </c>
      <c r="P166" s="223">
        <f t="shared" si="184"/>
        <v>3.6100349999999999</v>
      </c>
      <c r="Q166" s="223">
        <f t="shared" si="184"/>
        <v>3.6100349999999999</v>
      </c>
      <c r="R166" s="223">
        <f t="shared" si="184"/>
        <v>3.6100349999999999</v>
      </c>
      <c r="S166" s="223">
        <f t="shared" si="184"/>
        <v>3.6100349999999999</v>
      </c>
      <c r="T166" s="223">
        <f t="shared" si="184"/>
        <v>3.6100349999999999</v>
      </c>
      <c r="U166" s="223">
        <f t="shared" si="184"/>
        <v>3.6100349999999999</v>
      </c>
      <c r="V166" s="223">
        <f t="shared" si="184"/>
        <v>3.6100349999999999</v>
      </c>
      <c r="W166" s="223">
        <f t="shared" si="184"/>
        <v>3.6100349999999999</v>
      </c>
      <c r="X166" s="223">
        <f t="shared" si="184"/>
        <v>3.6100349999999999</v>
      </c>
      <c r="Y166" s="223">
        <f t="shared" si="184"/>
        <v>3.6100349999999999</v>
      </c>
      <c r="Z166" s="223">
        <f t="shared" si="184"/>
        <v>3.6100349999999999</v>
      </c>
      <c r="AA166" s="223">
        <f t="shared" si="184"/>
        <v>3.9710385000000001</v>
      </c>
      <c r="AB166" s="223">
        <f t="shared" si="184"/>
        <v>3.9710385000000001</v>
      </c>
      <c r="AC166" s="223">
        <f t="shared" si="184"/>
        <v>3.9710385000000001</v>
      </c>
      <c r="AD166" s="223">
        <f t="shared" si="184"/>
        <v>3.9710385000000001</v>
      </c>
      <c r="AE166" s="223">
        <f t="shared" si="184"/>
        <v>3.9710385000000001</v>
      </c>
      <c r="AF166" s="223">
        <f t="shared" si="184"/>
        <v>3.9710385000000001</v>
      </c>
      <c r="AG166" s="223">
        <f t="shared" si="184"/>
        <v>3.9710385000000001</v>
      </c>
      <c r="AH166" s="249"/>
      <c r="AI166" s="223">
        <f t="shared" ref="AI166:AT166" si="185">AI130*AI50*AI$10</f>
        <v>16.334999999999997</v>
      </c>
      <c r="AJ166" s="223">
        <f t="shared" si="185"/>
        <v>43.320419999999999</v>
      </c>
      <c r="AK166" s="223">
        <f t="shared" si="185"/>
        <v>47.652462</v>
      </c>
      <c r="AL166" s="223">
        <f t="shared" si="185"/>
        <v>52.179445889999997</v>
      </c>
      <c r="AM166" s="223">
        <f t="shared" si="185"/>
        <v>56.875596020100005</v>
      </c>
      <c r="AN166" s="223">
        <f t="shared" si="185"/>
        <v>61.710021681808499</v>
      </c>
      <c r="AO166" s="223">
        <f t="shared" si="185"/>
        <v>66.646823416353186</v>
      </c>
      <c r="AP166" s="223">
        <f t="shared" si="185"/>
        <v>71.312101055497905</v>
      </c>
      <c r="AQ166" s="223">
        <f t="shared" si="185"/>
        <v>75.947387624105261</v>
      </c>
      <c r="AR166" s="223">
        <f t="shared" si="185"/>
        <v>80.504230881551592</v>
      </c>
      <c r="AS166" s="223">
        <f t="shared" si="185"/>
        <v>84.529442425629171</v>
      </c>
      <c r="AT166" s="223">
        <f t="shared" si="185"/>
        <v>88.755914546910631</v>
      </c>
    </row>
    <row r="167" spans="1:46" ht="13.5" customHeight="1" x14ac:dyDescent="0.3">
      <c r="A167" s="239"/>
      <c r="B167" s="239"/>
      <c r="C167" s="228" t="s">
        <v>32</v>
      </c>
      <c r="D167" s="237" t="s">
        <v>4</v>
      </c>
      <c r="E167" s="240"/>
      <c r="F167" s="239"/>
      <c r="G167" s="248"/>
      <c r="H167" s="248"/>
      <c r="I167" s="248"/>
      <c r="J167" s="238">
        <f t="shared" ref="J167:AG167" si="186">SUM(J162:J166)</f>
        <v>52.271999999999991</v>
      </c>
      <c r="K167" s="238">
        <f t="shared" si="186"/>
        <v>52.271999999999991</v>
      </c>
      <c r="L167" s="238">
        <f t="shared" si="186"/>
        <v>52.271999999999991</v>
      </c>
      <c r="M167" s="238">
        <f t="shared" si="186"/>
        <v>52.271999999999991</v>
      </c>
      <c r="N167" s="238">
        <f t="shared" si="186"/>
        <v>52.271999999999991</v>
      </c>
      <c r="O167" s="238">
        <f t="shared" si="186"/>
        <v>57.760559999999998</v>
      </c>
      <c r="P167" s="238">
        <f t="shared" si="186"/>
        <v>57.760559999999998</v>
      </c>
      <c r="Q167" s="238">
        <f t="shared" si="186"/>
        <v>57.760559999999998</v>
      </c>
      <c r="R167" s="238">
        <f t="shared" si="186"/>
        <v>57.760559999999998</v>
      </c>
      <c r="S167" s="238">
        <f t="shared" si="186"/>
        <v>57.760559999999998</v>
      </c>
      <c r="T167" s="238">
        <f t="shared" si="186"/>
        <v>57.760559999999998</v>
      </c>
      <c r="U167" s="238">
        <f t="shared" si="186"/>
        <v>57.760559999999998</v>
      </c>
      <c r="V167" s="238">
        <f t="shared" si="186"/>
        <v>57.760559999999998</v>
      </c>
      <c r="W167" s="238">
        <f t="shared" si="186"/>
        <v>57.760559999999998</v>
      </c>
      <c r="X167" s="238">
        <f t="shared" si="186"/>
        <v>57.760559999999998</v>
      </c>
      <c r="Y167" s="238">
        <f t="shared" si="186"/>
        <v>57.760559999999998</v>
      </c>
      <c r="Z167" s="238">
        <f t="shared" si="186"/>
        <v>57.760559999999998</v>
      </c>
      <c r="AA167" s="238">
        <f t="shared" si="186"/>
        <v>63.536615999999995</v>
      </c>
      <c r="AB167" s="238">
        <f t="shared" si="186"/>
        <v>63.536615999999995</v>
      </c>
      <c r="AC167" s="238">
        <f t="shared" si="186"/>
        <v>63.536615999999995</v>
      </c>
      <c r="AD167" s="238">
        <f t="shared" si="186"/>
        <v>63.536615999999995</v>
      </c>
      <c r="AE167" s="238">
        <f t="shared" si="186"/>
        <v>63.536615999999995</v>
      </c>
      <c r="AF167" s="238">
        <f t="shared" si="186"/>
        <v>63.536615999999995</v>
      </c>
      <c r="AG167" s="238">
        <f t="shared" si="186"/>
        <v>63.536615999999995</v>
      </c>
      <c r="AH167" s="249"/>
      <c r="AI167" s="238">
        <f t="shared" ref="AI167:AT167" si="187">SUM(AI162:AI166)</f>
        <v>261.35999999999996</v>
      </c>
      <c r="AJ167" s="238">
        <f t="shared" si="187"/>
        <v>693.12671999999998</v>
      </c>
      <c r="AK167" s="238">
        <f t="shared" si="187"/>
        <v>762.439392</v>
      </c>
      <c r="AL167" s="238">
        <f t="shared" si="187"/>
        <v>834.87113424000006</v>
      </c>
      <c r="AM167" s="238">
        <f t="shared" si="187"/>
        <v>910.00953632159997</v>
      </c>
      <c r="AN167" s="238">
        <f t="shared" si="187"/>
        <v>987.36034690893598</v>
      </c>
      <c r="AO167" s="238">
        <f t="shared" si="187"/>
        <v>1066.349174661651</v>
      </c>
      <c r="AP167" s="238">
        <f t="shared" si="187"/>
        <v>1140.9936168879663</v>
      </c>
      <c r="AQ167" s="238">
        <f t="shared" si="187"/>
        <v>1215.1582019856842</v>
      </c>
      <c r="AR167" s="238">
        <f t="shared" si="187"/>
        <v>1288.0676941048255</v>
      </c>
      <c r="AS167" s="238">
        <f t="shared" si="187"/>
        <v>1352.4710788100667</v>
      </c>
      <c r="AT167" s="238">
        <f t="shared" si="187"/>
        <v>1420.0946327505701</v>
      </c>
    </row>
    <row r="168" spans="1:46" ht="13.5" customHeight="1" x14ac:dyDescent="0.3">
      <c r="A168" s="239"/>
      <c r="B168" s="243"/>
      <c r="C168" s="239"/>
      <c r="D168" s="240"/>
      <c r="E168" s="240"/>
      <c r="F168" s="239"/>
      <c r="G168" s="248"/>
      <c r="H168" s="248"/>
      <c r="I168" s="248"/>
      <c r="J168" s="248"/>
      <c r="K168" s="248"/>
      <c r="L168" s="248"/>
      <c r="M168" s="248"/>
      <c r="N168" s="248"/>
      <c r="O168" s="248"/>
      <c r="P168" s="248"/>
      <c r="Q168" s="248"/>
      <c r="R168" s="248"/>
      <c r="S168" s="248"/>
      <c r="T168" s="248"/>
      <c r="U168" s="248"/>
      <c r="V168" s="248"/>
      <c r="W168" s="248"/>
      <c r="X168" s="248"/>
      <c r="Y168" s="248"/>
      <c r="Z168" s="248"/>
      <c r="AA168" s="248"/>
      <c r="AB168" s="248"/>
      <c r="AC168" s="248"/>
      <c r="AD168" s="248"/>
      <c r="AE168" s="248"/>
      <c r="AF168" s="248"/>
      <c r="AG168" s="248"/>
      <c r="AH168" s="249"/>
      <c r="AI168" s="248"/>
      <c r="AJ168" s="248"/>
      <c r="AK168" s="248"/>
      <c r="AL168" s="248"/>
      <c r="AM168" s="248"/>
      <c r="AN168" s="248"/>
      <c r="AO168" s="248"/>
      <c r="AP168" s="248"/>
      <c r="AQ168" s="248"/>
      <c r="AR168" s="248"/>
      <c r="AS168" s="248"/>
      <c r="AT168" s="248"/>
    </row>
    <row r="169" spans="1:46" ht="13.5" customHeight="1" x14ac:dyDescent="0.3">
      <c r="A169" s="239"/>
      <c r="B169" s="239"/>
      <c r="C169" s="228" t="s">
        <v>32</v>
      </c>
      <c r="D169" s="237" t="s">
        <v>4</v>
      </c>
      <c r="E169" s="240"/>
      <c r="F169" s="239"/>
      <c r="G169" s="248"/>
      <c r="H169" s="248"/>
      <c r="I169" s="248"/>
      <c r="J169" s="238">
        <f t="shared" ref="J169:AT169" si="188">J167</f>
        <v>52.271999999999991</v>
      </c>
      <c r="K169" s="238">
        <f t="shared" si="188"/>
        <v>52.271999999999991</v>
      </c>
      <c r="L169" s="238">
        <f t="shared" si="188"/>
        <v>52.271999999999991</v>
      </c>
      <c r="M169" s="238">
        <f t="shared" si="188"/>
        <v>52.271999999999991</v>
      </c>
      <c r="N169" s="238">
        <f t="shared" si="188"/>
        <v>52.271999999999991</v>
      </c>
      <c r="O169" s="238">
        <f t="shared" si="188"/>
        <v>57.760559999999998</v>
      </c>
      <c r="P169" s="238">
        <f t="shared" si="188"/>
        <v>57.760559999999998</v>
      </c>
      <c r="Q169" s="238">
        <f t="shared" si="188"/>
        <v>57.760559999999998</v>
      </c>
      <c r="R169" s="238">
        <f t="shared" si="188"/>
        <v>57.760559999999998</v>
      </c>
      <c r="S169" s="238">
        <f t="shared" si="188"/>
        <v>57.760559999999998</v>
      </c>
      <c r="T169" s="238">
        <f t="shared" si="188"/>
        <v>57.760559999999998</v>
      </c>
      <c r="U169" s="238">
        <f t="shared" si="188"/>
        <v>57.760559999999998</v>
      </c>
      <c r="V169" s="238">
        <f t="shared" si="188"/>
        <v>57.760559999999998</v>
      </c>
      <c r="W169" s="238">
        <f t="shared" si="188"/>
        <v>57.760559999999998</v>
      </c>
      <c r="X169" s="238">
        <f t="shared" si="188"/>
        <v>57.760559999999998</v>
      </c>
      <c r="Y169" s="238">
        <f t="shared" si="188"/>
        <v>57.760559999999998</v>
      </c>
      <c r="Z169" s="238">
        <f t="shared" si="188"/>
        <v>57.760559999999998</v>
      </c>
      <c r="AA169" s="238">
        <f t="shared" si="188"/>
        <v>63.536615999999995</v>
      </c>
      <c r="AB169" s="238">
        <f t="shared" si="188"/>
        <v>63.536615999999995</v>
      </c>
      <c r="AC169" s="238">
        <f t="shared" si="188"/>
        <v>63.536615999999995</v>
      </c>
      <c r="AD169" s="238">
        <f t="shared" si="188"/>
        <v>63.536615999999995</v>
      </c>
      <c r="AE169" s="238">
        <f t="shared" si="188"/>
        <v>63.536615999999995</v>
      </c>
      <c r="AF169" s="238">
        <f t="shared" si="188"/>
        <v>63.536615999999995</v>
      </c>
      <c r="AG169" s="238">
        <f t="shared" si="188"/>
        <v>63.536615999999995</v>
      </c>
      <c r="AH169" s="249">
        <f t="shared" si="188"/>
        <v>0</v>
      </c>
      <c r="AI169" s="238">
        <f t="shared" si="188"/>
        <v>261.35999999999996</v>
      </c>
      <c r="AJ169" s="238">
        <f t="shared" si="188"/>
        <v>693.12671999999998</v>
      </c>
      <c r="AK169" s="238">
        <f t="shared" si="188"/>
        <v>762.439392</v>
      </c>
      <c r="AL169" s="238">
        <f t="shared" si="188"/>
        <v>834.87113424000006</v>
      </c>
      <c r="AM169" s="238">
        <f t="shared" si="188"/>
        <v>910.00953632159997</v>
      </c>
      <c r="AN169" s="238">
        <f t="shared" si="188"/>
        <v>987.36034690893598</v>
      </c>
      <c r="AO169" s="238">
        <f t="shared" si="188"/>
        <v>1066.349174661651</v>
      </c>
      <c r="AP169" s="238">
        <f t="shared" si="188"/>
        <v>1140.9936168879663</v>
      </c>
      <c r="AQ169" s="238">
        <f t="shared" si="188"/>
        <v>1215.1582019856842</v>
      </c>
      <c r="AR169" s="238">
        <f t="shared" si="188"/>
        <v>1288.0676941048255</v>
      </c>
      <c r="AS169" s="238">
        <f t="shared" si="188"/>
        <v>1352.4710788100667</v>
      </c>
      <c r="AT169" s="238">
        <f t="shared" si="188"/>
        <v>1420.0946327505701</v>
      </c>
    </row>
    <row r="170" spans="1:46" ht="13.5" customHeight="1" x14ac:dyDescent="0.3">
      <c r="A170" s="239"/>
      <c r="B170" s="239"/>
      <c r="C170" s="239"/>
      <c r="D170" s="240"/>
      <c r="E170" s="240"/>
      <c r="F170" s="239"/>
      <c r="G170" s="248"/>
      <c r="H170" s="248"/>
      <c r="I170" s="248"/>
      <c r="J170" s="248"/>
      <c r="K170" s="248"/>
      <c r="L170" s="248"/>
      <c r="M170" s="248"/>
      <c r="N170" s="248"/>
      <c r="O170" s="248"/>
      <c r="P170" s="248"/>
      <c r="Q170" s="248"/>
      <c r="R170" s="248"/>
      <c r="S170" s="248"/>
      <c r="T170" s="248"/>
      <c r="U170" s="248"/>
      <c r="V170" s="248"/>
      <c r="W170" s="248"/>
      <c r="X170" s="248"/>
      <c r="Y170" s="248"/>
      <c r="Z170" s="248"/>
      <c r="AA170" s="248"/>
      <c r="AB170" s="248"/>
      <c r="AC170" s="248"/>
      <c r="AD170" s="248"/>
      <c r="AE170" s="248"/>
      <c r="AF170" s="248"/>
      <c r="AG170" s="248"/>
      <c r="AH170" s="248"/>
      <c r="AI170" s="248"/>
      <c r="AJ170" s="248"/>
      <c r="AK170" s="248"/>
      <c r="AL170" s="248"/>
      <c r="AM170" s="248"/>
      <c r="AN170" s="248"/>
      <c r="AO170" s="248"/>
      <c r="AP170" s="248"/>
      <c r="AQ170" s="248"/>
      <c r="AR170" s="248"/>
      <c r="AS170" s="248"/>
      <c r="AT170" s="248"/>
    </row>
    <row r="171" spans="1:46" ht="13.5" customHeight="1" x14ac:dyDescent="0.3">
      <c r="A171" s="239"/>
      <c r="B171" s="252" t="s">
        <v>514</v>
      </c>
      <c r="C171" s="239"/>
      <c r="D171" s="231" t="s">
        <v>4</v>
      </c>
      <c r="E171" s="240"/>
      <c r="F171" s="239"/>
      <c r="G171" s="248"/>
      <c r="H171" s="248"/>
      <c r="I171" s="248"/>
      <c r="J171" s="238">
        <f t="shared" ref="J171:AG171" si="189">-SUM(J167,J155,J143)</f>
        <v>-197.93663999999998</v>
      </c>
      <c r="K171" s="238">
        <f t="shared" si="189"/>
        <v>-197.93663999999998</v>
      </c>
      <c r="L171" s="238">
        <f t="shared" si="189"/>
        <v>-197.93663999999998</v>
      </c>
      <c r="M171" s="238">
        <f t="shared" si="189"/>
        <v>-197.93663999999998</v>
      </c>
      <c r="N171" s="238">
        <f t="shared" si="189"/>
        <v>-197.93663999999998</v>
      </c>
      <c r="O171" s="238">
        <f t="shared" si="189"/>
        <v>-218.71998719999999</v>
      </c>
      <c r="P171" s="238">
        <f t="shared" si="189"/>
        <v>-218.71998719999999</v>
      </c>
      <c r="Q171" s="238">
        <f t="shared" si="189"/>
        <v>-218.71998719999999</v>
      </c>
      <c r="R171" s="238">
        <f t="shared" si="189"/>
        <v>-218.71998719999999</v>
      </c>
      <c r="S171" s="238">
        <f t="shared" si="189"/>
        <v>-218.71998719999999</v>
      </c>
      <c r="T171" s="238">
        <f t="shared" si="189"/>
        <v>-218.71998719999999</v>
      </c>
      <c r="U171" s="238">
        <f t="shared" si="189"/>
        <v>-218.71998719999999</v>
      </c>
      <c r="V171" s="238">
        <f t="shared" si="189"/>
        <v>-218.71998719999999</v>
      </c>
      <c r="W171" s="238">
        <f t="shared" si="189"/>
        <v>-218.71998719999999</v>
      </c>
      <c r="X171" s="238">
        <f t="shared" si="189"/>
        <v>-218.71998719999999</v>
      </c>
      <c r="Y171" s="238">
        <f t="shared" si="189"/>
        <v>-218.71998719999999</v>
      </c>
      <c r="Z171" s="238">
        <f t="shared" si="189"/>
        <v>-218.71998719999999</v>
      </c>
      <c r="AA171" s="238">
        <f t="shared" si="189"/>
        <v>-240.59198592000004</v>
      </c>
      <c r="AB171" s="238">
        <f t="shared" si="189"/>
        <v>-240.59198592000004</v>
      </c>
      <c r="AC171" s="238">
        <f t="shared" si="189"/>
        <v>-240.59198592000004</v>
      </c>
      <c r="AD171" s="238">
        <f t="shared" si="189"/>
        <v>-240.59198592000004</v>
      </c>
      <c r="AE171" s="238">
        <f t="shared" si="189"/>
        <v>-240.59198592000004</v>
      </c>
      <c r="AF171" s="238">
        <f t="shared" si="189"/>
        <v>-240.59198592000004</v>
      </c>
      <c r="AG171" s="238">
        <f t="shared" si="189"/>
        <v>-240.59198592000004</v>
      </c>
      <c r="AH171" s="248"/>
      <c r="AI171" s="238">
        <f t="shared" ref="AI171:AT171" si="190">-SUM(AI167,AI155,AI143)</f>
        <v>-989.68319999999994</v>
      </c>
      <c r="AJ171" s="238">
        <f t="shared" si="190"/>
        <v>-2624.6398463999999</v>
      </c>
      <c r="AK171" s="238">
        <f t="shared" si="190"/>
        <v>-2887.1038310400004</v>
      </c>
      <c r="AL171" s="238">
        <f t="shared" si="190"/>
        <v>-3161.3786949888004</v>
      </c>
      <c r="AM171" s="238">
        <f t="shared" si="190"/>
        <v>-3445.9027775377922</v>
      </c>
      <c r="AN171" s="238">
        <f t="shared" si="190"/>
        <v>-3738.8045136285045</v>
      </c>
      <c r="AO171" s="238">
        <f t="shared" si="190"/>
        <v>-4037.9088747187848</v>
      </c>
      <c r="AP171" s="238">
        <f t="shared" si="190"/>
        <v>-4320.5624959490997</v>
      </c>
      <c r="AQ171" s="238">
        <f t="shared" si="190"/>
        <v>-4601.3990581857906</v>
      </c>
      <c r="AR171" s="238">
        <f t="shared" si="190"/>
        <v>-4877.4830016769392</v>
      </c>
      <c r="AS171" s="238">
        <f t="shared" si="190"/>
        <v>-5121.3571517607852</v>
      </c>
      <c r="AT171" s="238">
        <f t="shared" si="190"/>
        <v>-5377.4250093488245</v>
      </c>
    </row>
    <row r="172" spans="1:46" ht="13.5" customHeight="1" x14ac:dyDescent="0.3">
      <c r="A172" s="239"/>
      <c r="B172" s="252"/>
      <c r="C172" s="219" t="s">
        <v>492</v>
      </c>
      <c r="D172" s="89" t="s">
        <v>4</v>
      </c>
      <c r="E172" s="240"/>
      <c r="F172" s="239"/>
      <c r="G172" s="248"/>
      <c r="H172" s="248"/>
      <c r="I172" s="248"/>
      <c r="J172" s="223">
        <f t="shared" ref="J172:AG172" si="191">-SUM(J143,J155,J167)</f>
        <v>-197.93664000000001</v>
      </c>
      <c r="K172" s="223">
        <f t="shared" si="191"/>
        <v>-197.93664000000001</v>
      </c>
      <c r="L172" s="223">
        <f t="shared" si="191"/>
        <v>-197.93664000000001</v>
      </c>
      <c r="M172" s="223">
        <f t="shared" si="191"/>
        <v>-197.93664000000001</v>
      </c>
      <c r="N172" s="223">
        <f t="shared" si="191"/>
        <v>-197.93664000000001</v>
      </c>
      <c r="O172" s="223">
        <f t="shared" si="191"/>
        <v>-218.71998719999999</v>
      </c>
      <c r="P172" s="223">
        <f t="shared" si="191"/>
        <v>-218.71998719999999</v>
      </c>
      <c r="Q172" s="223">
        <f t="shared" si="191"/>
        <v>-218.71998719999999</v>
      </c>
      <c r="R172" s="223">
        <f t="shared" si="191"/>
        <v>-218.71998719999999</v>
      </c>
      <c r="S172" s="223">
        <f t="shared" si="191"/>
        <v>-218.71998719999999</v>
      </c>
      <c r="T172" s="223">
        <f t="shared" si="191"/>
        <v>-218.71998719999999</v>
      </c>
      <c r="U172" s="223">
        <f t="shared" si="191"/>
        <v>-218.71998719999999</v>
      </c>
      <c r="V172" s="223">
        <f t="shared" si="191"/>
        <v>-218.71998719999999</v>
      </c>
      <c r="W172" s="223">
        <f t="shared" si="191"/>
        <v>-218.71998719999999</v>
      </c>
      <c r="X172" s="223">
        <f t="shared" si="191"/>
        <v>-218.71998719999999</v>
      </c>
      <c r="Y172" s="223">
        <f t="shared" si="191"/>
        <v>-218.71998719999999</v>
      </c>
      <c r="Z172" s="223">
        <f t="shared" si="191"/>
        <v>-218.71998719999999</v>
      </c>
      <c r="AA172" s="223">
        <f t="shared" si="191"/>
        <v>-240.59198592000001</v>
      </c>
      <c r="AB172" s="223">
        <f t="shared" si="191"/>
        <v>-240.59198592000001</v>
      </c>
      <c r="AC172" s="223">
        <f t="shared" si="191"/>
        <v>-240.59198592000001</v>
      </c>
      <c r="AD172" s="223">
        <f t="shared" si="191"/>
        <v>-240.59198592000001</v>
      </c>
      <c r="AE172" s="223">
        <f t="shared" si="191"/>
        <v>-240.59198592000001</v>
      </c>
      <c r="AF172" s="223">
        <f t="shared" si="191"/>
        <v>-240.59198592000001</v>
      </c>
      <c r="AG172" s="223">
        <f t="shared" si="191"/>
        <v>-240.59198592000001</v>
      </c>
      <c r="AH172" s="248"/>
      <c r="AI172" s="223">
        <f t="shared" ref="AI172:AT172" si="192">-SUM(AI143,AI155,AI167)</f>
        <v>-989.68319999999994</v>
      </c>
      <c r="AJ172" s="223">
        <f t="shared" si="192"/>
        <v>-2624.6398463999999</v>
      </c>
      <c r="AK172" s="223">
        <f t="shared" si="192"/>
        <v>-2887.1038310399999</v>
      </c>
      <c r="AL172" s="223">
        <f t="shared" si="192"/>
        <v>-3161.3786949888004</v>
      </c>
      <c r="AM172" s="223">
        <f t="shared" si="192"/>
        <v>-3445.9027775377922</v>
      </c>
      <c r="AN172" s="223">
        <f t="shared" si="192"/>
        <v>-3738.8045136285045</v>
      </c>
      <c r="AO172" s="223">
        <f t="shared" si="192"/>
        <v>-4037.9088747187852</v>
      </c>
      <c r="AP172" s="223">
        <f t="shared" si="192"/>
        <v>-4320.5624959490997</v>
      </c>
      <c r="AQ172" s="223">
        <f t="shared" si="192"/>
        <v>-4601.3990581857906</v>
      </c>
      <c r="AR172" s="223">
        <f t="shared" si="192"/>
        <v>-4877.4830016769392</v>
      </c>
      <c r="AS172" s="223">
        <f t="shared" si="192"/>
        <v>-5121.3571517607861</v>
      </c>
      <c r="AT172" s="223">
        <f t="shared" si="192"/>
        <v>-5377.4250093488254</v>
      </c>
    </row>
    <row r="173" spans="1:46" ht="13.5" customHeight="1" x14ac:dyDescent="0.3">
      <c r="A173" s="239"/>
      <c r="B173" s="239"/>
      <c r="C173" s="239"/>
      <c r="D173" s="240"/>
      <c r="E173" s="240"/>
      <c r="F173" s="239"/>
      <c r="G173" s="248"/>
      <c r="H173" s="248"/>
      <c r="I173" s="248"/>
      <c r="J173" s="248"/>
      <c r="K173" s="248"/>
      <c r="L173" s="248"/>
      <c r="M173" s="248"/>
      <c r="N173" s="248"/>
      <c r="O173" s="248"/>
      <c r="P173" s="248"/>
      <c r="Q173" s="248"/>
      <c r="R173" s="248"/>
      <c r="S173" s="248"/>
      <c r="T173" s="248"/>
      <c r="U173" s="248"/>
      <c r="V173" s="248"/>
      <c r="W173" s="248"/>
      <c r="X173" s="248"/>
      <c r="Y173" s="248"/>
      <c r="Z173" s="248"/>
      <c r="AA173" s="248"/>
      <c r="AB173" s="248"/>
      <c r="AC173" s="248"/>
      <c r="AD173" s="248"/>
      <c r="AE173" s="248"/>
      <c r="AF173" s="248"/>
      <c r="AG173" s="248"/>
      <c r="AH173" s="248"/>
      <c r="AI173" s="248"/>
      <c r="AJ173" s="248"/>
      <c r="AK173" s="248"/>
      <c r="AL173" s="248"/>
      <c r="AM173" s="248"/>
      <c r="AN173" s="248"/>
      <c r="AO173" s="248"/>
      <c r="AP173" s="248"/>
      <c r="AQ173" s="248"/>
      <c r="AR173" s="248"/>
      <c r="AS173" s="248"/>
      <c r="AT173" s="248"/>
    </row>
    <row r="174" spans="1:46" ht="13.5" customHeight="1" x14ac:dyDescent="0.3">
      <c r="A174" s="253" t="s">
        <v>515</v>
      </c>
      <c r="B174" s="254" t="s">
        <v>516</v>
      </c>
      <c r="C174" s="254"/>
      <c r="D174" s="255"/>
      <c r="E174" s="255"/>
      <c r="F174" s="255"/>
      <c r="G174" s="255"/>
      <c r="H174" s="255"/>
      <c r="I174" s="255"/>
      <c r="J174" s="255"/>
      <c r="K174" s="255"/>
      <c r="L174" s="255"/>
      <c r="M174" s="255"/>
      <c r="N174" s="255"/>
      <c r="O174" s="255"/>
      <c r="P174" s="255"/>
      <c r="Q174" s="255"/>
      <c r="R174" s="255"/>
      <c r="S174" s="255"/>
      <c r="T174" s="255"/>
      <c r="U174" s="255"/>
      <c r="V174" s="255"/>
      <c r="W174" s="255"/>
      <c r="X174" s="255"/>
      <c r="Y174" s="255"/>
      <c r="Z174" s="255"/>
      <c r="AA174" s="255"/>
      <c r="AB174" s="255"/>
      <c r="AC174" s="255"/>
      <c r="AD174" s="255"/>
      <c r="AE174" s="255"/>
      <c r="AF174" s="255"/>
      <c r="AG174" s="255"/>
      <c r="AH174" s="255"/>
      <c r="AI174" s="255"/>
      <c r="AJ174" s="255"/>
      <c r="AK174" s="255"/>
      <c r="AL174" s="255"/>
      <c r="AM174" s="255"/>
      <c r="AN174" s="255"/>
      <c r="AO174" s="255"/>
      <c r="AP174" s="255"/>
      <c r="AQ174" s="255"/>
      <c r="AR174" s="255"/>
      <c r="AS174" s="255"/>
      <c r="AT174" s="255"/>
    </row>
    <row r="175" spans="1:46" ht="13.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</row>
    <row r="176" spans="1:46" ht="13.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</row>
    <row r="177" spans="1:46" ht="13.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</row>
    <row r="178" spans="1:46" ht="13.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</row>
    <row r="179" spans="1:46" ht="13.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</row>
    <row r="180" spans="1:46" ht="13.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</row>
    <row r="181" spans="1:46" ht="13.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</row>
    <row r="182" spans="1:46" ht="13.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</row>
    <row r="183" spans="1:46" ht="13.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</row>
    <row r="184" spans="1:46" ht="13.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</row>
    <row r="185" spans="1:46" ht="13.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</row>
    <row r="186" spans="1:46" ht="13.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</row>
    <row r="187" spans="1:46" ht="13.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</row>
    <row r="188" spans="1:46" ht="13.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</row>
    <row r="189" spans="1:46" ht="13.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</row>
    <row r="190" spans="1:46" ht="13.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</row>
    <row r="191" spans="1:46" ht="13.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</row>
    <row r="192" spans="1:46" ht="13.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</row>
    <row r="193" spans="1:46" ht="13.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</row>
    <row r="194" spans="1:46" ht="13.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</row>
    <row r="195" spans="1:46" ht="13.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</row>
    <row r="196" spans="1:46" ht="13.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</row>
    <row r="197" spans="1:46" ht="13.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</row>
    <row r="198" spans="1:46" ht="13.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</row>
    <row r="199" spans="1:46" ht="13.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</row>
    <row r="200" spans="1:46" ht="13.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</row>
    <row r="201" spans="1:46" ht="13.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</row>
    <row r="202" spans="1:46" ht="13.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</row>
    <row r="203" spans="1:46" ht="13.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</row>
    <row r="204" spans="1:46" ht="13.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</row>
    <row r="205" spans="1:46" ht="13.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</row>
    <row r="206" spans="1:46" ht="13.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</row>
    <row r="207" spans="1:46" ht="13.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</row>
    <row r="208" spans="1:46" ht="13.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</row>
    <row r="209" spans="1:46" ht="13.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</row>
    <row r="210" spans="1:46" ht="13.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</row>
    <row r="211" spans="1:46" ht="13.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</row>
    <row r="212" spans="1:46" ht="13.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</row>
    <row r="213" spans="1:46" ht="13.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</row>
    <row r="214" spans="1:46" ht="13.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</row>
    <row r="215" spans="1:46" ht="13.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</row>
    <row r="216" spans="1:46" ht="13.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</row>
    <row r="217" spans="1:46" ht="13.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</row>
    <row r="218" spans="1:46" ht="13.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</row>
    <row r="219" spans="1:46" ht="13.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</row>
    <row r="220" spans="1:46" ht="13.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</row>
    <row r="221" spans="1:46" ht="13.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</row>
    <row r="222" spans="1:46" ht="13.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</row>
    <row r="223" spans="1:46" ht="13.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</row>
    <row r="224" spans="1:46" ht="13.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</row>
    <row r="225" spans="1:46" ht="13.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</row>
    <row r="226" spans="1:46" ht="13.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</row>
    <row r="227" spans="1:46" ht="13.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</row>
    <row r="228" spans="1:46" ht="13.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</row>
    <row r="229" spans="1:46" ht="13.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</row>
    <row r="230" spans="1:46" ht="13.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</row>
    <row r="231" spans="1:46" ht="13.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</row>
    <row r="232" spans="1:46" ht="13.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</row>
    <row r="233" spans="1:46" ht="13.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</row>
    <row r="234" spans="1:46" ht="13.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</row>
    <row r="235" spans="1:46" ht="13.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</row>
    <row r="236" spans="1:46" ht="13.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</row>
    <row r="237" spans="1:46" ht="13.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</row>
    <row r="238" spans="1:46" ht="13.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</row>
    <row r="239" spans="1:46" ht="13.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</row>
    <row r="240" spans="1:46" ht="13.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</row>
    <row r="241" spans="1:46" ht="13.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</row>
    <row r="242" spans="1:46" ht="13.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</row>
    <row r="243" spans="1:46" ht="13.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</row>
    <row r="244" spans="1:46" ht="13.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</row>
    <row r="245" spans="1:46" ht="13.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</row>
    <row r="246" spans="1:46" ht="13.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</row>
    <row r="247" spans="1:46" ht="13.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</row>
    <row r="248" spans="1:46" ht="13.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</row>
    <row r="249" spans="1:46" ht="13.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</row>
    <row r="250" spans="1:46" ht="13.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</row>
    <row r="251" spans="1:46" ht="13.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</row>
    <row r="252" spans="1:46" ht="13.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</row>
    <row r="253" spans="1:46" ht="13.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</row>
    <row r="254" spans="1:46" ht="13.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</row>
    <row r="255" spans="1:46" ht="13.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</row>
    <row r="256" spans="1:46" ht="13.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</row>
    <row r="257" spans="1:46" ht="13.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</row>
    <row r="258" spans="1:46" ht="13.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</row>
    <row r="259" spans="1:46" ht="13.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</row>
    <row r="260" spans="1:46" ht="13.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</row>
    <row r="261" spans="1:46" ht="13.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</row>
    <row r="262" spans="1:46" ht="13.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</row>
    <row r="263" spans="1:46" ht="13.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</row>
    <row r="264" spans="1:46" ht="13.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</row>
    <row r="265" spans="1:46" ht="13.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</row>
    <row r="266" spans="1:46" ht="13.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</row>
    <row r="267" spans="1:46" ht="13.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</row>
    <row r="268" spans="1:46" ht="13.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</row>
    <row r="269" spans="1:46" ht="13.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</row>
    <row r="270" spans="1:46" ht="13.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</row>
    <row r="271" spans="1:46" ht="13.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</row>
    <row r="272" spans="1:46" ht="13.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</row>
    <row r="273" spans="1:46" ht="13.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</row>
    <row r="274" spans="1:46" ht="13.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</row>
    <row r="275" spans="1:46" ht="13.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</row>
    <row r="276" spans="1:46" ht="13.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</row>
    <row r="277" spans="1:46" ht="13.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</row>
    <row r="278" spans="1:46" ht="13.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</row>
    <row r="279" spans="1:46" ht="13.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</row>
    <row r="280" spans="1:46" ht="13.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</row>
    <row r="281" spans="1:46" ht="13.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</row>
    <row r="282" spans="1:46" ht="13.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</row>
    <row r="283" spans="1:46" ht="13.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</row>
    <row r="284" spans="1:46" ht="13.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</row>
    <row r="285" spans="1:46" ht="13.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</row>
    <row r="286" spans="1:46" ht="13.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</row>
    <row r="287" spans="1:46" ht="13.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</row>
    <row r="288" spans="1:46" ht="13.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</row>
    <row r="289" spans="1:46" ht="13.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</row>
    <row r="290" spans="1:46" ht="13.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</row>
    <row r="291" spans="1:46" ht="13.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</row>
    <row r="292" spans="1:46" ht="13.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</row>
    <row r="293" spans="1:46" ht="13.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</row>
    <row r="294" spans="1:46" ht="13.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</row>
    <row r="295" spans="1:46" ht="13.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</row>
    <row r="296" spans="1:46" ht="13.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</row>
    <row r="297" spans="1:46" ht="13.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</row>
    <row r="298" spans="1:46" ht="13.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</row>
    <row r="299" spans="1:46" ht="13.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</row>
    <row r="300" spans="1:46" ht="13.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</row>
    <row r="301" spans="1:46" ht="13.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</row>
    <row r="302" spans="1:46" ht="13.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</row>
    <row r="303" spans="1:46" ht="13.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</row>
    <row r="304" spans="1:46" ht="13.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</row>
    <row r="305" spans="1:46" ht="13.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</row>
    <row r="306" spans="1:46" ht="13.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</row>
    <row r="307" spans="1:46" ht="13.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</row>
    <row r="308" spans="1:46" ht="13.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</row>
    <row r="309" spans="1:46" ht="13.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</row>
    <row r="310" spans="1:46" ht="13.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</row>
    <row r="311" spans="1:46" ht="13.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</row>
    <row r="312" spans="1:46" ht="13.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</row>
    <row r="313" spans="1:46" ht="13.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</row>
    <row r="314" spans="1:46" ht="13.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</row>
    <row r="315" spans="1:46" ht="13.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</row>
    <row r="316" spans="1:46" ht="13.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</row>
    <row r="317" spans="1:46" ht="13.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</row>
    <row r="318" spans="1:46" ht="13.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</row>
    <row r="319" spans="1:46" ht="13.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</row>
    <row r="320" spans="1:46" ht="13.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</row>
    <row r="321" spans="1:46" ht="13.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</row>
    <row r="322" spans="1:46" ht="13.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</row>
    <row r="323" spans="1:46" ht="13.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</row>
    <row r="324" spans="1:46" ht="13.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</row>
    <row r="325" spans="1:46" ht="13.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</row>
    <row r="326" spans="1:46" ht="13.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</row>
    <row r="327" spans="1:46" ht="13.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</row>
    <row r="328" spans="1:46" ht="13.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</row>
    <row r="329" spans="1:46" ht="13.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</row>
    <row r="330" spans="1:46" ht="13.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</row>
    <row r="331" spans="1:46" ht="13.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</row>
    <row r="332" spans="1:46" ht="13.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</row>
    <row r="333" spans="1:46" ht="13.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</row>
    <row r="334" spans="1:46" ht="13.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</row>
    <row r="335" spans="1:46" ht="13.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</row>
    <row r="336" spans="1:46" ht="13.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</row>
    <row r="337" spans="1:46" ht="13.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</row>
    <row r="338" spans="1:46" ht="13.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</row>
    <row r="339" spans="1:46" ht="13.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</row>
    <row r="340" spans="1:46" ht="13.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</row>
    <row r="341" spans="1:46" ht="13.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</row>
    <row r="342" spans="1:46" ht="13.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</row>
    <row r="343" spans="1:46" ht="13.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</row>
    <row r="344" spans="1:46" ht="13.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</row>
    <row r="345" spans="1:46" ht="13.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</row>
    <row r="346" spans="1:46" ht="13.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</row>
    <row r="347" spans="1:46" ht="13.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</row>
    <row r="348" spans="1:46" ht="13.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</row>
    <row r="349" spans="1:46" ht="13.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</row>
    <row r="350" spans="1:46" ht="13.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</row>
    <row r="351" spans="1:46" ht="13.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</row>
    <row r="352" spans="1:46" ht="13.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</row>
    <row r="353" spans="1:46" ht="13.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</row>
    <row r="354" spans="1:46" ht="13.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</row>
    <row r="355" spans="1:46" ht="13.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</row>
    <row r="356" spans="1:46" ht="13.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</row>
    <row r="357" spans="1:46" ht="13.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</row>
    <row r="358" spans="1:46" ht="13.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</row>
    <row r="359" spans="1:46" ht="13.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</row>
    <row r="360" spans="1:46" ht="13.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</row>
    <row r="361" spans="1:46" ht="13.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</row>
    <row r="362" spans="1:46" ht="13.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</row>
    <row r="363" spans="1:46" ht="13.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</row>
    <row r="364" spans="1:46" ht="13.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</row>
    <row r="365" spans="1:46" ht="13.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</row>
    <row r="366" spans="1:46" ht="13.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</row>
    <row r="367" spans="1:46" ht="13.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</row>
    <row r="368" spans="1:46" ht="13.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</row>
    <row r="369" spans="1:46" ht="13.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</row>
    <row r="370" spans="1:46" ht="13.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</row>
    <row r="371" spans="1:46" ht="13.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</row>
    <row r="372" spans="1:46" ht="13.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</row>
    <row r="373" spans="1:46" ht="13.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</row>
    <row r="374" spans="1:46" ht="13.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</row>
  </sheetData>
  <hyperlinks>
    <hyperlink ref="E6" r:id="rId1" xr:uid="{00000000-0004-0000-0600-000000000000}"/>
  </hyperlinks>
  <pageMargins left="0.7" right="0.7" top="0.75" bottom="0.75" header="0" footer="0"/>
  <pageSetup orientation="landscape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E21E-9E7A-45FE-98BC-8D8DD960B2A1}">
  <dimension ref="A2:H87"/>
  <sheetViews>
    <sheetView zoomScale="90" zoomScaleNormal="90" workbookViewId="0">
      <selection activeCell="D5" sqref="D5"/>
    </sheetView>
  </sheetViews>
  <sheetFormatPr defaultRowHeight="14.4" x14ac:dyDescent="0.3"/>
  <cols>
    <col min="1" max="1" width="8.88671875" style="371"/>
    <col min="2" max="2" width="58.5546875" style="371" customWidth="1"/>
    <col min="3" max="3" width="6.44140625" style="371" customWidth="1"/>
    <col min="4" max="5" width="13" style="371" customWidth="1"/>
    <col min="6" max="6" width="13.21875" style="371" customWidth="1"/>
    <col min="7" max="7" width="11.6640625" style="371" customWidth="1"/>
    <col min="8" max="8" width="14" style="371" customWidth="1"/>
    <col min="9" max="9" width="8.88671875" style="371"/>
    <col min="10" max="10" width="15" style="371" bestFit="1" customWidth="1"/>
    <col min="11" max="16384" width="8.88671875" style="371"/>
  </cols>
  <sheetData>
    <row r="2" spans="1:8" x14ac:dyDescent="0.3">
      <c r="B2" s="370" t="s">
        <v>741</v>
      </c>
      <c r="C2" s="370"/>
      <c r="D2" s="370"/>
      <c r="E2" s="370"/>
    </row>
    <row r="4" spans="1:8" x14ac:dyDescent="0.3">
      <c r="A4" s="527" t="s">
        <v>785</v>
      </c>
      <c r="B4" s="379" t="s">
        <v>701</v>
      </c>
      <c r="C4" s="502" t="s">
        <v>778</v>
      </c>
      <c r="D4" s="502" t="s">
        <v>779</v>
      </c>
      <c r="E4" s="502" t="s">
        <v>780</v>
      </c>
      <c r="F4" s="379"/>
      <c r="G4" s="379"/>
      <c r="H4" s="379"/>
    </row>
    <row r="5" spans="1:8" x14ac:dyDescent="0.3">
      <c r="A5" s="528" t="s">
        <v>880</v>
      </c>
      <c r="B5" s="380" t="s">
        <v>550</v>
      </c>
      <c r="C5" s="504">
        <v>1</v>
      </c>
      <c r="D5" s="503">
        <v>1.6667000000000001</v>
      </c>
      <c r="E5" s="506">
        <f>ROUND(D5*$F$87,0)</f>
        <v>500</v>
      </c>
      <c r="F5" s="515">
        <v>19500</v>
      </c>
      <c r="G5" s="381"/>
      <c r="H5" s="373">
        <f>C5*E5*F5</f>
        <v>9750000</v>
      </c>
    </row>
    <row r="6" spans="1:8" x14ac:dyDescent="0.3">
      <c r="A6" s="528" t="s">
        <v>1158</v>
      </c>
      <c r="B6" s="380" t="s">
        <v>740</v>
      </c>
      <c r="C6" s="504">
        <v>1</v>
      </c>
      <c r="D6" s="505"/>
      <c r="E6" s="506"/>
      <c r="F6" s="381"/>
      <c r="G6" s="381"/>
      <c r="H6" s="373">
        <f>C6*30000000</f>
        <v>30000000</v>
      </c>
    </row>
    <row r="7" spans="1:8" x14ac:dyDescent="0.3">
      <c r="A7" s="528" t="s">
        <v>1158</v>
      </c>
      <c r="B7" s="380" t="s">
        <v>758</v>
      </c>
      <c r="C7" s="504">
        <v>1</v>
      </c>
      <c r="D7" s="505"/>
      <c r="E7" s="506"/>
      <c r="F7" s="381"/>
      <c r="G7" s="381"/>
      <c r="H7" s="373">
        <f>C7*1000000</f>
        <v>1000000</v>
      </c>
    </row>
    <row r="8" spans="1:8" x14ac:dyDescent="0.3">
      <c r="A8" s="528" t="s">
        <v>1158</v>
      </c>
      <c r="B8" s="380" t="s">
        <v>551</v>
      </c>
      <c r="C8" s="504">
        <v>1</v>
      </c>
      <c r="D8" s="505"/>
      <c r="E8" s="506"/>
      <c r="F8" s="381"/>
      <c r="G8" s="381"/>
      <c r="H8" s="373">
        <f>C8*15000000</f>
        <v>15000000</v>
      </c>
    </row>
    <row r="9" spans="1:8" x14ac:dyDescent="0.3">
      <c r="A9" s="528" t="s">
        <v>874</v>
      </c>
      <c r="B9" s="382" t="s">
        <v>552</v>
      </c>
      <c r="C9" s="508">
        <v>1</v>
      </c>
      <c r="D9" s="509"/>
      <c r="E9" s="510"/>
      <c r="F9" s="381"/>
      <c r="G9" s="381"/>
      <c r="H9" s="373">
        <f>C9*1500000</f>
        <v>1500000</v>
      </c>
    </row>
    <row r="10" spans="1:8" x14ac:dyDescent="0.3">
      <c r="A10" s="528" t="s">
        <v>904</v>
      </c>
      <c r="B10" s="382" t="s">
        <v>553</v>
      </c>
      <c r="C10" s="508">
        <v>1</v>
      </c>
      <c r="D10" s="507">
        <v>0.16669999999999999</v>
      </c>
      <c r="E10" s="510">
        <f>ROUND(D10*$F$87,0)</f>
        <v>50</v>
      </c>
      <c r="F10" s="515">
        <v>40000</v>
      </c>
      <c r="G10" s="381"/>
      <c r="H10" s="373">
        <f>C10*E10*F10</f>
        <v>2000000</v>
      </c>
    </row>
    <row r="11" spans="1:8" x14ac:dyDescent="0.3">
      <c r="A11" s="528" t="s">
        <v>1158</v>
      </c>
      <c r="B11" s="382" t="s">
        <v>554</v>
      </c>
      <c r="C11" s="508">
        <v>1</v>
      </c>
      <c r="D11" s="509"/>
      <c r="E11" s="510"/>
      <c r="F11" s="381"/>
      <c r="G11" s="381"/>
      <c r="H11" s="373">
        <f>C11*11185000</f>
        <v>11185000</v>
      </c>
    </row>
    <row r="12" spans="1:8" x14ac:dyDescent="0.3">
      <c r="A12" s="528" t="s">
        <v>1158</v>
      </c>
      <c r="B12" s="382" t="s">
        <v>555</v>
      </c>
      <c r="C12" s="508">
        <v>1</v>
      </c>
      <c r="D12" s="509"/>
      <c r="E12" s="510"/>
      <c r="F12" s="381"/>
      <c r="G12" s="381"/>
      <c r="H12" s="373">
        <f>C12*4000000</f>
        <v>4000000</v>
      </c>
    </row>
    <row r="13" spans="1:8" x14ac:dyDescent="0.3">
      <c r="A13" s="528" t="s">
        <v>880</v>
      </c>
      <c r="B13" s="382" t="s">
        <v>756</v>
      </c>
      <c r="C13" s="508">
        <v>1</v>
      </c>
      <c r="D13" s="507">
        <v>6.6666999999999996</v>
      </c>
      <c r="E13" s="510">
        <f>ROUND(D13*$F$87,0)</f>
        <v>2000</v>
      </c>
      <c r="F13" s="515">
        <v>9000</v>
      </c>
      <c r="G13" s="381"/>
      <c r="H13" s="373">
        <f>C13*E13*F13</f>
        <v>18000000</v>
      </c>
    </row>
    <row r="14" spans="1:8" x14ac:dyDescent="0.3">
      <c r="A14" s="528" t="s">
        <v>1158</v>
      </c>
      <c r="B14" s="382" t="s">
        <v>556</v>
      </c>
      <c r="C14" s="508">
        <v>1</v>
      </c>
      <c r="D14" s="509"/>
      <c r="E14" s="510"/>
      <c r="F14" s="381"/>
      <c r="G14" s="381"/>
      <c r="H14" s="373">
        <f>C14*500000</f>
        <v>500000</v>
      </c>
    </row>
    <row r="15" spans="1:8" x14ac:dyDescent="0.3">
      <c r="A15" s="528" t="s">
        <v>864</v>
      </c>
      <c r="B15" s="382" t="s">
        <v>557</v>
      </c>
      <c r="C15" s="508">
        <v>1</v>
      </c>
      <c r="D15" s="507">
        <v>0.66669999999999996</v>
      </c>
      <c r="E15" s="510">
        <f>ROUND(D15*$F$87,0)</f>
        <v>200</v>
      </c>
      <c r="F15" s="515">
        <v>80000</v>
      </c>
      <c r="G15" s="381"/>
      <c r="H15" s="373">
        <f>C15*E15*F15</f>
        <v>16000000</v>
      </c>
    </row>
    <row r="16" spans="1:8" x14ac:dyDescent="0.3">
      <c r="A16" s="528" t="s">
        <v>874</v>
      </c>
      <c r="B16" s="382" t="s">
        <v>558</v>
      </c>
      <c r="C16" s="508">
        <v>1</v>
      </c>
      <c r="D16" s="507">
        <v>980000</v>
      </c>
      <c r="E16" s="507">
        <v>1</v>
      </c>
      <c r="F16" s="515"/>
      <c r="G16" s="381"/>
      <c r="H16" s="373">
        <f>C16*E16*D16</f>
        <v>980000</v>
      </c>
    </row>
    <row r="17" spans="1:8" x14ac:dyDescent="0.3">
      <c r="A17" s="528" t="s">
        <v>845</v>
      </c>
      <c r="B17" s="382" t="s">
        <v>559</v>
      </c>
      <c r="C17" s="508">
        <v>1</v>
      </c>
      <c r="D17" s="509">
        <v>4000</v>
      </c>
      <c r="E17" s="510">
        <f>$F$87</f>
        <v>300</v>
      </c>
      <c r="F17" s="381"/>
      <c r="G17" s="381"/>
      <c r="H17" s="373">
        <f>C17*E17*D17</f>
        <v>1200000</v>
      </c>
    </row>
    <row r="18" spans="1:8" x14ac:dyDescent="0.3">
      <c r="A18" s="528" t="s">
        <v>880</v>
      </c>
      <c r="B18" s="382" t="s">
        <v>560</v>
      </c>
      <c r="C18" s="508">
        <v>1</v>
      </c>
      <c r="D18" s="509">
        <v>5000</v>
      </c>
      <c r="E18" s="510">
        <f>$F$87</f>
        <v>300</v>
      </c>
      <c r="F18" s="381"/>
      <c r="G18" s="381"/>
      <c r="H18" s="373">
        <f>C18*E18*D18</f>
        <v>1500000</v>
      </c>
    </row>
    <row r="19" spans="1:8" x14ac:dyDescent="0.3">
      <c r="A19" s="528" t="s">
        <v>798</v>
      </c>
      <c r="B19" s="372" t="s">
        <v>757</v>
      </c>
      <c r="C19" s="512">
        <f>IF(Input!F64="Зимний",1,0)</f>
        <v>1</v>
      </c>
      <c r="D19" s="511">
        <f>_xlfn.XLOOKUP(A19,Справочник!$A$7:$A$26,Справочник!$G$7:$G$26,D19)</f>
        <v>8</v>
      </c>
      <c r="E19" s="513">
        <f>D19*$F$87</f>
        <v>2400</v>
      </c>
      <c r="F19" s="515">
        <v>12500</v>
      </c>
      <c r="G19" s="381"/>
      <c r="H19" s="373">
        <f>C19*E19*F19</f>
        <v>30000000</v>
      </c>
    </row>
    <row r="20" spans="1:8" x14ac:dyDescent="0.3">
      <c r="A20" s="528" t="s">
        <v>870</v>
      </c>
      <c r="B20" s="372" t="s">
        <v>702</v>
      </c>
      <c r="C20" s="512">
        <v>1</v>
      </c>
      <c r="D20" s="511">
        <f>_xlfn.XLOOKUP(A20,Справочник!$A$7:$A$26,Справочник!$G$7:$G$26,D20)</f>
        <v>8</v>
      </c>
      <c r="E20" s="513">
        <f>D20*ROUNDUP($F$87*0.05,0)</f>
        <v>120</v>
      </c>
      <c r="F20" s="515">
        <v>83333</v>
      </c>
      <c r="G20" s="381"/>
      <c r="H20" s="373">
        <f>C20*E20*F20</f>
        <v>9999960</v>
      </c>
    </row>
    <row r="21" spans="1:8" x14ac:dyDescent="0.3">
      <c r="A21" s="528" t="s">
        <v>852</v>
      </c>
      <c r="B21" s="372" t="s">
        <v>517</v>
      </c>
      <c r="C21" s="512">
        <v>1</v>
      </c>
      <c r="D21" s="511">
        <f>_xlfn.XLOOKUP(A21,Справочник!$A$7:$A$26,Справочник!$G$7:$G$26,D21)</f>
        <v>20</v>
      </c>
      <c r="E21" s="513">
        <f>D21*ROUNDUP($F$87*0.05,0)</f>
        <v>300</v>
      </c>
      <c r="F21" s="515">
        <v>3450</v>
      </c>
      <c r="G21" s="381"/>
      <c r="H21" s="373">
        <f>C21*E21*F21</f>
        <v>1035000</v>
      </c>
    </row>
    <row r="22" spans="1:8" x14ac:dyDescent="0.3">
      <c r="A22" s="528" t="s">
        <v>920</v>
      </c>
      <c r="B22" s="374" t="s">
        <v>703</v>
      </c>
      <c r="C22" s="508">
        <v>1</v>
      </c>
      <c r="D22" s="507">
        <f>_xlfn.XLOOKUP(A22,Справочник!$A$30:$A$37,Справочник!$D$30:$D$37,D22)</f>
        <v>20</v>
      </c>
      <c r="E22" s="510">
        <f>D22*ROUNDUP($F$87*0.1,0)</f>
        <v>600</v>
      </c>
      <c r="F22" s="515">
        <v>4140</v>
      </c>
      <c r="G22" s="381"/>
      <c r="H22" s="373">
        <f>C22*E22*F22</f>
        <v>2484000</v>
      </c>
    </row>
    <row r="23" spans="1:8" x14ac:dyDescent="0.3">
      <c r="A23" s="528" t="s">
        <v>935</v>
      </c>
      <c r="B23" s="375" t="s">
        <v>518</v>
      </c>
      <c r="C23" s="508">
        <v>1</v>
      </c>
      <c r="D23" s="507">
        <f>_xlfn.XLOOKUP(A23,Справочник!$A$30:$A$37,Справочник!$D$30:$D$37,D23)</f>
        <v>25</v>
      </c>
      <c r="E23" s="510">
        <f>D23*ROUNDUP($F$87/15,0)</f>
        <v>500</v>
      </c>
      <c r="F23" s="515">
        <v>4968</v>
      </c>
      <c r="G23" s="381"/>
      <c r="H23" s="373">
        <f>C23*E23*F23</f>
        <v>2484000</v>
      </c>
    </row>
    <row r="24" spans="1:8" x14ac:dyDescent="0.3">
      <c r="A24" s="528" t="s">
        <v>1158</v>
      </c>
      <c r="B24" s="374" t="s">
        <v>519</v>
      </c>
      <c r="C24" s="508">
        <v>1</v>
      </c>
      <c r="D24" s="509">
        <v>8280</v>
      </c>
      <c r="E24" s="510">
        <f>$F$87</f>
        <v>300</v>
      </c>
      <c r="F24" s="381"/>
      <c r="G24" s="381"/>
      <c r="H24" s="373">
        <f>C24*E24*D24</f>
        <v>2484000</v>
      </c>
    </row>
    <row r="25" spans="1:8" x14ac:dyDescent="0.3">
      <c r="A25" s="528" t="s">
        <v>1158</v>
      </c>
      <c r="B25" s="372" t="s">
        <v>520</v>
      </c>
      <c r="C25" s="512">
        <v>1</v>
      </c>
      <c r="D25" s="511">
        <v>0.5</v>
      </c>
      <c r="E25" s="513">
        <f>D25*$F$87</f>
        <v>150</v>
      </c>
      <c r="F25" s="515">
        <v>6900</v>
      </c>
      <c r="G25" s="381"/>
      <c r="H25" s="373">
        <f>C25*E25*F25</f>
        <v>1035000</v>
      </c>
    </row>
    <row r="26" spans="1:8" x14ac:dyDescent="0.3">
      <c r="A26" s="528" t="s">
        <v>892</v>
      </c>
      <c r="B26" s="372" t="s">
        <v>521</v>
      </c>
      <c r="C26" s="512">
        <f>IF(Input!F64="Зимний",1,0)</f>
        <v>1</v>
      </c>
      <c r="D26" s="514">
        <v>4830</v>
      </c>
      <c r="E26" s="513">
        <f>$F$87</f>
        <v>300</v>
      </c>
      <c r="F26" s="381"/>
      <c r="G26" s="381"/>
      <c r="H26" s="373">
        <f>C26*E26*D26</f>
        <v>1449000</v>
      </c>
    </row>
    <row r="27" spans="1:8" x14ac:dyDescent="0.3">
      <c r="B27" s="380" t="s">
        <v>704</v>
      </c>
      <c r="C27" s="498"/>
      <c r="D27" s="498"/>
      <c r="E27" s="498"/>
      <c r="F27" s="383">
        <v>0.06</v>
      </c>
      <c r="G27" s="381"/>
      <c r="H27" s="373">
        <f>SUM(H5:H26)*$F27</f>
        <v>9815157.5999999996</v>
      </c>
    </row>
    <row r="28" spans="1:8" x14ac:dyDescent="0.3">
      <c r="B28" s="380" t="s">
        <v>526</v>
      </c>
      <c r="C28" s="498"/>
      <c r="D28" s="498"/>
      <c r="E28" s="498"/>
      <c r="F28" s="383">
        <v>2.5000000000000001E-2</v>
      </c>
      <c r="G28" s="381"/>
      <c r="H28" s="373">
        <f>SUM(H5:H27)*$F28</f>
        <v>4335027.9400000004</v>
      </c>
    </row>
    <row r="29" spans="1:8" ht="15.6" x14ac:dyDescent="0.3">
      <c r="B29" s="384" t="s">
        <v>561</v>
      </c>
      <c r="C29" s="384"/>
      <c r="D29" s="384"/>
      <c r="E29" s="384"/>
      <c r="F29" s="385"/>
      <c r="G29" s="385"/>
      <c r="H29" s="386">
        <f>SUM(H5:H28)</f>
        <v>177736145.53999999</v>
      </c>
    </row>
    <row r="31" spans="1:8" ht="15.6" x14ac:dyDescent="0.3">
      <c r="B31" s="387" t="s">
        <v>522</v>
      </c>
      <c r="C31" s="387"/>
      <c r="D31" s="387"/>
      <c r="E31" s="387"/>
      <c r="F31" s="388"/>
      <c r="G31" s="389"/>
      <c r="H31" s="389"/>
    </row>
    <row r="32" spans="1:8" x14ac:dyDescent="0.3">
      <c r="B32" s="390" t="s">
        <v>523</v>
      </c>
      <c r="C32" s="499"/>
      <c r="D32" s="499"/>
      <c r="E32" s="499"/>
      <c r="F32" s="373">
        <v>1</v>
      </c>
      <c r="G32" s="373">
        <v>4000000</v>
      </c>
      <c r="H32" s="373">
        <v>4000000</v>
      </c>
    </row>
    <row r="33" spans="2:8" x14ac:dyDescent="0.3">
      <c r="B33" s="390" t="s">
        <v>524</v>
      </c>
      <c r="C33" s="499"/>
      <c r="D33" s="499"/>
      <c r="E33" s="499"/>
      <c r="F33" s="373">
        <v>2</v>
      </c>
      <c r="G33" s="373">
        <v>8800000</v>
      </c>
      <c r="H33" s="373">
        <f>$F33*$G33</f>
        <v>17600000</v>
      </c>
    </row>
    <row r="34" spans="2:8" x14ac:dyDescent="0.3">
      <c r="B34" s="390" t="s">
        <v>551</v>
      </c>
      <c r="C34" s="499"/>
      <c r="D34" s="499"/>
      <c r="E34" s="499"/>
      <c r="F34" s="373">
        <v>1</v>
      </c>
      <c r="G34" s="373">
        <v>3000000</v>
      </c>
      <c r="H34" s="373">
        <f>$F34*$G34</f>
        <v>3000000</v>
      </c>
    </row>
    <row r="35" spans="2:8" x14ac:dyDescent="0.3">
      <c r="B35" s="390" t="s">
        <v>525</v>
      </c>
      <c r="C35" s="499"/>
      <c r="D35" s="499"/>
      <c r="E35" s="499"/>
      <c r="F35" s="373">
        <v>1</v>
      </c>
      <c r="G35" s="373">
        <v>18800000</v>
      </c>
      <c r="H35" s="373">
        <f>$F35*$G35</f>
        <v>18800000</v>
      </c>
    </row>
    <row r="36" spans="2:8" x14ac:dyDescent="0.3">
      <c r="B36" s="390" t="s">
        <v>700</v>
      </c>
      <c r="C36" s="499"/>
      <c r="D36" s="499"/>
      <c r="E36" s="499"/>
      <c r="F36" s="431">
        <v>0.06</v>
      </c>
      <c r="G36" s="373"/>
      <c r="H36" s="373">
        <f>SUM(H32:H35)*$F36</f>
        <v>2604000</v>
      </c>
    </row>
    <row r="37" spans="2:8" x14ac:dyDescent="0.3">
      <c r="B37" s="390" t="s">
        <v>526</v>
      </c>
      <c r="C37" s="499"/>
      <c r="D37" s="499"/>
      <c r="E37" s="499"/>
      <c r="F37" s="431">
        <v>2.5000000000000001E-2</v>
      </c>
      <c r="G37" s="373"/>
      <c r="H37" s="373">
        <f>SUM(H32:H35)*$F37</f>
        <v>1085000</v>
      </c>
    </row>
    <row r="38" spans="2:8" ht="15.6" x14ac:dyDescent="0.3">
      <c r="B38" s="384" t="s">
        <v>561</v>
      </c>
      <c r="C38" s="384"/>
      <c r="D38" s="384"/>
      <c r="E38" s="384"/>
      <c r="F38" s="385"/>
      <c r="G38" s="385"/>
      <c r="H38" s="386">
        <f>SUM(H32:H37)</f>
        <v>47089000</v>
      </c>
    </row>
    <row r="40" spans="2:8" ht="15.6" x14ac:dyDescent="0.3">
      <c r="B40" s="391" t="s">
        <v>568</v>
      </c>
      <c r="C40" s="391"/>
      <c r="D40" s="391"/>
      <c r="E40" s="391"/>
      <c r="F40" s="388"/>
      <c r="G40" s="389"/>
      <c r="H40" s="389"/>
    </row>
    <row r="41" spans="2:8" x14ac:dyDescent="0.3">
      <c r="B41" s="380" t="s">
        <v>569</v>
      </c>
      <c r="C41" s="498"/>
      <c r="D41" s="498"/>
      <c r="E41" s="498"/>
      <c r="F41" s="373">
        <v>1</v>
      </c>
      <c r="G41" s="373">
        <v>20000000</v>
      </c>
      <c r="H41" s="373">
        <f t="shared" ref="H41:H47" si="0">$F41*$G41</f>
        <v>20000000</v>
      </c>
    </row>
    <row r="42" spans="2:8" x14ac:dyDescent="0.3">
      <c r="B42" s="380" t="s">
        <v>543</v>
      </c>
      <c r="C42" s="498"/>
      <c r="D42" s="498"/>
      <c r="E42" s="498"/>
      <c r="F42" s="373">
        <v>1</v>
      </c>
      <c r="G42" s="373">
        <v>3500000</v>
      </c>
      <c r="H42" s="373">
        <f t="shared" si="0"/>
        <v>3500000</v>
      </c>
    </row>
    <row r="43" spans="2:8" x14ac:dyDescent="0.3">
      <c r="B43" s="380" t="s">
        <v>570</v>
      </c>
      <c r="C43" s="498"/>
      <c r="D43" s="498"/>
      <c r="E43" s="498"/>
      <c r="F43" s="373">
        <v>1</v>
      </c>
      <c r="G43" s="373">
        <v>10000000</v>
      </c>
      <c r="H43" s="373">
        <f t="shared" si="0"/>
        <v>10000000</v>
      </c>
    </row>
    <row r="44" spans="2:8" x14ac:dyDescent="0.3">
      <c r="B44" s="380" t="s">
        <v>545</v>
      </c>
      <c r="C44" s="498"/>
      <c r="D44" s="498"/>
      <c r="E44" s="498"/>
      <c r="F44" s="373">
        <v>1</v>
      </c>
      <c r="G44" s="373">
        <v>3000000</v>
      </c>
      <c r="H44" s="373">
        <f t="shared" si="0"/>
        <v>3000000</v>
      </c>
    </row>
    <row r="45" spans="2:8" x14ac:dyDescent="0.3">
      <c r="B45" s="380" t="s">
        <v>546</v>
      </c>
      <c r="C45" s="498"/>
      <c r="D45" s="498"/>
      <c r="E45" s="498"/>
      <c r="F45" s="373">
        <v>1</v>
      </c>
      <c r="G45" s="373">
        <v>10000000</v>
      </c>
      <c r="H45" s="373">
        <f t="shared" si="0"/>
        <v>10000000</v>
      </c>
    </row>
    <row r="46" spans="2:8" x14ac:dyDescent="0.3">
      <c r="B46" s="380" t="s">
        <v>571</v>
      </c>
      <c r="C46" s="498"/>
      <c r="D46" s="498"/>
      <c r="E46" s="498"/>
      <c r="F46" s="373">
        <v>1</v>
      </c>
      <c r="G46" s="373">
        <v>5000000</v>
      </c>
      <c r="H46" s="373">
        <f t="shared" si="0"/>
        <v>5000000</v>
      </c>
    </row>
    <row r="47" spans="2:8" x14ac:dyDescent="0.3">
      <c r="B47" s="380" t="s">
        <v>547</v>
      </c>
      <c r="C47" s="498"/>
      <c r="D47" s="498"/>
      <c r="E47" s="498"/>
      <c r="F47" s="373">
        <v>1</v>
      </c>
      <c r="G47" s="373">
        <v>1500000</v>
      </c>
      <c r="H47" s="373">
        <f t="shared" si="0"/>
        <v>1500000</v>
      </c>
    </row>
    <row r="48" spans="2:8" x14ac:dyDescent="0.3">
      <c r="B48" s="380" t="s">
        <v>548</v>
      </c>
      <c r="C48" s="498"/>
      <c r="D48" s="498"/>
      <c r="E48" s="498"/>
      <c r="F48" s="373">
        <v>1</v>
      </c>
      <c r="G48" s="373">
        <v>400000</v>
      </c>
      <c r="H48" s="373">
        <f>$F48*$G48</f>
        <v>400000</v>
      </c>
    </row>
    <row r="49" spans="2:8" ht="15.6" x14ac:dyDescent="0.3">
      <c r="B49" s="384" t="s">
        <v>561</v>
      </c>
      <c r="C49" s="500"/>
      <c r="D49" s="500"/>
      <c r="E49" s="500"/>
      <c r="F49" s="392"/>
      <c r="G49" s="392"/>
      <c r="H49" s="461">
        <f>SUM(H41:H48)</f>
        <v>53400000</v>
      </c>
    </row>
    <row r="51" spans="2:8" ht="15.6" x14ac:dyDescent="0.3">
      <c r="B51" s="387" t="s">
        <v>562</v>
      </c>
      <c r="C51" s="387"/>
      <c r="D51" s="387"/>
      <c r="E51" s="387"/>
      <c r="F51" s="388"/>
      <c r="G51" s="389"/>
      <c r="H51" s="389"/>
    </row>
    <row r="52" spans="2:8" x14ac:dyDescent="0.3">
      <c r="B52" s="393" t="s">
        <v>544</v>
      </c>
      <c r="C52" s="501"/>
      <c r="D52" s="501"/>
      <c r="E52" s="501"/>
      <c r="F52" s="394">
        <v>1</v>
      </c>
      <c r="G52" s="373">
        <v>50000</v>
      </c>
      <c r="H52" s="373">
        <f>$F52*$G52</f>
        <v>50000</v>
      </c>
    </row>
    <row r="53" spans="2:8" x14ac:dyDescent="0.3">
      <c r="B53" s="393" t="s">
        <v>527</v>
      </c>
      <c r="C53" s="501"/>
      <c r="D53" s="501"/>
      <c r="E53" s="501"/>
      <c r="F53" s="395">
        <v>1</v>
      </c>
      <c r="G53" s="373">
        <v>30000</v>
      </c>
      <c r="H53" s="373">
        <f t="shared" ref="H53:H70" si="1">$F53*$G53</f>
        <v>30000</v>
      </c>
    </row>
    <row r="54" spans="2:8" x14ac:dyDescent="0.3">
      <c r="B54" s="393" t="s">
        <v>563</v>
      </c>
      <c r="C54" s="501"/>
      <c r="D54" s="501"/>
      <c r="E54" s="501"/>
      <c r="F54" s="397">
        <v>1</v>
      </c>
      <c r="G54" s="373">
        <v>2000000</v>
      </c>
      <c r="H54" s="373">
        <f t="shared" si="1"/>
        <v>2000000</v>
      </c>
    </row>
    <row r="55" spans="2:8" x14ac:dyDescent="0.3">
      <c r="B55" s="393" t="s">
        <v>541</v>
      </c>
      <c r="C55" s="501"/>
      <c r="D55" s="501"/>
      <c r="E55" s="501"/>
      <c r="F55" s="396">
        <v>1</v>
      </c>
      <c r="G55" s="373">
        <v>150000</v>
      </c>
      <c r="H55" s="373">
        <f t="shared" si="1"/>
        <v>150000</v>
      </c>
    </row>
    <row r="56" spans="2:8" x14ac:dyDescent="0.3">
      <c r="B56" s="393" t="s">
        <v>529</v>
      </c>
      <c r="C56" s="501"/>
      <c r="D56" s="501"/>
      <c r="E56" s="501"/>
      <c r="F56" s="397">
        <v>5</v>
      </c>
      <c r="G56" s="373">
        <v>35000</v>
      </c>
      <c r="H56" s="373">
        <f t="shared" si="1"/>
        <v>175000</v>
      </c>
    </row>
    <row r="57" spans="2:8" x14ac:dyDescent="0.3">
      <c r="B57" s="393" t="s">
        <v>530</v>
      </c>
      <c r="C57" s="501"/>
      <c r="D57" s="501"/>
      <c r="E57" s="501"/>
      <c r="F57" s="396">
        <v>1</v>
      </c>
      <c r="G57" s="373">
        <v>10000</v>
      </c>
      <c r="H57" s="373">
        <f t="shared" si="1"/>
        <v>10000</v>
      </c>
    </row>
    <row r="58" spans="2:8" x14ac:dyDescent="0.3">
      <c r="B58" s="393" t="s">
        <v>531</v>
      </c>
      <c r="C58" s="501"/>
      <c r="D58" s="501"/>
      <c r="E58" s="501"/>
      <c r="F58" s="397">
        <v>2</v>
      </c>
      <c r="G58" s="373">
        <v>15000</v>
      </c>
      <c r="H58" s="373">
        <f t="shared" si="1"/>
        <v>30000</v>
      </c>
    </row>
    <row r="59" spans="2:8" x14ac:dyDescent="0.3">
      <c r="B59" s="393" t="s">
        <v>533</v>
      </c>
      <c r="C59" s="501"/>
      <c r="D59" s="501"/>
      <c r="E59" s="501"/>
      <c r="F59" s="396">
        <v>2</v>
      </c>
      <c r="G59" s="373">
        <v>60000</v>
      </c>
      <c r="H59" s="373">
        <f t="shared" si="1"/>
        <v>120000</v>
      </c>
    </row>
    <row r="60" spans="2:8" x14ac:dyDescent="0.3">
      <c r="B60" s="393" t="s">
        <v>528</v>
      </c>
      <c r="C60" s="501"/>
      <c r="D60" s="501"/>
      <c r="E60" s="501"/>
      <c r="F60" s="397">
        <v>20</v>
      </c>
      <c r="G60" s="373">
        <v>5000</v>
      </c>
      <c r="H60" s="373">
        <f t="shared" si="1"/>
        <v>100000</v>
      </c>
    </row>
    <row r="61" spans="2:8" x14ac:dyDescent="0.3">
      <c r="B61" s="393" t="s">
        <v>565</v>
      </c>
      <c r="C61" s="501"/>
      <c r="D61" s="501"/>
      <c r="E61" s="501"/>
      <c r="F61" s="397">
        <v>1</v>
      </c>
      <c r="G61" s="373">
        <v>50000</v>
      </c>
      <c r="H61" s="373">
        <f t="shared" si="1"/>
        <v>50000</v>
      </c>
    </row>
    <row r="62" spans="2:8" x14ac:dyDescent="0.3">
      <c r="B62" s="393" t="s">
        <v>534</v>
      </c>
      <c r="C62" s="501"/>
      <c r="D62" s="501"/>
      <c r="E62" s="501"/>
      <c r="F62" s="395">
        <v>5</v>
      </c>
      <c r="G62" s="373">
        <v>15000</v>
      </c>
      <c r="H62" s="373">
        <f t="shared" si="1"/>
        <v>75000</v>
      </c>
    </row>
    <row r="63" spans="2:8" x14ac:dyDescent="0.3">
      <c r="B63" s="393" t="s">
        <v>535</v>
      </c>
      <c r="C63" s="501"/>
      <c r="D63" s="501"/>
      <c r="E63" s="501"/>
      <c r="F63" s="395">
        <v>5</v>
      </c>
      <c r="G63" s="373">
        <v>30000</v>
      </c>
      <c r="H63" s="373">
        <f t="shared" si="1"/>
        <v>150000</v>
      </c>
    </row>
    <row r="64" spans="2:8" x14ac:dyDescent="0.3">
      <c r="B64" s="393" t="s">
        <v>536</v>
      </c>
      <c r="C64" s="501"/>
      <c r="D64" s="501"/>
      <c r="E64" s="501"/>
      <c r="F64" s="395">
        <v>3</v>
      </c>
      <c r="G64" s="373">
        <v>100000</v>
      </c>
      <c r="H64" s="373">
        <f t="shared" si="1"/>
        <v>300000</v>
      </c>
    </row>
    <row r="65" spans="2:8" x14ac:dyDescent="0.3">
      <c r="B65" s="393" t="s">
        <v>537</v>
      </c>
      <c r="C65" s="501"/>
      <c r="D65" s="501"/>
      <c r="E65" s="501"/>
      <c r="F65" s="395">
        <v>2</v>
      </c>
      <c r="G65" s="373">
        <v>50000</v>
      </c>
      <c r="H65" s="373">
        <f t="shared" si="1"/>
        <v>100000</v>
      </c>
    </row>
    <row r="66" spans="2:8" x14ac:dyDescent="0.3">
      <c r="B66" s="393" t="s">
        <v>538</v>
      </c>
      <c r="C66" s="501"/>
      <c r="D66" s="501"/>
      <c r="E66" s="501"/>
      <c r="F66" s="395">
        <v>5</v>
      </c>
      <c r="G66" s="373">
        <v>50000</v>
      </c>
      <c r="H66" s="373">
        <f t="shared" si="1"/>
        <v>250000</v>
      </c>
    </row>
    <row r="67" spans="2:8" x14ac:dyDescent="0.3">
      <c r="B67" s="393" t="s">
        <v>539</v>
      </c>
      <c r="C67" s="501"/>
      <c r="D67" s="501"/>
      <c r="E67" s="501"/>
      <c r="F67" s="395">
        <v>2</v>
      </c>
      <c r="G67" s="373">
        <v>25000</v>
      </c>
      <c r="H67" s="373">
        <f t="shared" si="1"/>
        <v>50000</v>
      </c>
    </row>
    <row r="68" spans="2:8" x14ac:dyDescent="0.3">
      <c r="B68" s="393" t="s">
        <v>566</v>
      </c>
      <c r="C68" s="501"/>
      <c r="D68" s="501"/>
      <c r="E68" s="501"/>
      <c r="F68" s="395">
        <v>4</v>
      </c>
      <c r="G68" s="373">
        <v>50000</v>
      </c>
      <c r="H68" s="373">
        <f t="shared" si="1"/>
        <v>200000</v>
      </c>
    </row>
    <row r="69" spans="2:8" x14ac:dyDescent="0.3">
      <c r="B69" s="393" t="s">
        <v>549</v>
      </c>
      <c r="C69" s="501"/>
      <c r="D69" s="501"/>
      <c r="E69" s="501"/>
      <c r="F69" s="395">
        <v>1</v>
      </c>
      <c r="G69" s="373">
        <v>50000</v>
      </c>
      <c r="H69" s="373">
        <f t="shared" si="1"/>
        <v>50000</v>
      </c>
    </row>
    <row r="70" spans="2:8" x14ac:dyDescent="0.3">
      <c r="B70" s="393" t="s">
        <v>567</v>
      </c>
      <c r="C70" s="501"/>
      <c r="D70" s="501"/>
      <c r="E70" s="501"/>
      <c r="F70" s="395">
        <v>1</v>
      </c>
      <c r="G70" s="373">
        <v>350000</v>
      </c>
      <c r="H70" s="373">
        <f t="shared" si="1"/>
        <v>350000</v>
      </c>
    </row>
    <row r="71" spans="2:8" ht="15.6" x14ac:dyDescent="0.3">
      <c r="B71" s="384" t="s">
        <v>561</v>
      </c>
      <c r="C71" s="384"/>
      <c r="D71" s="384"/>
      <c r="E71" s="384"/>
      <c r="F71" s="398"/>
      <c r="G71" s="399"/>
      <c r="H71" s="400">
        <f>SUM(H52:H70)</f>
        <v>4240000</v>
      </c>
    </row>
    <row r="73" spans="2:8" ht="15.6" x14ac:dyDescent="0.3">
      <c r="B73" s="376" t="s">
        <v>721</v>
      </c>
      <c r="C73" s="376"/>
      <c r="D73" s="376"/>
      <c r="E73" s="376"/>
      <c r="F73" s="377"/>
      <c r="G73" s="377"/>
      <c r="H73" s="378">
        <f>SUM(H71,H49,H38,H29)</f>
        <v>282465145.53999996</v>
      </c>
    </row>
    <row r="76" spans="2:8" x14ac:dyDescent="0.3">
      <c r="B76" s="496" t="s">
        <v>771</v>
      </c>
      <c r="C76" s="496"/>
      <c r="D76" s="496"/>
      <c r="E76" s="496"/>
      <c r="F76" s="497"/>
    </row>
    <row r="78" spans="2:8" x14ac:dyDescent="0.3">
      <c r="B78" s="489" t="s">
        <v>772</v>
      </c>
      <c r="C78" s="489"/>
      <c r="D78" s="489"/>
      <c r="E78" s="489"/>
      <c r="F78" s="489" t="s">
        <v>773</v>
      </c>
    </row>
    <row r="79" spans="2:8" x14ac:dyDescent="0.3">
      <c r="B79" s="490" t="s">
        <v>770</v>
      </c>
      <c r="C79" s="490"/>
      <c r="D79" s="490"/>
      <c r="E79" s="490"/>
      <c r="F79" s="491">
        <f>_xlfn.XLOOKUP(B79,Справочник!B41:B47,Справочник!D41:D47,0)*1000</f>
        <v>15000</v>
      </c>
    </row>
    <row r="80" spans="2:8" x14ac:dyDescent="0.3">
      <c r="B80" s="490" t="s">
        <v>768</v>
      </c>
      <c r="C80" s="490"/>
      <c r="D80" s="490"/>
      <c r="E80" s="490"/>
      <c r="F80" s="491">
        <f>_xlfn.XLOOKUP(B80,Справочник!B41:B47,Справочник!D41:D47,0)*1000</f>
        <v>25000</v>
      </c>
    </row>
    <row r="81" spans="2:7" x14ac:dyDescent="0.3">
      <c r="B81" s="490" t="s">
        <v>774</v>
      </c>
      <c r="C81" s="490"/>
      <c r="D81" s="490"/>
      <c r="E81" s="490"/>
      <c r="F81" s="491">
        <f>_xlfn.XLOOKUP(B81,Справочник!B41:B47,Справочник!D41:D47,0)*1000</f>
        <v>35000</v>
      </c>
    </row>
    <row r="82" spans="2:7" x14ac:dyDescent="0.3">
      <c r="B82" s="490" t="s">
        <v>775</v>
      </c>
      <c r="C82" s="490"/>
      <c r="D82" s="490"/>
      <c r="E82" s="490"/>
      <c r="F82" s="491">
        <f>_xlfn.XLOOKUP(B82,Справочник!B41:B47,Справочник!D41:D47,0)*1000</f>
        <v>50000</v>
      </c>
    </row>
    <row r="84" spans="2:7" x14ac:dyDescent="0.3">
      <c r="B84" s="492" t="s">
        <v>776</v>
      </c>
      <c r="C84" s="492"/>
      <c r="D84" s="492"/>
      <c r="E84" s="492"/>
      <c r="F84" s="493">
        <f>VLOOKUP(Input!F65,B79:F82,5,FALSE)</f>
        <v>25000</v>
      </c>
    </row>
    <row r="85" spans="2:7" x14ac:dyDescent="0.3">
      <c r="B85" s="492" t="s">
        <v>777</v>
      </c>
      <c r="C85" s="492"/>
      <c r="D85" s="492"/>
      <c r="E85" s="492"/>
      <c r="F85" s="493">
        <f>VLOOKUP(Input!F66,B79:F82,5,FALSE)</f>
        <v>15000</v>
      </c>
    </row>
    <row r="87" spans="2:7" x14ac:dyDescent="0.3">
      <c r="B87" s="492" t="s">
        <v>39</v>
      </c>
      <c r="C87" s="492"/>
      <c r="D87" s="492"/>
      <c r="E87" s="492"/>
      <c r="F87" s="494">
        <f>Input!F63</f>
        <v>300</v>
      </c>
      <c r="G87" s="495" t="s">
        <v>40</v>
      </c>
    </row>
  </sheetData>
  <dataValidations count="1">
    <dataValidation type="list" allowBlank="1" showInputMessage="1" showErrorMessage="1" errorTitle="Ошибка ввода" error="Допустимые значения: 1 (включён) или 0 (выключен)" sqref="C5:C26" xr:uid="{05B0D81D-21F3-4AB5-8195-471085D448AB}">
      <formula1>"0,1"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U1000"/>
  <sheetViews>
    <sheetView zoomScale="80" zoomScaleNormal="80" workbookViewId="0">
      <pane ySplit="2" topLeftCell="A17" activePane="bottomLeft" state="frozen"/>
      <selection pane="bottomLeft" activeCell="H27" sqref="H27"/>
    </sheetView>
  </sheetViews>
  <sheetFormatPr defaultColWidth="14.44140625" defaultRowHeight="15" customHeight="1" x14ac:dyDescent="0.3"/>
  <cols>
    <col min="1" max="1" width="4.109375" customWidth="1"/>
    <col min="2" max="2" width="58.109375" customWidth="1"/>
    <col min="3" max="3" width="53.33203125" customWidth="1"/>
    <col min="4" max="4" width="12.6640625" customWidth="1"/>
    <col min="5" max="5" width="13" customWidth="1"/>
    <col min="6" max="6" width="14" customWidth="1"/>
    <col min="7" max="21" width="12.6640625" customWidth="1"/>
  </cols>
  <sheetData>
    <row r="1" spans="1:21" ht="15.75" customHeight="1" x14ac:dyDescent="0.3">
      <c r="A1" s="25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15.75" customHeight="1" x14ac:dyDescent="0.3">
      <c r="A2" s="257"/>
      <c r="B2" s="258" t="s">
        <v>572</v>
      </c>
      <c r="C2" s="259" t="s">
        <v>573</v>
      </c>
      <c r="D2" s="259" t="s">
        <v>574</v>
      </c>
      <c r="E2" s="259" t="s">
        <v>575</v>
      </c>
      <c r="F2" s="260" t="s">
        <v>32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ht="15.75" customHeight="1" x14ac:dyDescent="0.3">
      <c r="A3" s="261"/>
      <c r="B3" s="262" t="s">
        <v>576</v>
      </c>
      <c r="C3" s="263"/>
      <c r="D3" s="264"/>
      <c r="E3" s="265"/>
      <c r="F3" s="26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ht="15.75" customHeight="1" x14ac:dyDescent="0.3">
      <c r="A4" s="267">
        <v>28</v>
      </c>
      <c r="B4" s="268" t="s">
        <v>219</v>
      </c>
      <c r="C4" s="268" t="s">
        <v>577</v>
      </c>
      <c r="D4" s="269">
        <v>1</v>
      </c>
      <c r="E4" s="270">
        <v>500</v>
      </c>
      <c r="F4" s="271">
        <f t="shared" ref="F4:F19" si="0">D4*E4</f>
        <v>500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15.75" customHeight="1" x14ac:dyDescent="0.3">
      <c r="A5" s="272">
        <v>29</v>
      </c>
      <c r="B5" s="273" t="s">
        <v>544</v>
      </c>
      <c r="C5" s="274" t="s">
        <v>578</v>
      </c>
      <c r="D5" s="275">
        <v>2</v>
      </c>
      <c r="E5" s="276">
        <v>700000</v>
      </c>
      <c r="F5" s="277">
        <f t="shared" si="0"/>
        <v>1400000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ht="15.75" customHeight="1" x14ac:dyDescent="0.3">
      <c r="A6" s="267">
        <v>30</v>
      </c>
      <c r="B6" s="278" t="s">
        <v>221</v>
      </c>
      <c r="C6" s="268" t="s">
        <v>577</v>
      </c>
      <c r="D6" s="269">
        <v>1</v>
      </c>
      <c r="E6" s="270">
        <v>500</v>
      </c>
      <c r="F6" s="271">
        <f t="shared" si="0"/>
        <v>500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ht="15.75" customHeight="1" x14ac:dyDescent="0.3">
      <c r="A7" s="267">
        <v>31</v>
      </c>
      <c r="B7" s="273" t="s">
        <v>527</v>
      </c>
      <c r="C7" s="274" t="s">
        <v>579</v>
      </c>
      <c r="D7" s="275">
        <v>2</v>
      </c>
      <c r="E7" s="276">
        <v>30000</v>
      </c>
      <c r="F7" s="277">
        <f t="shared" si="0"/>
        <v>60000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15.75" customHeight="1" x14ac:dyDescent="0.3">
      <c r="A8" s="272">
        <v>32</v>
      </c>
      <c r="B8" s="278" t="s">
        <v>540</v>
      </c>
      <c r="C8" s="268" t="s">
        <v>580</v>
      </c>
      <c r="D8" s="269">
        <v>1</v>
      </c>
      <c r="E8" s="270">
        <v>185000</v>
      </c>
      <c r="F8" s="271">
        <f t="shared" si="0"/>
        <v>185000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ht="15.75" customHeight="1" x14ac:dyDescent="0.3">
      <c r="A9" s="267">
        <v>33</v>
      </c>
      <c r="B9" s="273" t="s">
        <v>563</v>
      </c>
      <c r="C9" s="274" t="s">
        <v>581</v>
      </c>
      <c r="D9" s="275">
        <v>2</v>
      </c>
      <c r="E9" s="276">
        <v>850000</v>
      </c>
      <c r="F9" s="277">
        <f t="shared" si="0"/>
        <v>1700000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ht="15.75" customHeight="1" x14ac:dyDescent="0.3">
      <c r="A10" s="267">
        <v>34</v>
      </c>
      <c r="B10" s="278" t="s">
        <v>541</v>
      </c>
      <c r="C10" s="268" t="s">
        <v>582</v>
      </c>
      <c r="D10" s="269">
        <v>1</v>
      </c>
      <c r="E10" s="270">
        <v>500000</v>
      </c>
      <c r="F10" s="271">
        <f t="shared" si="0"/>
        <v>500000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ht="15.75" customHeight="1" x14ac:dyDescent="0.3">
      <c r="A11" s="272">
        <v>35</v>
      </c>
      <c r="B11" s="273" t="s">
        <v>529</v>
      </c>
      <c r="C11" s="274" t="s">
        <v>583</v>
      </c>
      <c r="D11" s="275">
        <v>5</v>
      </c>
      <c r="E11" s="276">
        <v>10000</v>
      </c>
      <c r="F11" s="277">
        <f t="shared" si="0"/>
        <v>50000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ht="15.75" customHeight="1" x14ac:dyDescent="0.3">
      <c r="A12" s="267">
        <v>36</v>
      </c>
      <c r="B12" s="278" t="s">
        <v>530</v>
      </c>
      <c r="C12" s="268" t="s">
        <v>584</v>
      </c>
      <c r="D12" s="269">
        <v>2</v>
      </c>
      <c r="E12" s="270">
        <v>8000</v>
      </c>
      <c r="F12" s="271">
        <f t="shared" si="0"/>
        <v>16000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ht="15.75" customHeight="1" x14ac:dyDescent="0.3">
      <c r="A13" s="267">
        <v>37</v>
      </c>
      <c r="B13" s="273" t="s">
        <v>531</v>
      </c>
      <c r="C13" s="274" t="s">
        <v>585</v>
      </c>
      <c r="D13" s="275">
        <v>2</v>
      </c>
      <c r="E13" s="276">
        <v>4000</v>
      </c>
      <c r="F13" s="277">
        <f t="shared" si="0"/>
        <v>8000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ht="15.75" customHeight="1" x14ac:dyDescent="0.3">
      <c r="A14" s="272">
        <v>38</v>
      </c>
      <c r="B14" s="278" t="s">
        <v>532</v>
      </c>
      <c r="C14" s="268" t="s">
        <v>586</v>
      </c>
      <c r="D14" s="269">
        <v>2</v>
      </c>
      <c r="E14" s="270">
        <v>165000</v>
      </c>
      <c r="F14" s="271">
        <f t="shared" si="0"/>
        <v>330000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ht="15.75" customHeight="1" x14ac:dyDescent="0.3">
      <c r="A15" s="267">
        <v>39</v>
      </c>
      <c r="B15" s="273" t="s">
        <v>542</v>
      </c>
      <c r="C15" s="274" t="s">
        <v>587</v>
      </c>
      <c r="D15" s="275">
        <v>2</v>
      </c>
      <c r="E15" s="276">
        <v>130000</v>
      </c>
      <c r="F15" s="277">
        <f t="shared" si="0"/>
        <v>260000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ht="15.75" customHeight="1" x14ac:dyDescent="0.3">
      <c r="A16" s="267">
        <v>40</v>
      </c>
      <c r="B16" s="278" t="s">
        <v>533</v>
      </c>
      <c r="C16" s="268" t="s">
        <v>588</v>
      </c>
      <c r="D16" s="269">
        <v>5</v>
      </c>
      <c r="E16" s="270">
        <v>10000</v>
      </c>
      <c r="F16" s="271">
        <f t="shared" si="0"/>
        <v>50000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ht="15.75" customHeight="1" x14ac:dyDescent="0.3">
      <c r="A17" s="272">
        <v>41</v>
      </c>
      <c r="B17" s="273" t="s">
        <v>528</v>
      </c>
      <c r="C17" s="274" t="s">
        <v>589</v>
      </c>
      <c r="D17" s="275">
        <v>20</v>
      </c>
      <c r="E17" s="276">
        <v>3000</v>
      </c>
      <c r="F17" s="277">
        <f t="shared" si="0"/>
        <v>60000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ht="15.75" customHeight="1" x14ac:dyDescent="0.3">
      <c r="A18" s="267">
        <v>42</v>
      </c>
      <c r="B18" s="278" t="s">
        <v>564</v>
      </c>
      <c r="C18" s="268"/>
      <c r="D18" s="269">
        <v>1</v>
      </c>
      <c r="E18" s="270">
        <v>150000</v>
      </c>
      <c r="F18" s="271">
        <f t="shared" si="0"/>
        <v>150000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ht="15.75" customHeight="1" x14ac:dyDescent="0.3">
      <c r="A19" s="267">
        <v>43</v>
      </c>
      <c r="B19" s="273" t="s">
        <v>590</v>
      </c>
      <c r="C19" s="274"/>
      <c r="D19" s="275">
        <v>1</v>
      </c>
      <c r="E19" s="276">
        <v>50000</v>
      </c>
      <c r="F19" s="277">
        <f t="shared" si="0"/>
        <v>50000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ht="15.75" customHeight="1" x14ac:dyDescent="0.3">
      <c r="A20" s="267"/>
      <c r="B20" s="279" t="s">
        <v>561</v>
      </c>
      <c r="C20" s="280"/>
      <c r="D20" s="281"/>
      <c r="E20" s="282"/>
      <c r="F20" s="283">
        <f>SUM(F4:F19)</f>
        <v>4820000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ht="15.75" customHeight="1" x14ac:dyDescent="0.3">
      <c r="A21" s="284"/>
      <c r="B21" s="262" t="s">
        <v>591</v>
      </c>
      <c r="C21" s="264"/>
      <c r="D21" s="264"/>
      <c r="E21" s="265"/>
      <c r="F21" s="266">
        <f>D21*E21</f>
        <v>0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ht="15.75" customHeight="1" x14ac:dyDescent="0.3">
      <c r="A22" s="285"/>
      <c r="B22" s="281" t="s">
        <v>592</v>
      </c>
      <c r="C22" s="281"/>
      <c r="D22" s="281"/>
      <c r="E22" s="286"/>
      <c r="F22" s="287">
        <f>'OPEX '!$H22*12</f>
        <v>960000</v>
      </c>
      <c r="G22" s="7"/>
      <c r="H22" s="288">
        <v>80000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ht="15.75" customHeight="1" x14ac:dyDescent="0.3">
      <c r="A23" s="285"/>
      <c r="B23" s="219" t="s">
        <v>593</v>
      </c>
      <c r="C23" s="281"/>
      <c r="D23" s="281"/>
      <c r="E23" s="286"/>
      <c r="F23" s="287">
        <f>'OPEX '!$H23*12</f>
        <v>12000000</v>
      </c>
      <c r="G23" s="7"/>
      <c r="H23" s="288">
        <v>1000000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ht="15.75" customHeight="1" x14ac:dyDescent="0.3">
      <c r="A24" s="285"/>
      <c r="B24" s="289" t="s">
        <v>594</v>
      </c>
      <c r="C24" s="281"/>
      <c r="D24" s="281"/>
      <c r="E24" s="286"/>
      <c r="F24" s="287">
        <f>'OPEX '!$H24*12</f>
        <v>0</v>
      </c>
      <c r="G24" s="7"/>
      <c r="H24" s="288">
        <v>0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ht="15.75" customHeight="1" x14ac:dyDescent="0.3">
      <c r="A25" s="285"/>
      <c r="B25" s="281" t="s">
        <v>595</v>
      </c>
      <c r="C25" s="281"/>
      <c r="D25" s="281"/>
      <c r="E25" s="286"/>
      <c r="F25" s="287">
        <f t="shared" ref="F25:F26" si="1">H25*12</f>
        <v>600000</v>
      </c>
      <c r="G25" s="7"/>
      <c r="H25" s="290">
        <v>50000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ht="15.75" customHeight="1" x14ac:dyDescent="0.3">
      <c r="A26" s="285"/>
      <c r="B26" s="289" t="s">
        <v>596</v>
      </c>
      <c r="C26" s="281"/>
      <c r="D26" s="281"/>
      <c r="E26" s="286"/>
      <c r="F26" s="287">
        <f t="shared" si="1"/>
        <v>1800000</v>
      </c>
      <c r="G26" s="7"/>
      <c r="H26" s="290">
        <v>150000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ht="15.75" customHeight="1" x14ac:dyDescent="0.3">
      <c r="A27" s="267">
        <v>44</v>
      </c>
      <c r="B27" s="281" t="s">
        <v>597</v>
      </c>
      <c r="C27" s="281" t="s">
        <v>598</v>
      </c>
      <c r="D27" s="281">
        <v>25000</v>
      </c>
      <c r="E27" s="286">
        <v>250</v>
      </c>
      <c r="F27" s="287">
        <f t="shared" ref="F27:F40" si="2">D27*E27</f>
        <v>6250000</v>
      </c>
      <c r="G27" s="7"/>
      <c r="H27" s="426">
        <f ca="1">SUBTOTAL(109,Table_2[[#All],[Column1]])</f>
        <v>1280000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 ht="15.75" customHeight="1" x14ac:dyDescent="0.3">
      <c r="A28" s="291"/>
      <c r="B28" s="219" t="s">
        <v>599</v>
      </c>
      <c r="C28" s="219" t="s">
        <v>600</v>
      </c>
      <c r="D28" s="219">
        <v>600</v>
      </c>
      <c r="E28" s="219">
        <v>2100</v>
      </c>
      <c r="F28" s="287">
        <f t="shared" si="2"/>
        <v>1260000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ht="15.75" customHeight="1" x14ac:dyDescent="0.3">
      <c r="A29" s="272">
        <v>45</v>
      </c>
      <c r="B29" s="289" t="s">
        <v>601</v>
      </c>
      <c r="C29" s="289" t="s">
        <v>602</v>
      </c>
      <c r="D29" s="289">
        <v>4500</v>
      </c>
      <c r="E29" s="292">
        <v>230</v>
      </c>
      <c r="F29" s="293">
        <f t="shared" si="2"/>
        <v>1035000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 ht="15.75" customHeight="1" x14ac:dyDescent="0.3">
      <c r="A30" s="267">
        <v>46</v>
      </c>
      <c r="B30" s="281" t="s">
        <v>603</v>
      </c>
      <c r="C30" s="281" t="s">
        <v>604</v>
      </c>
      <c r="D30" s="281">
        <v>700</v>
      </c>
      <c r="E30" s="286">
        <v>2500</v>
      </c>
      <c r="F30" s="287">
        <f t="shared" si="2"/>
        <v>1750000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ht="15.75" customHeight="1" x14ac:dyDescent="0.3">
      <c r="A31" s="267">
        <v>47</v>
      </c>
      <c r="B31" s="289" t="s">
        <v>605</v>
      </c>
      <c r="C31" s="289" t="s">
        <v>238</v>
      </c>
      <c r="D31" s="289">
        <v>1</v>
      </c>
      <c r="E31" s="294">
        <v>6000000</v>
      </c>
      <c r="F31" s="293">
        <f t="shared" si="2"/>
        <v>6000000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 ht="15.75" customHeight="1" x14ac:dyDescent="0.3">
      <c r="A32" s="272">
        <v>48</v>
      </c>
      <c r="B32" s="281" t="s">
        <v>606</v>
      </c>
      <c r="C32" s="281" t="s">
        <v>238</v>
      </c>
      <c r="D32" s="281">
        <v>1</v>
      </c>
      <c r="E32" s="295">
        <v>2000000</v>
      </c>
      <c r="F32" s="287">
        <f t="shared" si="2"/>
        <v>2000000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 ht="15.75" customHeight="1" x14ac:dyDescent="0.3">
      <c r="A33" s="267">
        <v>49</v>
      </c>
      <c r="B33" s="289" t="s">
        <v>607</v>
      </c>
      <c r="C33" s="289" t="s">
        <v>608</v>
      </c>
      <c r="D33" s="289">
        <v>4200</v>
      </c>
      <c r="E33" s="292">
        <v>700</v>
      </c>
      <c r="F33" s="293">
        <f t="shared" si="2"/>
        <v>2940000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 ht="15.75" customHeight="1" x14ac:dyDescent="0.3">
      <c r="A34" s="267">
        <v>50</v>
      </c>
      <c r="B34" s="281" t="s">
        <v>609</v>
      </c>
      <c r="C34" s="281" t="s">
        <v>610</v>
      </c>
      <c r="D34" s="281">
        <v>10</v>
      </c>
      <c r="E34" s="286">
        <v>10000</v>
      </c>
      <c r="F34" s="287">
        <f t="shared" si="2"/>
        <v>100000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ht="15.75" customHeight="1" x14ac:dyDescent="0.3">
      <c r="A35" s="272">
        <v>51</v>
      </c>
      <c r="B35" s="289" t="s">
        <v>611</v>
      </c>
      <c r="C35" s="289" t="s">
        <v>612</v>
      </c>
      <c r="D35" s="289">
        <v>100</v>
      </c>
      <c r="E35" s="292">
        <v>20000</v>
      </c>
      <c r="F35" s="293">
        <f t="shared" si="2"/>
        <v>2000000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 ht="15.75" customHeight="1" x14ac:dyDescent="0.3">
      <c r="A36" s="267">
        <v>52</v>
      </c>
      <c r="B36" s="281" t="s">
        <v>596</v>
      </c>
      <c r="C36" s="281" t="s">
        <v>613</v>
      </c>
      <c r="D36" s="281">
        <v>262800</v>
      </c>
      <c r="E36" s="286">
        <v>25</v>
      </c>
      <c r="F36" s="287">
        <f t="shared" si="2"/>
        <v>6570000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ht="15.75" customHeight="1" x14ac:dyDescent="0.3">
      <c r="A37" s="267">
        <v>53</v>
      </c>
      <c r="B37" s="289" t="s">
        <v>592</v>
      </c>
      <c r="C37" s="289" t="s">
        <v>238</v>
      </c>
      <c r="D37" s="289">
        <v>1</v>
      </c>
      <c r="E37" s="296">
        <v>240000</v>
      </c>
      <c r="F37" s="293">
        <f t="shared" si="2"/>
        <v>240000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 ht="15.75" customHeight="1" x14ac:dyDescent="0.3">
      <c r="A38" s="272">
        <v>54</v>
      </c>
      <c r="B38" s="281" t="s">
        <v>566</v>
      </c>
      <c r="C38" s="281" t="s">
        <v>614</v>
      </c>
      <c r="D38" s="281">
        <v>17</v>
      </c>
      <c r="E38" s="286">
        <v>60000</v>
      </c>
      <c r="F38" s="287">
        <f t="shared" si="2"/>
        <v>1020000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 ht="15.75" customHeight="1" x14ac:dyDescent="0.3">
      <c r="A39" s="267">
        <v>55</v>
      </c>
      <c r="B39" s="289" t="s">
        <v>615</v>
      </c>
      <c r="C39" s="289" t="s">
        <v>238</v>
      </c>
      <c r="D39" s="289">
        <v>1</v>
      </c>
      <c r="E39" s="294">
        <v>1500000</v>
      </c>
      <c r="F39" s="293">
        <f t="shared" si="2"/>
        <v>1500000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 ht="15.75" customHeight="1" x14ac:dyDescent="0.3">
      <c r="A40" s="267">
        <v>56</v>
      </c>
      <c r="B40" s="281" t="s">
        <v>616</v>
      </c>
      <c r="C40" s="281" t="s">
        <v>238</v>
      </c>
      <c r="D40" s="281">
        <v>1</v>
      </c>
      <c r="E40" s="295">
        <v>2000000</v>
      </c>
      <c r="F40" s="287">
        <f t="shared" si="2"/>
        <v>2000000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ht="15.75" customHeight="1" x14ac:dyDescent="0.3">
      <c r="A41" s="272"/>
      <c r="B41" s="297" t="s">
        <v>561</v>
      </c>
      <c r="C41" s="298"/>
      <c r="D41" s="298"/>
      <c r="E41" s="299"/>
      <c r="F41" s="300">
        <f>SUM(F22:F40)</f>
        <v>50025000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 ht="15.75" customHeight="1" x14ac:dyDescent="0.3">
      <c r="A42" s="301"/>
      <c r="B42" s="302" t="s">
        <v>617</v>
      </c>
      <c r="C42" s="303"/>
      <c r="D42" s="303"/>
      <c r="E42" s="303"/>
      <c r="F42" s="304">
        <f>F41+F20</f>
        <v>54845000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 ht="15.75" customHeight="1" x14ac:dyDescent="0.3">
      <c r="A43" s="25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1:21" ht="15.75" customHeight="1" x14ac:dyDescent="0.3">
      <c r="A44" s="256"/>
      <c r="B44" s="7"/>
      <c r="C44" s="7"/>
      <c r="D44" s="7"/>
      <c r="E44" s="7"/>
      <c r="F44" s="15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spans="1:21" ht="15.75" customHeight="1" x14ac:dyDescent="0.3">
      <c r="A45" s="256"/>
      <c r="B45" s="7"/>
      <c r="C45" s="7"/>
      <c r="D45" s="7"/>
      <c r="E45" s="7"/>
      <c r="F45" s="48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1:21" ht="15.75" customHeight="1" x14ac:dyDescent="0.3">
      <c r="A46" s="256"/>
      <c r="B46" s="7"/>
      <c r="C46" s="7"/>
      <c r="D46" s="7"/>
      <c r="E46" s="7"/>
      <c r="F46" s="15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 ht="15.75" customHeight="1" x14ac:dyDescent="0.3">
      <c r="A47" s="256"/>
      <c r="B47" s="7"/>
      <c r="C47" s="7"/>
      <c r="D47" s="7"/>
      <c r="E47" s="7"/>
      <c r="F47" s="15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1:21" ht="15.75" customHeight="1" x14ac:dyDescent="0.3">
      <c r="A48" s="256"/>
      <c r="B48" s="7"/>
      <c r="C48" s="7"/>
      <c r="D48" s="7"/>
      <c r="E48" s="7"/>
      <c r="F48" s="15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spans="1:21" ht="15.75" customHeight="1" x14ac:dyDescent="0.3">
      <c r="A49" s="25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1:21" ht="15.75" customHeight="1" x14ac:dyDescent="0.3">
      <c r="A50" s="25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spans="1:21" ht="15.75" customHeight="1" x14ac:dyDescent="0.3">
      <c r="A51" s="25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spans="1:21" ht="15.75" customHeight="1" x14ac:dyDescent="0.3">
      <c r="A52" s="25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spans="1:21" ht="15.75" customHeight="1" x14ac:dyDescent="0.3">
      <c r="A53" s="256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spans="1:21" ht="15.75" customHeight="1" x14ac:dyDescent="0.3">
      <c r="A54" s="25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spans="1:21" ht="15.75" customHeight="1" x14ac:dyDescent="0.3">
      <c r="A55" s="256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spans="1:21" ht="15.75" customHeight="1" x14ac:dyDescent="0.3">
      <c r="A56" s="25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spans="1:21" ht="15.75" customHeight="1" x14ac:dyDescent="0.3">
      <c r="A57" s="25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spans="1:21" ht="15.75" customHeight="1" x14ac:dyDescent="0.3">
      <c r="A58" s="25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1:21" ht="15.75" customHeight="1" x14ac:dyDescent="0.3">
      <c r="A59" s="25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1:21" ht="15.75" customHeight="1" x14ac:dyDescent="0.3">
      <c r="A60" s="25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1:21" ht="15.75" customHeight="1" x14ac:dyDescent="0.3">
      <c r="A61" s="256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1:21" ht="15.75" customHeight="1" x14ac:dyDescent="0.3">
      <c r="A62" s="256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1:21" ht="15.75" customHeight="1" x14ac:dyDescent="0.3">
      <c r="A63" s="256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1:21" ht="15.75" customHeight="1" x14ac:dyDescent="0.3">
      <c r="A64" s="25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1:21" ht="15.75" customHeight="1" x14ac:dyDescent="0.3">
      <c r="A65" s="25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1:21" ht="15.75" customHeight="1" x14ac:dyDescent="0.3">
      <c r="A66" s="256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1:21" ht="15.75" customHeight="1" x14ac:dyDescent="0.3">
      <c r="A67" s="25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1:21" ht="15.75" customHeight="1" x14ac:dyDescent="0.3">
      <c r="A68" s="256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1:21" ht="15.75" customHeight="1" x14ac:dyDescent="0.3">
      <c r="A69" s="25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1:21" ht="15.75" customHeight="1" x14ac:dyDescent="0.3">
      <c r="A70" s="256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1:21" ht="15.75" customHeight="1" x14ac:dyDescent="0.3">
      <c r="A71" s="25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1:21" ht="15.75" customHeight="1" x14ac:dyDescent="0.3">
      <c r="A72" s="256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1:21" ht="15.75" customHeight="1" x14ac:dyDescent="0.3">
      <c r="A73" s="256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spans="1:21" ht="15.75" customHeight="1" x14ac:dyDescent="0.3">
      <c r="A74" s="256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spans="1:21" ht="15.75" customHeight="1" x14ac:dyDescent="0.3">
      <c r="A75" s="256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spans="1:21" ht="15.75" customHeight="1" x14ac:dyDescent="0.3">
      <c r="A76" s="256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spans="1:21" ht="15.75" customHeight="1" x14ac:dyDescent="0.3">
      <c r="A77" s="256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spans="1:21" ht="15.75" customHeight="1" x14ac:dyDescent="0.3">
      <c r="A78" s="256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spans="1:21" ht="15.75" customHeight="1" x14ac:dyDescent="0.3">
      <c r="A79" s="256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1:21" ht="15.75" customHeight="1" x14ac:dyDescent="0.3">
      <c r="A80" s="256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spans="1:21" ht="15.75" customHeight="1" x14ac:dyDescent="0.3">
      <c r="A81" s="256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spans="1:21" ht="15.75" customHeight="1" x14ac:dyDescent="0.3">
      <c r="A82" s="256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spans="1:21" ht="15.75" customHeight="1" x14ac:dyDescent="0.3">
      <c r="A83" s="256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spans="1:21" ht="15.75" customHeight="1" x14ac:dyDescent="0.3">
      <c r="A84" s="256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spans="1:21" ht="15.75" customHeight="1" x14ac:dyDescent="0.3">
      <c r="A85" s="256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spans="1:21" ht="15.75" customHeight="1" x14ac:dyDescent="0.3">
      <c r="A86" s="25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spans="1:21" ht="15.75" customHeight="1" x14ac:dyDescent="0.3">
      <c r="A87" s="256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spans="1:21" ht="15.75" customHeight="1" x14ac:dyDescent="0.3">
      <c r="A88" s="256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spans="1:21" ht="15.75" customHeight="1" x14ac:dyDescent="0.3">
      <c r="A89" s="256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spans="1:21" ht="15.75" customHeight="1" x14ac:dyDescent="0.3">
      <c r="A90" s="256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spans="1:21" ht="15.75" customHeight="1" x14ac:dyDescent="0.3">
      <c r="A91" s="256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spans="1:21" ht="15.75" customHeight="1" x14ac:dyDescent="0.3">
      <c r="A92" s="256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spans="1:21" ht="15.75" customHeight="1" x14ac:dyDescent="0.3">
      <c r="A93" s="256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spans="1:21" ht="15.75" customHeight="1" x14ac:dyDescent="0.3">
      <c r="A94" s="256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spans="1:21" ht="15.75" customHeight="1" x14ac:dyDescent="0.3">
      <c r="A95" s="256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spans="1:21" ht="15.75" customHeight="1" x14ac:dyDescent="0.3">
      <c r="A96" s="256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spans="1:21" ht="15.75" customHeight="1" x14ac:dyDescent="0.3">
      <c r="A97" s="256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spans="1:21" ht="15.75" customHeight="1" x14ac:dyDescent="0.3">
      <c r="A98" s="256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spans="1:21" ht="15.75" customHeight="1" x14ac:dyDescent="0.3">
      <c r="A99" s="256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spans="1:21" ht="15.75" customHeight="1" x14ac:dyDescent="0.3">
      <c r="A100" s="256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spans="1:21" ht="15.75" customHeight="1" x14ac:dyDescent="0.3">
      <c r="A101" s="256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spans="1:21" ht="15.75" customHeight="1" x14ac:dyDescent="0.3">
      <c r="A102" s="256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spans="1:21" ht="15.75" customHeight="1" x14ac:dyDescent="0.3">
      <c r="A103" s="256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spans="1:21" ht="15.75" customHeight="1" x14ac:dyDescent="0.3">
      <c r="A104" s="256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spans="1:21" ht="15.75" customHeight="1" x14ac:dyDescent="0.3">
      <c r="A105" s="25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spans="1:21" ht="15.75" customHeight="1" x14ac:dyDescent="0.3">
      <c r="A106" s="25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spans="1:21" ht="15.75" customHeight="1" x14ac:dyDescent="0.3">
      <c r="A107" s="25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spans="1:21" ht="15.75" customHeight="1" x14ac:dyDescent="0.3">
      <c r="A108" s="25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spans="1:21" ht="15.75" customHeight="1" x14ac:dyDescent="0.3">
      <c r="A109" s="256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spans="1:21" ht="15.75" customHeight="1" x14ac:dyDescent="0.3">
      <c r="A110" s="256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spans="1:21" ht="15.75" customHeight="1" x14ac:dyDescent="0.3">
      <c r="A111" s="256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spans="1:21" ht="15.75" customHeight="1" x14ac:dyDescent="0.3">
      <c r="A112" s="256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spans="1:21" ht="15.75" customHeight="1" x14ac:dyDescent="0.3">
      <c r="A113" s="256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 spans="1:21" ht="15.75" customHeight="1" x14ac:dyDescent="0.3">
      <c r="A114" s="256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 spans="1:21" ht="15.75" customHeight="1" x14ac:dyDescent="0.3">
      <c r="A115" s="256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spans="1:21" ht="15.75" customHeight="1" x14ac:dyDescent="0.3">
      <c r="A116" s="256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spans="1:21" ht="15.75" customHeight="1" x14ac:dyDescent="0.3">
      <c r="A117" s="256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 spans="1:21" ht="15.75" customHeight="1" x14ac:dyDescent="0.3">
      <c r="A118" s="256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spans="1:21" ht="15.75" customHeight="1" x14ac:dyDescent="0.3">
      <c r="A119" s="256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spans="1:21" ht="15.75" customHeight="1" x14ac:dyDescent="0.3">
      <c r="A120" s="256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spans="1:21" ht="15.75" customHeight="1" x14ac:dyDescent="0.3">
      <c r="A121" s="256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spans="1:21" ht="15.75" customHeight="1" x14ac:dyDescent="0.3">
      <c r="A122" s="256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spans="1:21" ht="15.75" customHeight="1" x14ac:dyDescent="0.3">
      <c r="A123" s="256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spans="1:21" ht="15.75" customHeight="1" x14ac:dyDescent="0.3">
      <c r="A124" s="256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 spans="1:21" ht="15.75" customHeight="1" x14ac:dyDescent="0.3">
      <c r="A125" s="256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spans="1:21" ht="15.75" customHeight="1" x14ac:dyDescent="0.3">
      <c r="A126" s="256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spans="1:21" ht="15.75" customHeight="1" x14ac:dyDescent="0.3">
      <c r="A127" s="256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spans="1:21" ht="15.75" customHeight="1" x14ac:dyDescent="0.3">
      <c r="A128" s="256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 spans="1:21" ht="15.75" customHeight="1" x14ac:dyDescent="0.3">
      <c r="A129" s="256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 spans="1:21" ht="15.75" customHeight="1" x14ac:dyDescent="0.3">
      <c r="A130" s="256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spans="1:21" ht="15.75" customHeight="1" x14ac:dyDescent="0.3">
      <c r="A131" s="256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spans="1:21" ht="15.75" customHeight="1" x14ac:dyDescent="0.3">
      <c r="A132" s="256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spans="1:21" ht="15.75" customHeight="1" x14ac:dyDescent="0.3">
      <c r="A133" s="256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spans="1:21" ht="15.75" customHeight="1" x14ac:dyDescent="0.3">
      <c r="A134" s="256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spans="1:21" ht="15.75" customHeight="1" x14ac:dyDescent="0.3">
      <c r="A135" s="256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spans="1:21" ht="15.75" customHeight="1" x14ac:dyDescent="0.3">
      <c r="A136" s="256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spans="1:21" ht="15.75" customHeight="1" x14ac:dyDescent="0.3">
      <c r="A137" s="256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spans="1:21" ht="15.75" customHeight="1" x14ac:dyDescent="0.3">
      <c r="A138" s="256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spans="1:21" ht="15.75" customHeight="1" x14ac:dyDescent="0.3">
      <c r="A139" s="256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spans="1:21" ht="15.75" customHeight="1" x14ac:dyDescent="0.3">
      <c r="A140" s="256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 spans="1:21" ht="15.75" customHeight="1" x14ac:dyDescent="0.3">
      <c r="A141" s="256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 spans="1:21" ht="15.75" customHeight="1" x14ac:dyDescent="0.3">
      <c r="A142" s="256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spans="1:21" ht="15.75" customHeight="1" x14ac:dyDescent="0.3">
      <c r="A143" s="256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 spans="1:21" ht="15.75" customHeight="1" x14ac:dyDescent="0.3">
      <c r="A144" s="256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spans="1:21" ht="15.75" customHeight="1" x14ac:dyDescent="0.3">
      <c r="A145" s="256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spans="1:21" ht="15.75" customHeight="1" x14ac:dyDescent="0.3">
      <c r="A146" s="256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spans="1:21" ht="15.75" customHeight="1" x14ac:dyDescent="0.3">
      <c r="A147" s="256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spans="1:21" ht="15.75" customHeight="1" x14ac:dyDescent="0.3">
      <c r="A148" s="256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 spans="1:21" ht="15.75" customHeight="1" x14ac:dyDescent="0.3">
      <c r="A149" s="256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 spans="1:21" ht="15.75" customHeight="1" x14ac:dyDescent="0.3">
      <c r="A150" s="256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 spans="1:21" ht="15.75" customHeight="1" x14ac:dyDescent="0.3">
      <c r="A151" s="256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 spans="1:21" ht="15.75" customHeight="1" x14ac:dyDescent="0.3">
      <c r="A152" s="256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 spans="1:21" ht="15.75" customHeight="1" x14ac:dyDescent="0.3">
      <c r="A153" s="256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spans="1:21" ht="15.75" customHeight="1" x14ac:dyDescent="0.3">
      <c r="A154" s="256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spans="1:21" ht="15.75" customHeight="1" x14ac:dyDescent="0.3">
      <c r="A155" s="256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spans="1:21" ht="15.75" customHeight="1" x14ac:dyDescent="0.3">
      <c r="A156" s="256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spans="1:21" ht="15.75" customHeight="1" x14ac:dyDescent="0.3">
      <c r="A157" s="256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spans="1:21" ht="15.75" customHeight="1" x14ac:dyDescent="0.3">
      <c r="A158" s="256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spans="1:21" ht="15.75" customHeight="1" x14ac:dyDescent="0.3">
      <c r="A159" s="256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 spans="1:21" ht="15.75" customHeight="1" x14ac:dyDescent="0.3">
      <c r="A160" s="256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 spans="1:21" ht="15.75" customHeight="1" x14ac:dyDescent="0.3">
      <c r="A161" s="256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 spans="1:21" ht="15.75" customHeight="1" x14ac:dyDescent="0.3">
      <c r="A162" s="256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 spans="1:21" ht="15.75" customHeight="1" x14ac:dyDescent="0.3">
      <c r="A163" s="256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 spans="1:21" ht="15.75" customHeight="1" x14ac:dyDescent="0.3">
      <c r="A164" s="256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 spans="1:21" ht="15.75" customHeight="1" x14ac:dyDescent="0.3">
      <c r="A165" s="256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 spans="1:21" ht="15.75" customHeight="1" x14ac:dyDescent="0.3">
      <c r="A166" s="256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 spans="1:21" ht="15.75" customHeight="1" x14ac:dyDescent="0.3">
      <c r="A167" s="256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 spans="1:21" ht="15.75" customHeight="1" x14ac:dyDescent="0.3">
      <c r="A168" s="256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 spans="1:21" ht="15.75" customHeight="1" x14ac:dyDescent="0.3">
      <c r="A169" s="256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 spans="1:21" ht="15.75" customHeight="1" x14ac:dyDescent="0.3">
      <c r="A170" s="256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 spans="1:21" ht="15.75" customHeight="1" x14ac:dyDescent="0.3">
      <c r="A171" s="256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 spans="1:21" ht="15.75" customHeight="1" x14ac:dyDescent="0.3">
      <c r="A172" s="256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 spans="1:21" ht="15.75" customHeight="1" x14ac:dyDescent="0.3">
      <c r="A173" s="256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 spans="1:21" ht="15.75" customHeight="1" x14ac:dyDescent="0.3">
      <c r="A174" s="256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 spans="1:21" ht="15.75" customHeight="1" x14ac:dyDescent="0.3">
      <c r="A175" s="256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 spans="1:21" ht="15.75" customHeight="1" x14ac:dyDescent="0.3">
      <c r="A176" s="256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 spans="1:21" ht="15.75" customHeight="1" x14ac:dyDescent="0.3">
      <c r="A177" s="256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 spans="1:21" ht="15.75" customHeight="1" x14ac:dyDescent="0.3">
      <c r="A178" s="256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 spans="1:21" ht="15.75" customHeight="1" x14ac:dyDescent="0.3">
      <c r="A179" s="256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 spans="1:21" ht="15.75" customHeight="1" x14ac:dyDescent="0.3">
      <c r="A180" s="256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 spans="1:21" ht="15.75" customHeight="1" x14ac:dyDescent="0.3">
      <c r="A181" s="256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 spans="1:21" ht="15.75" customHeight="1" x14ac:dyDescent="0.3">
      <c r="A182" s="256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 spans="1:21" ht="15.75" customHeight="1" x14ac:dyDescent="0.3">
      <c r="A183" s="256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 spans="1:21" ht="15.75" customHeight="1" x14ac:dyDescent="0.3">
      <c r="A184" s="256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 spans="1:21" ht="15.75" customHeight="1" x14ac:dyDescent="0.3">
      <c r="A185" s="256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 spans="1:21" ht="15.75" customHeight="1" x14ac:dyDescent="0.3">
      <c r="A186" s="256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 spans="1:21" ht="15.75" customHeight="1" x14ac:dyDescent="0.3">
      <c r="A187" s="256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 spans="1:21" ht="15.75" customHeight="1" x14ac:dyDescent="0.3">
      <c r="A188" s="256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spans="1:21" ht="15.75" customHeight="1" x14ac:dyDescent="0.3">
      <c r="A189" s="256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 spans="1:21" ht="15.75" customHeight="1" x14ac:dyDescent="0.3">
      <c r="A190" s="256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 spans="1:21" ht="15.75" customHeight="1" x14ac:dyDescent="0.3">
      <c r="A191" s="256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 spans="1:21" ht="15.75" customHeight="1" x14ac:dyDescent="0.3">
      <c r="A192" s="256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 spans="1:21" ht="15.75" customHeight="1" x14ac:dyDescent="0.3">
      <c r="A193" s="256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 spans="1:21" ht="15.75" customHeight="1" x14ac:dyDescent="0.3">
      <c r="A194" s="256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 spans="1:21" ht="15.75" customHeight="1" x14ac:dyDescent="0.3">
      <c r="A195" s="256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 spans="1:21" ht="15.75" customHeight="1" x14ac:dyDescent="0.3">
      <c r="A196" s="256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 spans="1:21" ht="15.75" customHeight="1" x14ac:dyDescent="0.3">
      <c r="A197" s="256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 spans="1:21" ht="15.75" customHeight="1" x14ac:dyDescent="0.3">
      <c r="A198" s="256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 spans="1:21" ht="15.75" customHeight="1" x14ac:dyDescent="0.3">
      <c r="A199" s="256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 spans="1:21" ht="15.75" customHeight="1" x14ac:dyDescent="0.3">
      <c r="A200" s="256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 spans="1:21" ht="15.75" customHeight="1" x14ac:dyDescent="0.3">
      <c r="A201" s="256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 spans="1:21" ht="15.75" customHeight="1" x14ac:dyDescent="0.3">
      <c r="A202" s="256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 spans="1:21" ht="15.75" customHeight="1" x14ac:dyDescent="0.3">
      <c r="A203" s="256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r="204" spans="1:21" ht="15.75" customHeight="1" x14ac:dyDescent="0.3">
      <c r="A204" s="256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 spans="1:21" ht="15.75" customHeight="1" x14ac:dyDescent="0.3">
      <c r="A205" s="256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r="206" spans="1:21" ht="15.75" customHeight="1" x14ac:dyDescent="0.3">
      <c r="A206" s="256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 spans="1:21" ht="15.75" customHeight="1" x14ac:dyDescent="0.3">
      <c r="A207" s="256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r="208" spans="1:21" ht="15.75" customHeight="1" x14ac:dyDescent="0.3">
      <c r="A208" s="256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r="209" spans="1:21" ht="15.75" customHeight="1" x14ac:dyDescent="0.3">
      <c r="A209" s="256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</row>
    <row r="210" spans="1:21" ht="15.75" customHeight="1" x14ac:dyDescent="0.3">
      <c r="A210" s="256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 spans="1:21" ht="15.75" customHeight="1" x14ac:dyDescent="0.3">
      <c r="A211" s="256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 spans="1:21" ht="15.75" customHeight="1" x14ac:dyDescent="0.3">
      <c r="A212" s="256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 spans="1:21" ht="15.75" customHeight="1" x14ac:dyDescent="0.3">
      <c r="A213" s="256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r="214" spans="1:21" ht="15.75" customHeight="1" x14ac:dyDescent="0.3">
      <c r="A214" s="256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r="215" spans="1:21" ht="15.75" customHeight="1" x14ac:dyDescent="0.3">
      <c r="A215" s="256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r="216" spans="1:21" ht="15.75" customHeight="1" x14ac:dyDescent="0.3">
      <c r="A216" s="256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 spans="1:21" ht="15.75" customHeight="1" x14ac:dyDescent="0.3">
      <c r="A217" s="256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r="218" spans="1:21" ht="15.75" customHeight="1" x14ac:dyDescent="0.3">
      <c r="A218" s="256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 spans="1:21" ht="15.75" customHeight="1" x14ac:dyDescent="0.3">
      <c r="A219" s="256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 spans="1:21" ht="15.75" customHeight="1" x14ac:dyDescent="0.3">
      <c r="A220" s="256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 spans="1:21" ht="15.75" customHeight="1" x14ac:dyDescent="0.3">
      <c r="A221" s="256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 spans="1:21" ht="15.75" customHeight="1" x14ac:dyDescent="0.3">
      <c r="A222" s="256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r="223" spans="1:21" ht="15.75" customHeight="1" x14ac:dyDescent="0.3">
      <c r="A223" s="256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r="224" spans="1:21" ht="15.75" customHeight="1" x14ac:dyDescent="0.3">
      <c r="A224" s="256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r="225" spans="1:21" ht="15.75" customHeight="1" x14ac:dyDescent="0.3">
      <c r="A225" s="256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r="226" spans="1:21" ht="15.75" customHeight="1" x14ac:dyDescent="0.3">
      <c r="A226" s="256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r="227" spans="1:21" ht="15.75" customHeight="1" x14ac:dyDescent="0.3">
      <c r="A227" s="256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r="228" spans="1:21" ht="15.75" customHeight="1" x14ac:dyDescent="0.3">
      <c r="A228" s="256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 spans="1:21" ht="15.75" customHeight="1" x14ac:dyDescent="0.3">
      <c r="A229" s="256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 spans="1:21" ht="15.75" customHeight="1" x14ac:dyDescent="0.3">
      <c r="A230" s="256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 spans="1:21" ht="15.75" customHeight="1" x14ac:dyDescent="0.3">
      <c r="A231" s="256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</row>
    <row r="232" spans="1:21" ht="15.75" customHeight="1" x14ac:dyDescent="0.3">
      <c r="A232" s="256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r="233" spans="1:21" ht="15.75" customHeight="1" x14ac:dyDescent="0.3">
      <c r="A233" s="256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</row>
    <row r="234" spans="1:21" ht="15.75" customHeight="1" x14ac:dyDescent="0.3">
      <c r="A234" s="256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r="235" spans="1:21" ht="15.75" customHeight="1" x14ac:dyDescent="0.3">
      <c r="A235" s="256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r="236" spans="1:21" ht="15.75" customHeight="1" x14ac:dyDescent="0.3">
      <c r="A236" s="256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r="237" spans="1:21" ht="15.75" customHeight="1" x14ac:dyDescent="0.3">
      <c r="A237" s="256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 spans="1:21" ht="15.75" customHeight="1" x14ac:dyDescent="0.3">
      <c r="A238" s="256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 spans="1:21" ht="15.75" customHeight="1" x14ac:dyDescent="0.3">
      <c r="A239" s="256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r="240" spans="1:21" ht="15.75" customHeight="1" x14ac:dyDescent="0.3">
      <c r="A240" s="256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r="241" spans="1:21" ht="15.75" customHeight="1" x14ac:dyDescent="0.3">
      <c r="A241" s="256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r="242" spans="1:21" ht="15.75" customHeight="1" x14ac:dyDescent="0.3">
      <c r="A242" s="256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r="243" spans="1:21" ht="15.75" customHeight="1" x14ac:dyDescent="0.3"/>
    <row r="244" spans="1:21" ht="15.75" customHeight="1" x14ac:dyDescent="0.3"/>
    <row r="245" spans="1:21" ht="15.75" customHeight="1" x14ac:dyDescent="0.3"/>
    <row r="246" spans="1:21" ht="15.75" customHeight="1" x14ac:dyDescent="0.3"/>
    <row r="247" spans="1:21" ht="15.75" customHeight="1" x14ac:dyDescent="0.3"/>
    <row r="248" spans="1:21" ht="15.75" customHeight="1" x14ac:dyDescent="0.3"/>
    <row r="249" spans="1:21" ht="15.75" customHeight="1" x14ac:dyDescent="0.3"/>
    <row r="250" spans="1:21" ht="15.75" customHeight="1" x14ac:dyDescent="0.3"/>
    <row r="251" spans="1:21" ht="15.75" customHeight="1" x14ac:dyDescent="0.3"/>
    <row r="252" spans="1:21" ht="15.75" customHeight="1" x14ac:dyDescent="0.3"/>
    <row r="253" spans="1:21" ht="15.75" customHeight="1" x14ac:dyDescent="0.3"/>
    <row r="254" spans="1:21" ht="15.75" customHeight="1" x14ac:dyDescent="0.3"/>
    <row r="255" spans="1:21" ht="15.75" customHeight="1" x14ac:dyDescent="0.3"/>
    <row r="256" spans="1:21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1"/>
  <legacyDrawing r:id="rId2"/>
  <tableParts count="2"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F1000"/>
  <sheetViews>
    <sheetView workbookViewId="0">
      <selection activeCell="E5" sqref="E5"/>
    </sheetView>
  </sheetViews>
  <sheetFormatPr defaultColWidth="14.44140625" defaultRowHeight="15" customHeight="1" x14ac:dyDescent="0.3"/>
  <cols>
    <col min="1" max="1" width="8.6640625" customWidth="1"/>
    <col min="2" max="2" width="3.6640625" customWidth="1"/>
    <col min="3" max="3" width="45.44140625" customWidth="1"/>
    <col min="4" max="4" width="8.88671875" customWidth="1"/>
    <col min="5" max="5" width="29.33203125" customWidth="1"/>
    <col min="6" max="6" width="67.5546875" customWidth="1"/>
  </cols>
  <sheetData>
    <row r="1" spans="2:6" ht="13.5" customHeight="1" x14ac:dyDescent="0.3">
      <c r="B1" s="7"/>
      <c r="C1" s="7"/>
      <c r="D1" s="7"/>
      <c r="E1" s="7"/>
      <c r="F1" s="7"/>
    </row>
    <row r="2" spans="2:6" ht="13.5" customHeight="1" x14ac:dyDescent="0.3">
      <c r="B2" s="7"/>
      <c r="C2" s="7"/>
      <c r="D2" s="7"/>
      <c r="E2" s="7"/>
      <c r="F2" s="7"/>
    </row>
    <row r="3" spans="2:6" ht="13.5" customHeight="1" x14ac:dyDescent="0.3">
      <c r="B3" s="7"/>
      <c r="C3" s="14" t="s">
        <v>620</v>
      </c>
      <c r="D3" s="15"/>
      <c r="E3" s="15"/>
      <c r="F3" s="7"/>
    </row>
    <row r="4" spans="2:6" ht="13.5" customHeight="1" x14ac:dyDescent="0.3">
      <c r="B4" s="7"/>
      <c r="C4" s="305" t="s">
        <v>621</v>
      </c>
      <c r="D4" s="305" t="s">
        <v>618</v>
      </c>
      <c r="E4" s="305" t="s">
        <v>622</v>
      </c>
      <c r="F4" s="305" t="s">
        <v>623</v>
      </c>
    </row>
    <row r="5" spans="2:6" ht="13.5" customHeight="1" x14ac:dyDescent="0.3">
      <c r="B5" s="7"/>
      <c r="C5" s="306" t="s">
        <v>259</v>
      </c>
      <c r="D5" s="307" t="s">
        <v>624</v>
      </c>
      <c r="E5" s="308">
        <v>0.1</v>
      </c>
      <c r="F5" s="309" t="s">
        <v>625</v>
      </c>
    </row>
    <row r="6" spans="2:6" ht="13.5" customHeight="1" x14ac:dyDescent="0.3">
      <c r="B6" s="7"/>
      <c r="C6" s="310" t="s">
        <v>626</v>
      </c>
      <c r="D6" s="311" t="s">
        <v>624</v>
      </c>
      <c r="E6" s="312">
        <f>1-E5</f>
        <v>0.9</v>
      </c>
      <c r="F6" s="219"/>
    </row>
    <row r="7" spans="2:6" ht="13.5" customHeight="1" x14ac:dyDescent="0.3">
      <c r="B7" s="7"/>
      <c r="C7" s="310" t="s">
        <v>627</v>
      </c>
      <c r="D7" s="311" t="s">
        <v>10</v>
      </c>
      <c r="E7" s="313">
        <f>'Operating Model'!E283</f>
        <v>0.05</v>
      </c>
      <c r="F7" s="219"/>
    </row>
    <row r="8" spans="2:6" ht="13.5" customHeight="1" x14ac:dyDescent="0.3">
      <c r="B8" s="7"/>
      <c r="C8" s="310" t="s">
        <v>628</v>
      </c>
      <c r="D8" s="311" t="s">
        <v>10</v>
      </c>
      <c r="E8" s="314">
        <v>0.1</v>
      </c>
      <c r="F8" s="219"/>
    </row>
    <row r="9" spans="2:6" ht="13.5" customHeight="1" x14ac:dyDescent="0.3">
      <c r="B9" s="7"/>
      <c r="C9" s="315" t="s">
        <v>629</v>
      </c>
      <c r="D9" s="316" t="s">
        <v>10</v>
      </c>
      <c r="E9" s="323">
        <f>E7*(1-E8)</f>
        <v>4.5000000000000005E-2</v>
      </c>
      <c r="F9" s="219"/>
    </row>
    <row r="10" spans="2:6" ht="13.5" customHeight="1" x14ac:dyDescent="0.3">
      <c r="B10" s="7"/>
      <c r="C10" s="306" t="s">
        <v>630</v>
      </c>
      <c r="D10" s="307" t="s">
        <v>10</v>
      </c>
      <c r="E10" s="317">
        <v>3.9899999999999998E-2</v>
      </c>
      <c r="F10" s="318"/>
    </row>
    <row r="11" spans="2:6" ht="13.5" customHeight="1" x14ac:dyDescent="0.3">
      <c r="B11" s="7"/>
      <c r="C11" s="310" t="s">
        <v>631</v>
      </c>
      <c r="D11" s="311" t="s">
        <v>10</v>
      </c>
      <c r="E11" s="319">
        <v>2.1299999999999999E-2</v>
      </c>
      <c r="F11" s="309" t="s">
        <v>632</v>
      </c>
    </row>
    <row r="12" spans="2:6" ht="13.5" customHeight="1" x14ac:dyDescent="0.3">
      <c r="B12" s="7"/>
      <c r="C12" s="310" t="s">
        <v>633</v>
      </c>
      <c r="D12" s="311" t="s">
        <v>624</v>
      </c>
      <c r="E12" s="312">
        <v>0.52</v>
      </c>
      <c r="F12" s="320"/>
    </row>
    <row r="13" spans="2:6" ht="13.5" customHeight="1" x14ac:dyDescent="0.3">
      <c r="B13" s="7"/>
      <c r="C13" s="310" t="s">
        <v>634</v>
      </c>
      <c r="D13" s="311" t="s">
        <v>10</v>
      </c>
      <c r="E13" s="319">
        <v>6.4600000000000005E-2</v>
      </c>
      <c r="F13" s="309" t="s">
        <v>632</v>
      </c>
    </row>
    <row r="14" spans="2:6" ht="13.5" customHeight="1" x14ac:dyDescent="0.3">
      <c r="B14" s="7"/>
      <c r="C14" s="315" t="s">
        <v>635</v>
      </c>
      <c r="D14" s="316" t="s">
        <v>10</v>
      </c>
      <c r="E14" s="323">
        <f>E10+E11+E12*E13</f>
        <v>9.4792000000000001E-2</v>
      </c>
      <c r="F14" s="321"/>
    </row>
    <row r="15" spans="2:6" ht="13.5" customHeight="1" x14ac:dyDescent="0.3">
      <c r="B15" s="7"/>
      <c r="C15" s="306" t="s">
        <v>636</v>
      </c>
      <c r="D15" s="307" t="s">
        <v>10</v>
      </c>
      <c r="E15" s="317">
        <v>0.124</v>
      </c>
      <c r="F15" s="318"/>
    </row>
    <row r="16" spans="2:6" ht="13.5" customHeight="1" x14ac:dyDescent="0.3">
      <c r="B16" s="7"/>
      <c r="C16" s="324" t="s">
        <v>638</v>
      </c>
      <c r="D16" s="311" t="s">
        <v>10</v>
      </c>
      <c r="E16" s="319">
        <v>0.03</v>
      </c>
      <c r="F16" s="320"/>
    </row>
    <row r="17" spans="2:6" ht="13.5" customHeight="1" x14ac:dyDescent="0.3">
      <c r="B17" s="7"/>
      <c r="C17" s="315" t="s">
        <v>637</v>
      </c>
      <c r="D17" s="316" t="s">
        <v>10</v>
      </c>
      <c r="E17" s="323">
        <f>(1+E14)/(1+E16)*(1+E15)-1</f>
        <v>0.19470505631067958</v>
      </c>
      <c r="F17" s="321"/>
    </row>
    <row r="18" spans="2:6" ht="13.5" customHeight="1" x14ac:dyDescent="0.3">
      <c r="B18" s="7"/>
      <c r="C18" s="96" t="s">
        <v>79</v>
      </c>
      <c r="D18" s="316" t="s">
        <v>10</v>
      </c>
      <c r="E18" s="322">
        <f>E9*E6+E17*E5</f>
        <v>5.9970505631067969E-2</v>
      </c>
      <c r="F18" s="219"/>
    </row>
    <row r="19" spans="2:6" ht="13.5" customHeight="1" x14ac:dyDescent="0.3">
      <c r="B19" s="7"/>
      <c r="C19" s="7"/>
      <c r="D19" s="7"/>
      <c r="E19" s="7"/>
      <c r="F19" s="7"/>
    </row>
    <row r="20" spans="2:6" ht="13.5" customHeight="1" x14ac:dyDescent="0.3">
      <c r="B20" s="7"/>
      <c r="C20" s="7"/>
      <c r="D20" s="7"/>
      <c r="E20" s="7"/>
      <c r="F20" s="7"/>
    </row>
    <row r="21" spans="2:6" ht="13.5" customHeight="1" x14ac:dyDescent="0.3">
      <c r="B21" s="7"/>
      <c r="C21" s="7"/>
      <c r="D21" s="7"/>
      <c r="E21" s="7"/>
      <c r="F21" s="7"/>
    </row>
    <row r="22" spans="2:6" ht="13.5" customHeight="1" x14ac:dyDescent="0.3">
      <c r="B22" s="7"/>
      <c r="C22" s="7"/>
      <c r="D22" s="7"/>
      <c r="E22" s="7"/>
      <c r="F22" s="7"/>
    </row>
    <row r="23" spans="2:6" ht="13.5" customHeight="1" x14ac:dyDescent="0.3">
      <c r="B23" s="7"/>
      <c r="C23" s="7"/>
      <c r="D23" s="7"/>
      <c r="E23" s="7"/>
      <c r="F23" s="7"/>
    </row>
    <row r="24" spans="2:6" ht="13.5" customHeight="1" x14ac:dyDescent="0.3">
      <c r="B24" s="7"/>
      <c r="C24" s="7"/>
      <c r="D24" s="7"/>
      <c r="E24" s="7"/>
      <c r="F24" s="7"/>
    </row>
    <row r="25" spans="2:6" ht="13.5" customHeight="1" x14ac:dyDescent="0.3">
      <c r="B25" s="7"/>
      <c r="C25" s="7"/>
      <c r="D25" s="7"/>
      <c r="E25" s="7"/>
      <c r="F25" s="7"/>
    </row>
    <row r="26" spans="2:6" ht="13.5" customHeight="1" x14ac:dyDescent="0.3">
      <c r="B26" s="7"/>
      <c r="C26" s="7"/>
      <c r="D26" s="7"/>
      <c r="E26" s="7"/>
      <c r="F26" s="7"/>
    </row>
    <row r="27" spans="2:6" ht="13.5" customHeight="1" x14ac:dyDescent="0.3">
      <c r="B27" s="7"/>
      <c r="C27" s="7"/>
      <c r="D27" s="7"/>
      <c r="E27" s="7"/>
      <c r="F27" s="7"/>
    </row>
    <row r="28" spans="2:6" ht="13.5" customHeight="1" x14ac:dyDescent="0.3">
      <c r="B28" s="7"/>
      <c r="C28" s="7"/>
      <c r="D28" s="7"/>
      <c r="E28" s="7"/>
      <c r="F28" s="7"/>
    </row>
    <row r="29" spans="2:6" ht="13.5" customHeight="1" x14ac:dyDescent="0.3">
      <c r="B29" s="7"/>
      <c r="C29" s="7"/>
      <c r="D29" s="7"/>
      <c r="E29" s="7"/>
      <c r="F29" s="7"/>
    </row>
    <row r="30" spans="2:6" ht="13.5" customHeight="1" x14ac:dyDescent="0.3">
      <c r="B30" s="7"/>
      <c r="C30" s="7"/>
      <c r="D30" s="7"/>
      <c r="E30" s="7"/>
      <c r="F30" s="7"/>
    </row>
    <row r="31" spans="2:6" ht="13.5" customHeight="1" x14ac:dyDescent="0.3">
      <c r="B31" s="7"/>
      <c r="C31" s="7"/>
      <c r="D31" s="7"/>
      <c r="E31" s="7"/>
      <c r="F31" s="7"/>
    </row>
    <row r="32" spans="2:6" ht="13.5" customHeight="1" x14ac:dyDescent="0.3">
      <c r="B32" s="7"/>
      <c r="C32" s="7"/>
      <c r="D32" s="7"/>
      <c r="E32" s="7"/>
      <c r="F32" s="7"/>
    </row>
    <row r="33" spans="2:6" ht="13.5" customHeight="1" x14ac:dyDescent="0.3">
      <c r="B33" s="7"/>
      <c r="C33" s="7"/>
      <c r="D33" s="7"/>
      <c r="E33" s="7"/>
      <c r="F33" s="7"/>
    </row>
    <row r="34" spans="2:6" ht="13.5" customHeight="1" x14ac:dyDescent="0.3">
      <c r="B34" s="7"/>
      <c r="C34" s="7"/>
      <c r="D34" s="7"/>
      <c r="E34" s="7"/>
      <c r="F34" s="7"/>
    </row>
    <row r="35" spans="2:6" ht="13.5" customHeight="1" x14ac:dyDescent="0.3">
      <c r="B35" s="7"/>
      <c r="C35" s="7"/>
      <c r="D35" s="7"/>
      <c r="E35" s="7"/>
      <c r="F35" s="7"/>
    </row>
    <row r="36" spans="2:6" ht="13.5" customHeight="1" x14ac:dyDescent="0.3">
      <c r="B36" s="7"/>
      <c r="C36" s="7"/>
      <c r="D36" s="7"/>
      <c r="E36" s="7"/>
      <c r="F36" s="7"/>
    </row>
    <row r="37" spans="2:6" ht="13.5" customHeight="1" x14ac:dyDescent="0.3">
      <c r="B37" s="7"/>
      <c r="C37" s="7"/>
      <c r="D37" s="7"/>
      <c r="E37" s="7"/>
      <c r="F37" s="7"/>
    </row>
    <row r="38" spans="2:6" ht="13.5" customHeight="1" x14ac:dyDescent="0.3">
      <c r="B38" s="7"/>
      <c r="C38" s="7"/>
      <c r="D38" s="7"/>
      <c r="E38" s="7"/>
      <c r="F38" s="7"/>
    </row>
    <row r="39" spans="2:6" ht="13.5" customHeight="1" x14ac:dyDescent="0.3">
      <c r="B39" s="7"/>
      <c r="C39" s="7"/>
      <c r="D39" s="7"/>
      <c r="E39" s="7"/>
      <c r="F39" s="7"/>
    </row>
    <row r="40" spans="2:6" ht="13.5" customHeight="1" x14ac:dyDescent="0.3">
      <c r="B40" s="7"/>
      <c r="C40" s="7"/>
      <c r="D40" s="7"/>
      <c r="E40" s="7"/>
      <c r="F40" s="7"/>
    </row>
    <row r="41" spans="2:6" ht="13.5" customHeight="1" x14ac:dyDescent="0.3">
      <c r="B41" s="7"/>
      <c r="C41" s="7"/>
      <c r="D41" s="7"/>
      <c r="E41" s="7"/>
      <c r="F41" s="7"/>
    </row>
    <row r="42" spans="2:6" ht="13.5" customHeight="1" x14ac:dyDescent="0.3">
      <c r="B42" s="7"/>
      <c r="C42" s="7"/>
      <c r="D42" s="7"/>
      <c r="E42" s="7"/>
      <c r="F42" s="7"/>
    </row>
    <row r="43" spans="2:6" ht="13.5" customHeight="1" x14ac:dyDescent="0.3">
      <c r="B43" s="7"/>
      <c r="C43" s="7"/>
      <c r="D43" s="7"/>
      <c r="E43" s="7"/>
      <c r="F43" s="7"/>
    </row>
    <row r="44" spans="2:6" ht="13.5" customHeight="1" x14ac:dyDescent="0.3">
      <c r="B44" s="7"/>
      <c r="C44" s="7"/>
      <c r="D44" s="7"/>
      <c r="E44" s="7"/>
      <c r="F44" s="7"/>
    </row>
    <row r="45" spans="2:6" ht="13.5" customHeight="1" x14ac:dyDescent="0.3">
      <c r="B45" s="7"/>
      <c r="C45" s="7"/>
      <c r="D45" s="7"/>
      <c r="E45" s="7"/>
      <c r="F45" s="7"/>
    </row>
    <row r="46" spans="2:6" ht="13.5" customHeight="1" x14ac:dyDescent="0.3">
      <c r="B46" s="7"/>
      <c r="C46" s="7"/>
      <c r="D46" s="7"/>
      <c r="E46" s="7"/>
      <c r="F46" s="7"/>
    </row>
    <row r="47" spans="2:6" ht="13.5" customHeight="1" x14ac:dyDescent="0.3">
      <c r="B47" s="7"/>
      <c r="C47" s="7"/>
      <c r="D47" s="7"/>
      <c r="E47" s="7"/>
      <c r="F47" s="7"/>
    </row>
    <row r="48" spans="2:6" ht="13.5" customHeight="1" x14ac:dyDescent="0.3">
      <c r="B48" s="7"/>
      <c r="C48" s="7"/>
      <c r="D48" s="7"/>
      <c r="E48" s="7"/>
      <c r="F48" s="7"/>
    </row>
    <row r="49" spans="2:6" ht="13.5" customHeight="1" x14ac:dyDescent="0.3">
      <c r="B49" s="7"/>
      <c r="C49" s="7"/>
      <c r="D49" s="7"/>
      <c r="E49" s="7"/>
      <c r="F49" s="7"/>
    </row>
    <row r="50" spans="2:6" ht="13.5" customHeight="1" x14ac:dyDescent="0.3">
      <c r="B50" s="7"/>
      <c r="C50" s="7"/>
      <c r="D50" s="7"/>
      <c r="E50" s="7"/>
      <c r="F50" s="7"/>
    </row>
    <row r="51" spans="2:6" ht="13.5" customHeight="1" x14ac:dyDescent="0.3">
      <c r="B51" s="7"/>
      <c r="C51" s="7"/>
      <c r="D51" s="7"/>
      <c r="E51" s="7"/>
      <c r="F51" s="7"/>
    </row>
    <row r="52" spans="2:6" ht="13.5" customHeight="1" x14ac:dyDescent="0.3">
      <c r="B52" s="7"/>
      <c r="C52" s="7"/>
      <c r="D52" s="7"/>
      <c r="E52" s="7"/>
      <c r="F52" s="7"/>
    </row>
    <row r="53" spans="2:6" ht="13.5" customHeight="1" x14ac:dyDescent="0.3">
      <c r="B53" s="7"/>
      <c r="C53" s="7"/>
      <c r="D53" s="7"/>
      <c r="E53" s="7"/>
      <c r="F53" s="7"/>
    </row>
    <row r="54" spans="2:6" ht="13.5" customHeight="1" x14ac:dyDescent="0.3">
      <c r="B54" s="7"/>
      <c r="C54" s="7"/>
      <c r="D54" s="7"/>
      <c r="E54" s="7"/>
      <c r="F54" s="7"/>
    </row>
    <row r="55" spans="2:6" ht="13.5" customHeight="1" x14ac:dyDescent="0.3">
      <c r="B55" s="7"/>
      <c r="C55" s="7"/>
      <c r="D55" s="7"/>
      <c r="E55" s="7"/>
      <c r="F55" s="7"/>
    </row>
    <row r="56" spans="2:6" ht="13.5" customHeight="1" x14ac:dyDescent="0.3">
      <c r="B56" s="7"/>
      <c r="C56" s="7"/>
      <c r="D56" s="7"/>
      <c r="E56" s="7"/>
      <c r="F56" s="7"/>
    </row>
    <row r="57" spans="2:6" ht="13.5" customHeight="1" x14ac:dyDescent="0.3">
      <c r="B57" s="7"/>
      <c r="C57" s="7"/>
      <c r="D57" s="7"/>
      <c r="E57" s="7"/>
      <c r="F57" s="7"/>
    </row>
    <row r="58" spans="2:6" ht="13.5" customHeight="1" x14ac:dyDescent="0.3">
      <c r="B58" s="7"/>
      <c r="C58" s="7"/>
      <c r="D58" s="7"/>
      <c r="E58" s="7"/>
      <c r="F58" s="7"/>
    </row>
    <row r="59" spans="2:6" ht="13.5" customHeight="1" x14ac:dyDescent="0.3">
      <c r="B59" s="7"/>
      <c r="C59" s="7"/>
      <c r="D59" s="7"/>
      <c r="E59" s="7"/>
      <c r="F59" s="7"/>
    </row>
    <row r="60" spans="2:6" ht="13.5" customHeight="1" x14ac:dyDescent="0.3">
      <c r="B60" s="7"/>
      <c r="C60" s="7"/>
      <c r="D60" s="7"/>
      <c r="E60" s="7"/>
      <c r="F60" s="7"/>
    </row>
    <row r="61" spans="2:6" ht="13.5" customHeight="1" x14ac:dyDescent="0.3">
      <c r="B61" s="7"/>
      <c r="C61" s="7"/>
      <c r="D61" s="7"/>
      <c r="E61" s="7"/>
      <c r="F61" s="7"/>
    </row>
    <row r="62" spans="2:6" ht="13.5" customHeight="1" x14ac:dyDescent="0.3">
      <c r="B62" s="7"/>
      <c r="C62" s="7"/>
      <c r="D62" s="7"/>
      <c r="E62" s="7"/>
      <c r="F62" s="7"/>
    </row>
    <row r="63" spans="2:6" ht="13.5" customHeight="1" x14ac:dyDescent="0.3">
      <c r="B63" s="7"/>
      <c r="C63" s="7"/>
      <c r="D63" s="7"/>
      <c r="E63" s="7"/>
      <c r="F63" s="7"/>
    </row>
    <row r="64" spans="2:6" ht="13.5" customHeight="1" x14ac:dyDescent="0.3">
      <c r="B64" s="7"/>
      <c r="C64" s="7"/>
      <c r="D64" s="7"/>
      <c r="E64" s="7"/>
      <c r="F64" s="7"/>
    </row>
    <row r="65" spans="2:6" ht="13.5" customHeight="1" x14ac:dyDescent="0.3">
      <c r="B65" s="7"/>
      <c r="C65" s="7"/>
      <c r="D65" s="7"/>
      <c r="E65" s="7"/>
      <c r="F65" s="7"/>
    </row>
    <row r="66" spans="2:6" ht="13.5" customHeight="1" x14ac:dyDescent="0.3">
      <c r="B66" s="7"/>
      <c r="C66" s="7"/>
      <c r="D66" s="7"/>
      <c r="E66" s="7"/>
      <c r="F66" s="7"/>
    </row>
    <row r="67" spans="2:6" ht="13.5" customHeight="1" x14ac:dyDescent="0.3">
      <c r="B67" s="7"/>
      <c r="C67" s="7"/>
      <c r="D67" s="7"/>
      <c r="E67" s="7"/>
      <c r="F67" s="7"/>
    </row>
    <row r="68" spans="2:6" ht="13.5" customHeight="1" x14ac:dyDescent="0.3">
      <c r="B68" s="7"/>
      <c r="C68" s="7"/>
      <c r="D68" s="7"/>
      <c r="E68" s="7"/>
      <c r="F68" s="7"/>
    </row>
    <row r="69" spans="2:6" ht="13.5" customHeight="1" x14ac:dyDescent="0.3">
      <c r="B69" s="7"/>
      <c r="C69" s="7"/>
      <c r="D69" s="7"/>
      <c r="E69" s="7"/>
      <c r="F69" s="7"/>
    </row>
    <row r="70" spans="2:6" ht="13.5" customHeight="1" x14ac:dyDescent="0.3">
      <c r="B70" s="7"/>
      <c r="C70" s="7"/>
      <c r="D70" s="7"/>
      <c r="E70" s="7"/>
      <c r="F70" s="7"/>
    </row>
    <row r="71" spans="2:6" ht="13.5" customHeight="1" x14ac:dyDescent="0.3">
      <c r="B71" s="7"/>
      <c r="C71" s="7"/>
      <c r="D71" s="7"/>
      <c r="E71" s="7"/>
      <c r="F71" s="7"/>
    </row>
    <row r="72" spans="2:6" ht="13.5" customHeight="1" x14ac:dyDescent="0.3">
      <c r="B72" s="7"/>
      <c r="C72" s="7"/>
      <c r="D72" s="7"/>
      <c r="E72" s="7"/>
      <c r="F72" s="7"/>
    </row>
    <row r="73" spans="2:6" ht="13.5" customHeight="1" x14ac:dyDescent="0.3">
      <c r="B73" s="7"/>
      <c r="C73" s="7"/>
      <c r="D73" s="7"/>
      <c r="E73" s="7"/>
      <c r="F73" s="7"/>
    </row>
    <row r="74" spans="2:6" ht="13.5" customHeight="1" x14ac:dyDescent="0.3">
      <c r="B74" s="7"/>
      <c r="C74" s="7"/>
      <c r="D74" s="7"/>
      <c r="E74" s="7"/>
      <c r="F74" s="7"/>
    </row>
    <row r="75" spans="2:6" ht="13.5" customHeight="1" x14ac:dyDescent="0.3">
      <c r="B75" s="7"/>
      <c r="C75" s="7"/>
      <c r="D75" s="7"/>
      <c r="E75" s="7"/>
      <c r="F75" s="7"/>
    </row>
    <row r="76" spans="2:6" ht="13.5" customHeight="1" x14ac:dyDescent="0.3">
      <c r="B76" s="7"/>
      <c r="C76" s="7"/>
      <c r="D76" s="7"/>
      <c r="E76" s="7"/>
      <c r="F76" s="7"/>
    </row>
    <row r="77" spans="2:6" ht="13.5" customHeight="1" x14ac:dyDescent="0.3">
      <c r="B77" s="7"/>
      <c r="C77" s="7"/>
      <c r="D77" s="7"/>
      <c r="E77" s="7"/>
      <c r="F77" s="7"/>
    </row>
    <row r="78" spans="2:6" ht="13.5" customHeight="1" x14ac:dyDescent="0.3">
      <c r="B78" s="7"/>
      <c r="C78" s="7"/>
      <c r="D78" s="7"/>
      <c r="E78" s="7"/>
      <c r="F78" s="7"/>
    </row>
    <row r="79" spans="2:6" ht="13.5" customHeight="1" x14ac:dyDescent="0.3">
      <c r="B79" s="7"/>
      <c r="C79" s="7"/>
      <c r="D79" s="7"/>
      <c r="E79" s="7"/>
      <c r="F79" s="7"/>
    </row>
    <row r="80" spans="2:6" ht="13.5" customHeight="1" x14ac:dyDescent="0.3">
      <c r="B80" s="7"/>
      <c r="C80" s="7"/>
      <c r="D80" s="7"/>
      <c r="E80" s="7"/>
      <c r="F80" s="7"/>
    </row>
    <row r="81" spans="2:6" ht="13.5" customHeight="1" x14ac:dyDescent="0.3">
      <c r="B81" s="7"/>
      <c r="C81" s="7"/>
      <c r="D81" s="7"/>
      <c r="E81" s="7"/>
      <c r="F81" s="7"/>
    </row>
    <row r="82" spans="2:6" ht="13.5" customHeight="1" x14ac:dyDescent="0.3">
      <c r="B82" s="7"/>
      <c r="C82" s="7"/>
      <c r="D82" s="7"/>
      <c r="E82" s="7"/>
      <c r="F82" s="7"/>
    </row>
    <row r="83" spans="2:6" ht="13.5" customHeight="1" x14ac:dyDescent="0.3">
      <c r="B83" s="7"/>
      <c r="C83" s="7"/>
      <c r="D83" s="7"/>
      <c r="E83" s="7"/>
      <c r="F83" s="7"/>
    </row>
    <row r="84" spans="2:6" ht="13.5" customHeight="1" x14ac:dyDescent="0.3">
      <c r="B84" s="7"/>
      <c r="C84" s="7"/>
      <c r="D84" s="7"/>
      <c r="E84" s="7"/>
      <c r="F84" s="7"/>
    </row>
    <row r="85" spans="2:6" ht="13.5" customHeight="1" x14ac:dyDescent="0.3">
      <c r="B85" s="7"/>
      <c r="C85" s="7"/>
      <c r="D85" s="7"/>
      <c r="E85" s="7"/>
      <c r="F85" s="7"/>
    </row>
    <row r="86" spans="2:6" ht="13.5" customHeight="1" x14ac:dyDescent="0.3">
      <c r="B86" s="7"/>
      <c r="C86" s="7"/>
      <c r="D86" s="7"/>
      <c r="E86" s="7"/>
      <c r="F86" s="7"/>
    </row>
    <row r="87" spans="2:6" ht="13.5" customHeight="1" x14ac:dyDescent="0.3">
      <c r="B87" s="7"/>
      <c r="C87" s="7"/>
      <c r="D87" s="7"/>
      <c r="E87" s="7"/>
      <c r="F87" s="7"/>
    </row>
    <row r="88" spans="2:6" ht="13.5" customHeight="1" x14ac:dyDescent="0.3">
      <c r="B88" s="7"/>
      <c r="C88" s="7"/>
      <c r="D88" s="7"/>
      <c r="E88" s="7"/>
      <c r="F88" s="7"/>
    </row>
    <row r="89" spans="2:6" ht="13.5" customHeight="1" x14ac:dyDescent="0.3">
      <c r="B89" s="7"/>
      <c r="C89" s="7"/>
      <c r="D89" s="7"/>
      <c r="E89" s="7"/>
      <c r="F89" s="7"/>
    </row>
    <row r="90" spans="2:6" ht="13.5" customHeight="1" x14ac:dyDescent="0.3">
      <c r="B90" s="7"/>
      <c r="C90" s="7"/>
      <c r="D90" s="7"/>
      <c r="E90" s="7"/>
      <c r="F90" s="7"/>
    </row>
    <row r="91" spans="2:6" ht="13.5" customHeight="1" x14ac:dyDescent="0.3">
      <c r="B91" s="7"/>
      <c r="C91" s="7"/>
      <c r="D91" s="7"/>
      <c r="E91" s="7"/>
      <c r="F91" s="7"/>
    </row>
    <row r="92" spans="2:6" ht="13.5" customHeight="1" x14ac:dyDescent="0.3">
      <c r="B92" s="7"/>
      <c r="C92" s="7"/>
      <c r="D92" s="7"/>
      <c r="E92" s="7"/>
      <c r="F92" s="7"/>
    </row>
    <row r="93" spans="2:6" ht="13.5" customHeight="1" x14ac:dyDescent="0.3">
      <c r="B93" s="7"/>
      <c r="C93" s="7"/>
      <c r="D93" s="7"/>
      <c r="E93" s="7"/>
      <c r="F93" s="7"/>
    </row>
    <row r="94" spans="2:6" ht="13.5" customHeight="1" x14ac:dyDescent="0.3">
      <c r="B94" s="7"/>
      <c r="C94" s="7"/>
      <c r="D94" s="7"/>
      <c r="E94" s="7"/>
      <c r="F94" s="7"/>
    </row>
    <row r="95" spans="2:6" ht="13.5" customHeight="1" x14ac:dyDescent="0.3">
      <c r="B95" s="7"/>
      <c r="C95" s="7"/>
      <c r="D95" s="7"/>
      <c r="E95" s="7"/>
      <c r="F95" s="7"/>
    </row>
    <row r="96" spans="2:6" ht="13.5" customHeight="1" x14ac:dyDescent="0.3">
      <c r="B96" s="7"/>
      <c r="C96" s="7"/>
      <c r="D96" s="7"/>
      <c r="E96" s="7"/>
      <c r="F96" s="7"/>
    </row>
    <row r="97" spans="2:6" ht="13.5" customHeight="1" x14ac:dyDescent="0.3">
      <c r="B97" s="7"/>
      <c r="C97" s="7"/>
      <c r="D97" s="7"/>
      <c r="E97" s="7"/>
      <c r="F97" s="7"/>
    </row>
    <row r="98" spans="2:6" ht="13.5" customHeight="1" x14ac:dyDescent="0.3">
      <c r="B98" s="7"/>
      <c r="C98" s="7"/>
      <c r="D98" s="7"/>
      <c r="E98" s="7"/>
      <c r="F98" s="7"/>
    </row>
    <row r="99" spans="2:6" ht="13.5" customHeight="1" x14ac:dyDescent="0.3">
      <c r="B99" s="7"/>
      <c r="C99" s="7"/>
      <c r="D99" s="7"/>
      <c r="E99" s="7"/>
      <c r="F99" s="7"/>
    </row>
    <row r="100" spans="2:6" ht="13.5" customHeight="1" x14ac:dyDescent="0.3">
      <c r="B100" s="7"/>
      <c r="C100" s="7"/>
      <c r="D100" s="7"/>
      <c r="E100" s="7"/>
      <c r="F100" s="7"/>
    </row>
    <row r="101" spans="2:6" ht="13.5" customHeight="1" x14ac:dyDescent="0.3">
      <c r="B101" s="7"/>
      <c r="C101" s="7"/>
      <c r="D101" s="7"/>
      <c r="E101" s="7"/>
      <c r="F101" s="7"/>
    </row>
    <row r="102" spans="2:6" ht="13.5" customHeight="1" x14ac:dyDescent="0.3">
      <c r="B102" s="7"/>
      <c r="C102" s="7"/>
      <c r="D102" s="7"/>
      <c r="E102" s="7"/>
      <c r="F102" s="7"/>
    </row>
    <row r="103" spans="2:6" ht="13.5" customHeight="1" x14ac:dyDescent="0.3">
      <c r="B103" s="7"/>
      <c r="C103" s="7"/>
      <c r="D103" s="7"/>
      <c r="E103" s="7"/>
      <c r="F103" s="7"/>
    </row>
    <row r="104" spans="2:6" ht="13.5" customHeight="1" x14ac:dyDescent="0.3">
      <c r="B104" s="7"/>
      <c r="C104" s="7"/>
      <c r="D104" s="7"/>
      <c r="E104" s="7"/>
      <c r="F104" s="7"/>
    </row>
    <row r="105" spans="2:6" ht="13.5" customHeight="1" x14ac:dyDescent="0.3">
      <c r="B105" s="7"/>
      <c r="C105" s="7"/>
      <c r="D105" s="7"/>
      <c r="E105" s="7"/>
      <c r="F105" s="7"/>
    </row>
    <row r="106" spans="2:6" ht="13.5" customHeight="1" x14ac:dyDescent="0.3">
      <c r="B106" s="7"/>
      <c r="C106" s="7"/>
      <c r="D106" s="7"/>
      <c r="E106" s="7"/>
      <c r="F106" s="7"/>
    </row>
    <row r="107" spans="2:6" ht="13.5" customHeight="1" x14ac:dyDescent="0.3">
      <c r="B107" s="7"/>
      <c r="C107" s="7"/>
      <c r="D107" s="7"/>
      <c r="E107" s="7"/>
      <c r="F107" s="7"/>
    </row>
    <row r="108" spans="2:6" ht="13.5" customHeight="1" x14ac:dyDescent="0.3">
      <c r="B108" s="7"/>
      <c r="C108" s="7"/>
      <c r="D108" s="7"/>
      <c r="E108" s="7"/>
      <c r="F108" s="7"/>
    </row>
    <row r="109" spans="2:6" ht="13.5" customHeight="1" x14ac:dyDescent="0.3">
      <c r="B109" s="7"/>
      <c r="C109" s="7"/>
      <c r="D109" s="7"/>
      <c r="E109" s="7"/>
      <c r="F109" s="7"/>
    </row>
    <row r="110" spans="2:6" ht="13.5" customHeight="1" x14ac:dyDescent="0.3">
      <c r="B110" s="7"/>
      <c r="C110" s="7"/>
      <c r="D110" s="7"/>
      <c r="E110" s="7"/>
      <c r="F110" s="7"/>
    </row>
    <row r="111" spans="2:6" ht="13.5" customHeight="1" x14ac:dyDescent="0.3">
      <c r="B111" s="7"/>
      <c r="C111" s="7"/>
      <c r="D111" s="7"/>
      <c r="E111" s="7"/>
      <c r="F111" s="7"/>
    </row>
    <row r="112" spans="2:6" ht="13.5" customHeight="1" x14ac:dyDescent="0.3">
      <c r="B112" s="7"/>
      <c r="C112" s="7"/>
      <c r="D112" s="7"/>
      <c r="E112" s="7"/>
      <c r="F112" s="7"/>
    </row>
    <row r="113" spans="2:6" ht="13.5" customHeight="1" x14ac:dyDescent="0.3">
      <c r="B113" s="7"/>
      <c r="C113" s="7"/>
      <c r="D113" s="7"/>
      <c r="E113" s="7"/>
      <c r="F113" s="7"/>
    </row>
    <row r="114" spans="2:6" ht="13.5" customHeight="1" x14ac:dyDescent="0.3">
      <c r="B114" s="7"/>
      <c r="C114" s="7"/>
      <c r="D114" s="7"/>
      <c r="E114" s="7"/>
      <c r="F114" s="7"/>
    </row>
    <row r="115" spans="2:6" ht="13.5" customHeight="1" x14ac:dyDescent="0.3">
      <c r="B115" s="7"/>
      <c r="C115" s="7"/>
      <c r="D115" s="7"/>
      <c r="E115" s="7"/>
      <c r="F115" s="7"/>
    </row>
    <row r="116" spans="2:6" ht="13.5" customHeight="1" x14ac:dyDescent="0.3">
      <c r="B116" s="7"/>
      <c r="C116" s="7"/>
      <c r="D116" s="7"/>
      <c r="E116" s="7"/>
      <c r="F116" s="7"/>
    </row>
    <row r="117" spans="2:6" ht="13.5" customHeight="1" x14ac:dyDescent="0.3">
      <c r="B117" s="7"/>
      <c r="C117" s="7"/>
      <c r="D117" s="7"/>
      <c r="E117" s="7"/>
      <c r="F117" s="7"/>
    </row>
    <row r="118" spans="2:6" ht="13.5" customHeight="1" x14ac:dyDescent="0.3">
      <c r="B118" s="7"/>
      <c r="C118" s="7"/>
      <c r="D118" s="7"/>
      <c r="E118" s="7"/>
      <c r="F118" s="7"/>
    </row>
    <row r="119" spans="2:6" ht="13.5" customHeight="1" x14ac:dyDescent="0.3">
      <c r="B119" s="7"/>
      <c r="C119" s="7"/>
      <c r="D119" s="7"/>
      <c r="E119" s="7"/>
      <c r="F119" s="7"/>
    </row>
    <row r="120" spans="2:6" ht="13.5" customHeight="1" x14ac:dyDescent="0.3">
      <c r="B120" s="7"/>
      <c r="C120" s="7"/>
      <c r="D120" s="7"/>
      <c r="E120" s="7"/>
      <c r="F120" s="7"/>
    </row>
    <row r="121" spans="2:6" ht="13.5" customHeight="1" x14ac:dyDescent="0.3">
      <c r="B121" s="7"/>
      <c r="C121" s="7"/>
      <c r="D121" s="7"/>
      <c r="E121" s="7"/>
      <c r="F121" s="7"/>
    </row>
    <row r="122" spans="2:6" ht="13.5" customHeight="1" x14ac:dyDescent="0.3">
      <c r="B122" s="7"/>
      <c r="C122" s="7"/>
      <c r="D122" s="7"/>
      <c r="E122" s="7"/>
      <c r="F122" s="7"/>
    </row>
    <row r="123" spans="2:6" ht="13.5" customHeight="1" x14ac:dyDescent="0.3">
      <c r="B123" s="7"/>
      <c r="C123" s="7"/>
      <c r="D123" s="7"/>
      <c r="E123" s="7"/>
      <c r="F123" s="7"/>
    </row>
    <row r="124" spans="2:6" ht="13.5" customHeight="1" x14ac:dyDescent="0.3">
      <c r="B124" s="7"/>
      <c r="C124" s="7"/>
      <c r="D124" s="7"/>
      <c r="E124" s="7"/>
      <c r="F124" s="7"/>
    </row>
    <row r="125" spans="2:6" ht="13.5" customHeight="1" x14ac:dyDescent="0.3">
      <c r="B125" s="7"/>
      <c r="C125" s="7"/>
      <c r="D125" s="7"/>
      <c r="E125" s="7"/>
      <c r="F125" s="7"/>
    </row>
    <row r="126" spans="2:6" ht="13.5" customHeight="1" x14ac:dyDescent="0.3">
      <c r="B126" s="7"/>
      <c r="C126" s="7"/>
      <c r="D126" s="7"/>
      <c r="E126" s="7"/>
      <c r="F126" s="7"/>
    </row>
    <row r="127" spans="2:6" ht="13.5" customHeight="1" x14ac:dyDescent="0.3">
      <c r="B127" s="7"/>
      <c r="C127" s="7"/>
      <c r="D127" s="7"/>
      <c r="E127" s="7"/>
      <c r="F127" s="7"/>
    </row>
    <row r="128" spans="2:6" ht="13.5" customHeight="1" x14ac:dyDescent="0.3">
      <c r="B128" s="7"/>
      <c r="C128" s="7"/>
      <c r="D128" s="7"/>
      <c r="E128" s="7"/>
      <c r="F128" s="7"/>
    </row>
    <row r="129" spans="2:6" ht="13.5" customHeight="1" x14ac:dyDescent="0.3">
      <c r="B129" s="7"/>
      <c r="C129" s="7"/>
      <c r="D129" s="7"/>
      <c r="E129" s="7"/>
      <c r="F129" s="7"/>
    </row>
    <row r="130" spans="2:6" ht="13.5" customHeight="1" x14ac:dyDescent="0.3">
      <c r="B130" s="7"/>
      <c r="C130" s="7"/>
      <c r="D130" s="7"/>
      <c r="E130" s="7"/>
      <c r="F130" s="7"/>
    </row>
    <row r="131" spans="2:6" ht="13.5" customHeight="1" x14ac:dyDescent="0.3">
      <c r="B131" s="7"/>
      <c r="C131" s="7"/>
      <c r="D131" s="7"/>
      <c r="E131" s="7"/>
      <c r="F131" s="7"/>
    </row>
    <row r="132" spans="2:6" ht="13.5" customHeight="1" x14ac:dyDescent="0.3">
      <c r="B132" s="7"/>
      <c r="C132" s="7"/>
      <c r="D132" s="7"/>
      <c r="E132" s="7"/>
      <c r="F132" s="7"/>
    </row>
    <row r="133" spans="2:6" ht="13.5" customHeight="1" x14ac:dyDescent="0.3">
      <c r="B133" s="7"/>
      <c r="C133" s="7"/>
      <c r="D133" s="7"/>
      <c r="E133" s="7"/>
      <c r="F133" s="7"/>
    </row>
    <row r="134" spans="2:6" ht="13.5" customHeight="1" x14ac:dyDescent="0.3">
      <c r="B134" s="7"/>
      <c r="C134" s="7"/>
      <c r="D134" s="7"/>
      <c r="E134" s="7"/>
      <c r="F134" s="7"/>
    </row>
    <row r="135" spans="2:6" ht="13.5" customHeight="1" x14ac:dyDescent="0.3">
      <c r="B135" s="7"/>
      <c r="C135" s="7"/>
      <c r="D135" s="7"/>
      <c r="E135" s="7"/>
      <c r="F135" s="7"/>
    </row>
    <row r="136" spans="2:6" ht="13.5" customHeight="1" x14ac:dyDescent="0.3">
      <c r="B136" s="7"/>
      <c r="C136" s="7"/>
      <c r="D136" s="7"/>
      <c r="E136" s="7"/>
      <c r="F136" s="7"/>
    </row>
    <row r="137" spans="2:6" ht="13.5" customHeight="1" x14ac:dyDescent="0.3">
      <c r="B137" s="7"/>
      <c r="C137" s="7"/>
      <c r="D137" s="7"/>
      <c r="E137" s="7"/>
      <c r="F137" s="7"/>
    </row>
    <row r="138" spans="2:6" ht="13.5" customHeight="1" x14ac:dyDescent="0.3">
      <c r="B138" s="7"/>
      <c r="C138" s="7"/>
      <c r="D138" s="7"/>
      <c r="E138" s="7"/>
      <c r="F138" s="7"/>
    </row>
    <row r="139" spans="2:6" ht="13.5" customHeight="1" x14ac:dyDescent="0.3">
      <c r="B139" s="7"/>
      <c r="C139" s="7"/>
      <c r="D139" s="7"/>
      <c r="E139" s="7"/>
      <c r="F139" s="7"/>
    </row>
    <row r="140" spans="2:6" ht="13.5" customHeight="1" x14ac:dyDescent="0.3">
      <c r="B140" s="7"/>
      <c r="C140" s="7"/>
      <c r="D140" s="7"/>
      <c r="E140" s="7"/>
      <c r="F140" s="7"/>
    </row>
    <row r="141" spans="2:6" ht="13.5" customHeight="1" x14ac:dyDescent="0.3">
      <c r="B141" s="7"/>
      <c r="C141" s="7"/>
      <c r="D141" s="7"/>
      <c r="E141" s="7"/>
      <c r="F141" s="7"/>
    </row>
    <row r="142" spans="2:6" ht="13.5" customHeight="1" x14ac:dyDescent="0.3">
      <c r="B142" s="7"/>
      <c r="C142" s="7"/>
      <c r="D142" s="7"/>
      <c r="E142" s="7"/>
      <c r="F142" s="7"/>
    </row>
    <row r="143" spans="2:6" ht="13.5" customHeight="1" x14ac:dyDescent="0.3">
      <c r="B143" s="7"/>
      <c r="C143" s="7"/>
      <c r="D143" s="7"/>
      <c r="E143" s="7"/>
      <c r="F143" s="7"/>
    </row>
    <row r="144" spans="2:6" ht="13.5" customHeight="1" x14ac:dyDescent="0.3">
      <c r="B144" s="7"/>
      <c r="C144" s="7"/>
      <c r="D144" s="7"/>
      <c r="E144" s="7"/>
      <c r="F144" s="7"/>
    </row>
    <row r="145" spans="2:6" ht="13.5" customHeight="1" x14ac:dyDescent="0.3">
      <c r="B145" s="7"/>
      <c r="C145" s="7"/>
      <c r="D145" s="7"/>
      <c r="E145" s="7"/>
      <c r="F145" s="7"/>
    </row>
    <row r="146" spans="2:6" ht="13.5" customHeight="1" x14ac:dyDescent="0.3">
      <c r="B146" s="7"/>
      <c r="C146" s="7"/>
      <c r="D146" s="7"/>
      <c r="E146" s="7"/>
      <c r="F146" s="7"/>
    </row>
    <row r="147" spans="2:6" ht="13.5" customHeight="1" x14ac:dyDescent="0.3">
      <c r="B147" s="7"/>
      <c r="C147" s="7"/>
      <c r="D147" s="7"/>
      <c r="E147" s="7"/>
      <c r="F147" s="7"/>
    </row>
    <row r="148" spans="2:6" ht="13.5" customHeight="1" x14ac:dyDescent="0.3">
      <c r="B148" s="7"/>
      <c r="C148" s="7"/>
      <c r="D148" s="7"/>
      <c r="E148" s="7"/>
      <c r="F148" s="7"/>
    </row>
    <row r="149" spans="2:6" ht="13.5" customHeight="1" x14ac:dyDescent="0.3">
      <c r="B149" s="7"/>
      <c r="C149" s="7"/>
      <c r="D149" s="7"/>
      <c r="E149" s="7"/>
      <c r="F149" s="7"/>
    </row>
    <row r="150" spans="2:6" ht="13.5" customHeight="1" x14ac:dyDescent="0.3">
      <c r="B150" s="7"/>
      <c r="C150" s="7"/>
      <c r="D150" s="7"/>
      <c r="E150" s="7"/>
      <c r="F150" s="7"/>
    </row>
    <row r="151" spans="2:6" ht="13.5" customHeight="1" x14ac:dyDescent="0.3">
      <c r="B151" s="7"/>
      <c r="C151" s="7"/>
      <c r="D151" s="7"/>
      <c r="E151" s="7"/>
      <c r="F151" s="7"/>
    </row>
    <row r="152" spans="2:6" ht="13.5" customHeight="1" x14ac:dyDescent="0.3">
      <c r="B152" s="7"/>
      <c r="C152" s="7"/>
      <c r="D152" s="7"/>
      <c r="E152" s="7"/>
      <c r="F152" s="7"/>
    </row>
    <row r="153" spans="2:6" ht="13.5" customHeight="1" x14ac:dyDescent="0.3">
      <c r="B153" s="7"/>
      <c r="C153" s="7"/>
      <c r="D153" s="7"/>
      <c r="E153" s="7"/>
      <c r="F153" s="7"/>
    </row>
    <row r="154" spans="2:6" ht="13.5" customHeight="1" x14ac:dyDescent="0.3">
      <c r="B154" s="7"/>
      <c r="C154" s="7"/>
      <c r="D154" s="7"/>
      <c r="E154" s="7"/>
      <c r="F154" s="7"/>
    </row>
    <row r="155" spans="2:6" ht="13.5" customHeight="1" x14ac:dyDescent="0.3">
      <c r="B155" s="7"/>
      <c r="C155" s="7"/>
      <c r="D155" s="7"/>
      <c r="E155" s="7"/>
      <c r="F155" s="7"/>
    </row>
    <row r="156" spans="2:6" ht="13.5" customHeight="1" x14ac:dyDescent="0.3">
      <c r="B156" s="7"/>
      <c r="C156" s="7"/>
      <c r="D156" s="7"/>
      <c r="E156" s="7"/>
      <c r="F156" s="7"/>
    </row>
    <row r="157" spans="2:6" ht="13.5" customHeight="1" x14ac:dyDescent="0.3">
      <c r="B157" s="7"/>
      <c r="C157" s="7"/>
      <c r="D157" s="7"/>
      <c r="E157" s="7"/>
      <c r="F157" s="7"/>
    </row>
    <row r="158" spans="2:6" ht="13.5" customHeight="1" x14ac:dyDescent="0.3">
      <c r="B158" s="7"/>
      <c r="C158" s="7"/>
      <c r="D158" s="7"/>
      <c r="E158" s="7"/>
      <c r="F158" s="7"/>
    </row>
    <row r="159" spans="2:6" ht="13.5" customHeight="1" x14ac:dyDescent="0.3">
      <c r="B159" s="7"/>
      <c r="C159" s="7"/>
      <c r="D159" s="7"/>
      <c r="E159" s="7"/>
      <c r="F159" s="7"/>
    </row>
    <row r="160" spans="2:6" ht="13.5" customHeight="1" x14ac:dyDescent="0.3">
      <c r="B160" s="7"/>
      <c r="C160" s="7"/>
      <c r="D160" s="7"/>
      <c r="E160" s="7"/>
      <c r="F160" s="7"/>
    </row>
    <row r="161" spans="2:6" ht="13.5" customHeight="1" x14ac:dyDescent="0.3">
      <c r="B161" s="7"/>
      <c r="C161" s="7"/>
      <c r="D161" s="7"/>
      <c r="E161" s="7"/>
      <c r="F161" s="7"/>
    </row>
    <row r="162" spans="2:6" ht="13.5" customHeight="1" x14ac:dyDescent="0.3">
      <c r="B162" s="7"/>
      <c r="C162" s="7"/>
      <c r="D162" s="7"/>
      <c r="E162" s="7"/>
      <c r="F162" s="7"/>
    </row>
    <row r="163" spans="2:6" ht="13.5" customHeight="1" x14ac:dyDescent="0.3">
      <c r="B163" s="7"/>
      <c r="C163" s="7"/>
      <c r="D163" s="7"/>
      <c r="E163" s="7"/>
      <c r="F163" s="7"/>
    </row>
    <row r="164" spans="2:6" ht="13.5" customHeight="1" x14ac:dyDescent="0.3">
      <c r="B164" s="7"/>
      <c r="C164" s="7"/>
      <c r="D164" s="7"/>
      <c r="E164" s="7"/>
      <c r="F164" s="7"/>
    </row>
    <row r="165" spans="2:6" ht="13.5" customHeight="1" x14ac:dyDescent="0.3">
      <c r="B165" s="7"/>
      <c r="C165" s="7"/>
      <c r="D165" s="7"/>
      <c r="E165" s="7"/>
      <c r="F165" s="7"/>
    </row>
    <row r="166" spans="2:6" ht="13.5" customHeight="1" x14ac:dyDescent="0.3">
      <c r="B166" s="7"/>
      <c r="C166" s="7"/>
      <c r="D166" s="7"/>
      <c r="E166" s="7"/>
      <c r="F166" s="7"/>
    </row>
    <row r="167" spans="2:6" ht="13.5" customHeight="1" x14ac:dyDescent="0.3">
      <c r="B167" s="7"/>
      <c r="C167" s="7"/>
      <c r="D167" s="7"/>
      <c r="E167" s="7"/>
      <c r="F167" s="7"/>
    </row>
    <row r="168" spans="2:6" ht="13.5" customHeight="1" x14ac:dyDescent="0.3">
      <c r="B168" s="7"/>
      <c r="C168" s="7"/>
      <c r="D168" s="7"/>
      <c r="E168" s="7"/>
      <c r="F168" s="7"/>
    </row>
    <row r="169" spans="2:6" ht="13.5" customHeight="1" x14ac:dyDescent="0.3">
      <c r="B169" s="7"/>
      <c r="C169" s="7"/>
      <c r="D169" s="7"/>
      <c r="E169" s="7"/>
      <c r="F169" s="7"/>
    </row>
    <row r="170" spans="2:6" ht="13.5" customHeight="1" x14ac:dyDescent="0.3">
      <c r="B170" s="7"/>
      <c r="C170" s="7"/>
      <c r="D170" s="7"/>
      <c r="E170" s="7"/>
      <c r="F170" s="7"/>
    </row>
    <row r="171" spans="2:6" ht="13.5" customHeight="1" x14ac:dyDescent="0.3">
      <c r="B171" s="7"/>
      <c r="C171" s="7"/>
      <c r="D171" s="7"/>
      <c r="E171" s="7"/>
      <c r="F171" s="7"/>
    </row>
    <row r="172" spans="2:6" ht="13.5" customHeight="1" x14ac:dyDescent="0.3">
      <c r="B172" s="7"/>
      <c r="C172" s="7"/>
      <c r="D172" s="7"/>
      <c r="E172" s="7"/>
      <c r="F172" s="7"/>
    </row>
    <row r="173" spans="2:6" ht="13.5" customHeight="1" x14ac:dyDescent="0.3">
      <c r="B173" s="7"/>
      <c r="C173" s="7"/>
      <c r="D173" s="7"/>
      <c r="E173" s="7"/>
      <c r="F173" s="7"/>
    </row>
    <row r="174" spans="2:6" ht="13.5" customHeight="1" x14ac:dyDescent="0.3">
      <c r="B174" s="7"/>
      <c r="C174" s="7"/>
      <c r="D174" s="7"/>
      <c r="E174" s="7"/>
      <c r="F174" s="7"/>
    </row>
    <row r="175" spans="2:6" ht="13.5" customHeight="1" x14ac:dyDescent="0.3">
      <c r="B175" s="7"/>
      <c r="C175" s="7"/>
      <c r="D175" s="7"/>
      <c r="E175" s="7"/>
      <c r="F175" s="7"/>
    </row>
    <row r="176" spans="2:6" ht="13.5" customHeight="1" x14ac:dyDescent="0.3">
      <c r="B176" s="7"/>
      <c r="C176" s="7"/>
      <c r="D176" s="7"/>
      <c r="E176" s="7"/>
      <c r="F176" s="7"/>
    </row>
    <row r="177" spans="2:6" ht="13.5" customHeight="1" x14ac:dyDescent="0.3">
      <c r="B177" s="7"/>
      <c r="C177" s="7"/>
      <c r="D177" s="7"/>
      <c r="E177" s="7"/>
      <c r="F177" s="7"/>
    </row>
    <row r="178" spans="2:6" ht="13.5" customHeight="1" x14ac:dyDescent="0.3">
      <c r="B178" s="7"/>
      <c r="C178" s="7"/>
      <c r="D178" s="7"/>
      <c r="E178" s="7"/>
      <c r="F178" s="7"/>
    </row>
    <row r="179" spans="2:6" ht="13.5" customHeight="1" x14ac:dyDescent="0.3">
      <c r="B179" s="7"/>
      <c r="C179" s="7"/>
      <c r="D179" s="7"/>
      <c r="E179" s="7"/>
      <c r="F179" s="7"/>
    </row>
    <row r="180" spans="2:6" ht="13.5" customHeight="1" x14ac:dyDescent="0.3">
      <c r="B180" s="7"/>
      <c r="C180" s="7"/>
      <c r="D180" s="7"/>
      <c r="E180" s="7"/>
      <c r="F180" s="7"/>
    </row>
    <row r="181" spans="2:6" ht="13.5" customHeight="1" x14ac:dyDescent="0.3">
      <c r="B181" s="7"/>
      <c r="C181" s="7"/>
      <c r="D181" s="7"/>
      <c r="E181" s="7"/>
      <c r="F181" s="7"/>
    </row>
    <row r="182" spans="2:6" ht="13.5" customHeight="1" x14ac:dyDescent="0.3">
      <c r="B182" s="7"/>
      <c r="C182" s="7"/>
      <c r="D182" s="7"/>
      <c r="E182" s="7"/>
      <c r="F182" s="7"/>
    </row>
    <row r="183" spans="2:6" ht="13.5" customHeight="1" x14ac:dyDescent="0.3">
      <c r="B183" s="7"/>
      <c r="C183" s="7"/>
      <c r="D183" s="7"/>
      <c r="E183" s="7"/>
      <c r="F183" s="7"/>
    </row>
    <row r="184" spans="2:6" ht="13.5" customHeight="1" x14ac:dyDescent="0.3">
      <c r="B184" s="7"/>
      <c r="C184" s="7"/>
      <c r="D184" s="7"/>
      <c r="E184" s="7"/>
      <c r="F184" s="7"/>
    </row>
    <row r="185" spans="2:6" ht="13.5" customHeight="1" x14ac:dyDescent="0.3">
      <c r="B185" s="7"/>
      <c r="C185" s="7"/>
      <c r="D185" s="7"/>
      <c r="E185" s="7"/>
      <c r="F185" s="7"/>
    </row>
    <row r="186" spans="2:6" ht="13.5" customHeight="1" x14ac:dyDescent="0.3">
      <c r="B186" s="7"/>
      <c r="C186" s="7"/>
      <c r="D186" s="7"/>
      <c r="E186" s="7"/>
      <c r="F186" s="7"/>
    </row>
    <row r="187" spans="2:6" ht="13.5" customHeight="1" x14ac:dyDescent="0.3">
      <c r="B187" s="7"/>
      <c r="C187" s="7"/>
      <c r="D187" s="7"/>
      <c r="E187" s="7"/>
      <c r="F187" s="7"/>
    </row>
    <row r="188" spans="2:6" ht="13.5" customHeight="1" x14ac:dyDescent="0.3">
      <c r="B188" s="7"/>
      <c r="C188" s="7"/>
      <c r="D188" s="7"/>
      <c r="E188" s="7"/>
      <c r="F188" s="7"/>
    </row>
    <row r="189" spans="2:6" ht="13.5" customHeight="1" x14ac:dyDescent="0.3">
      <c r="B189" s="7"/>
      <c r="C189" s="7"/>
      <c r="D189" s="7"/>
      <c r="E189" s="7"/>
      <c r="F189" s="7"/>
    </row>
    <row r="190" spans="2:6" ht="13.5" customHeight="1" x14ac:dyDescent="0.3">
      <c r="B190" s="7"/>
      <c r="C190" s="7"/>
      <c r="D190" s="7"/>
      <c r="E190" s="7"/>
      <c r="F190" s="7"/>
    </row>
    <row r="191" spans="2:6" ht="13.5" customHeight="1" x14ac:dyDescent="0.3">
      <c r="B191" s="7"/>
      <c r="C191" s="7"/>
      <c r="D191" s="7"/>
      <c r="E191" s="7"/>
      <c r="F191" s="7"/>
    </row>
    <row r="192" spans="2:6" ht="13.5" customHeight="1" x14ac:dyDescent="0.3">
      <c r="B192" s="7"/>
      <c r="C192" s="7"/>
      <c r="D192" s="7"/>
      <c r="E192" s="7"/>
      <c r="F192" s="7"/>
    </row>
    <row r="193" spans="2:6" ht="13.5" customHeight="1" x14ac:dyDescent="0.3">
      <c r="B193" s="7"/>
      <c r="C193" s="7"/>
      <c r="D193" s="7"/>
      <c r="E193" s="7"/>
      <c r="F193" s="7"/>
    </row>
    <row r="194" spans="2:6" ht="13.5" customHeight="1" x14ac:dyDescent="0.3">
      <c r="B194" s="7"/>
      <c r="C194" s="7"/>
      <c r="D194" s="7"/>
      <c r="E194" s="7"/>
      <c r="F194" s="7"/>
    </row>
    <row r="195" spans="2:6" ht="13.5" customHeight="1" x14ac:dyDescent="0.3">
      <c r="B195" s="7"/>
      <c r="C195" s="7"/>
      <c r="D195" s="7"/>
      <c r="E195" s="7"/>
      <c r="F195" s="7"/>
    </row>
    <row r="196" spans="2:6" ht="13.5" customHeight="1" x14ac:dyDescent="0.3">
      <c r="B196" s="7"/>
      <c r="C196" s="7"/>
      <c r="D196" s="7"/>
      <c r="E196" s="7"/>
      <c r="F196" s="7"/>
    </row>
    <row r="197" spans="2:6" ht="13.5" customHeight="1" x14ac:dyDescent="0.3">
      <c r="B197" s="7"/>
      <c r="C197" s="7"/>
      <c r="D197" s="7"/>
      <c r="E197" s="7"/>
      <c r="F197" s="7"/>
    </row>
    <row r="198" spans="2:6" ht="13.5" customHeight="1" x14ac:dyDescent="0.3">
      <c r="B198" s="7"/>
      <c r="C198" s="7"/>
      <c r="D198" s="7"/>
      <c r="E198" s="7"/>
      <c r="F198" s="7"/>
    </row>
    <row r="199" spans="2:6" ht="13.5" customHeight="1" x14ac:dyDescent="0.3">
      <c r="B199" s="7"/>
      <c r="C199" s="7"/>
      <c r="D199" s="7"/>
      <c r="E199" s="7"/>
      <c r="F199" s="7"/>
    </row>
    <row r="200" spans="2:6" ht="13.5" customHeight="1" x14ac:dyDescent="0.3">
      <c r="B200" s="7"/>
      <c r="C200" s="7"/>
      <c r="D200" s="7"/>
      <c r="E200" s="7"/>
      <c r="F200" s="7"/>
    </row>
    <row r="201" spans="2:6" ht="13.5" customHeight="1" x14ac:dyDescent="0.3">
      <c r="B201" s="7"/>
      <c r="C201" s="7"/>
      <c r="D201" s="7"/>
      <c r="E201" s="7"/>
      <c r="F201" s="7"/>
    </row>
    <row r="202" spans="2:6" ht="15.75" customHeight="1" x14ac:dyDescent="0.3"/>
    <row r="203" spans="2:6" ht="15.75" customHeight="1" x14ac:dyDescent="0.3"/>
    <row r="204" spans="2:6" ht="15.75" customHeight="1" x14ac:dyDescent="0.3"/>
    <row r="205" spans="2:6" ht="15.75" customHeight="1" x14ac:dyDescent="0.3"/>
    <row r="206" spans="2:6" ht="15.75" customHeight="1" x14ac:dyDescent="0.3"/>
    <row r="207" spans="2:6" ht="15.75" customHeight="1" x14ac:dyDescent="0.3"/>
    <row r="208" spans="2:6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F5" r:id="rId1" xr:uid="{00000000-0004-0000-0A00-000000000000}"/>
    <hyperlink ref="F11" r:id="rId2" xr:uid="{00000000-0004-0000-0A00-000001000000}"/>
    <hyperlink ref="F13" r:id="rId3" xr:uid="{00000000-0004-0000-0A00-000002000000}"/>
  </hyperlinks>
  <pageMargins left="0.7" right="0.7" top="0.75" bottom="0.75" header="0" footer="0"/>
  <pageSetup orientation="landscape" r:id="rId4"/>
  <tableParts count="1"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AD84-374F-4FEA-94B5-4175FD6FB7AA}">
  <dimension ref="A1:N113"/>
  <sheetViews>
    <sheetView topLeftCell="A76" zoomScale="70" zoomScaleNormal="70" workbookViewId="0">
      <selection activeCell="C85" sqref="C85"/>
    </sheetView>
  </sheetViews>
  <sheetFormatPr defaultRowHeight="13.8" x14ac:dyDescent="0.3"/>
  <cols>
    <col min="1" max="1" width="14" customWidth="1"/>
    <col min="2" max="2" width="30" customWidth="1"/>
    <col min="3" max="3" width="22" customWidth="1"/>
    <col min="4" max="4" width="20" customWidth="1"/>
    <col min="5" max="5" width="16" customWidth="1"/>
    <col min="6" max="6" width="18" customWidth="1"/>
    <col min="7" max="8" width="16" customWidth="1"/>
    <col min="9" max="12" width="14" customWidth="1"/>
    <col min="13" max="13" width="4" customWidth="1"/>
    <col min="14" max="14" width="32" customWidth="1"/>
  </cols>
  <sheetData>
    <row r="1" spans="1:14" x14ac:dyDescent="0.3">
      <c r="A1" s="516" t="s">
        <v>781</v>
      </c>
      <c r="B1" s="516"/>
      <c r="C1" s="516"/>
      <c r="D1" s="516"/>
      <c r="E1" s="516"/>
      <c r="F1" s="516"/>
      <c r="G1" s="516"/>
      <c r="H1" s="516"/>
      <c r="I1" s="516"/>
      <c r="J1" s="516"/>
      <c r="K1" s="516"/>
      <c r="L1" s="516"/>
      <c r="M1" s="516"/>
      <c r="N1" s="516"/>
    </row>
    <row r="2" spans="1:14" x14ac:dyDescent="0.3">
      <c r="A2" s="517" t="s">
        <v>782</v>
      </c>
      <c r="B2" s="517"/>
      <c r="C2" s="517"/>
      <c r="D2" s="517"/>
      <c r="E2" s="517"/>
      <c r="F2" s="517"/>
      <c r="G2" s="517"/>
      <c r="H2" s="517"/>
      <c r="I2" s="517"/>
      <c r="J2" s="517"/>
      <c r="K2" s="517"/>
      <c r="L2" s="517"/>
      <c r="M2" s="517"/>
      <c r="N2" s="517"/>
    </row>
    <row r="3" spans="1:14" x14ac:dyDescent="0.3">
      <c r="A3" s="517" t="s">
        <v>783</v>
      </c>
      <c r="B3" s="517"/>
      <c r="C3" s="517"/>
      <c r="D3" s="517"/>
      <c r="E3" s="517"/>
      <c r="F3" s="517"/>
      <c r="G3" s="517"/>
      <c r="H3" s="517"/>
      <c r="I3" s="517"/>
      <c r="J3" s="517"/>
      <c r="K3" s="517"/>
      <c r="L3" s="517"/>
      <c r="M3" s="517"/>
      <c r="N3" s="517"/>
    </row>
    <row r="5" spans="1:14" x14ac:dyDescent="0.3">
      <c r="A5" s="516" t="s">
        <v>784</v>
      </c>
      <c r="B5" s="516"/>
      <c r="C5" s="516"/>
      <c r="D5" s="516"/>
      <c r="E5" s="516"/>
      <c r="F5" s="516"/>
      <c r="G5" s="516"/>
      <c r="H5" s="516"/>
      <c r="I5" s="516"/>
      <c r="J5" s="516"/>
      <c r="K5" s="516"/>
      <c r="L5" s="516"/>
      <c r="M5" s="516"/>
      <c r="N5" s="516"/>
    </row>
    <row r="6" spans="1:14" ht="48" x14ac:dyDescent="0.3">
      <c r="A6" s="518" t="s">
        <v>785</v>
      </c>
      <c r="B6" s="518" t="s">
        <v>761</v>
      </c>
      <c r="C6" s="518" t="s">
        <v>786</v>
      </c>
      <c r="D6" s="518" t="s">
        <v>787</v>
      </c>
      <c r="E6" s="518" t="s">
        <v>788</v>
      </c>
      <c r="F6" s="518" t="s">
        <v>789</v>
      </c>
      <c r="G6" s="518" t="s">
        <v>790</v>
      </c>
      <c r="H6" s="518" t="s">
        <v>791</v>
      </c>
      <c r="I6" s="518" t="s">
        <v>792</v>
      </c>
      <c r="J6" s="518" t="s">
        <v>793</v>
      </c>
      <c r="K6" s="518" t="s">
        <v>794</v>
      </c>
      <c r="L6" s="518" t="s">
        <v>795</v>
      </c>
      <c r="M6" s="518" t="s">
        <v>796</v>
      </c>
      <c r="N6" s="518" t="s">
        <v>797</v>
      </c>
    </row>
    <row r="7" spans="1:14" ht="22.8" x14ac:dyDescent="0.3">
      <c r="A7" s="519" t="s">
        <v>798</v>
      </c>
      <c r="B7" s="519" t="s">
        <v>799</v>
      </c>
      <c r="C7" s="519" t="s">
        <v>800</v>
      </c>
      <c r="D7" s="519" t="s">
        <v>801</v>
      </c>
      <c r="E7" s="519" t="s">
        <v>802</v>
      </c>
      <c r="F7" s="519" t="s">
        <v>803</v>
      </c>
      <c r="G7" s="520">
        <v>8</v>
      </c>
      <c r="H7" s="520">
        <v>3</v>
      </c>
      <c r="I7" s="520">
        <v>3</v>
      </c>
      <c r="J7" s="520">
        <v>4</v>
      </c>
      <c r="K7" s="519" t="s">
        <v>804</v>
      </c>
      <c r="L7" s="519" t="s">
        <v>805</v>
      </c>
      <c r="M7" s="519" t="s">
        <v>804</v>
      </c>
      <c r="N7" s="519" t="s">
        <v>806</v>
      </c>
    </row>
    <row r="8" spans="1:14" ht="22.8" x14ac:dyDescent="0.3">
      <c r="A8" s="519" t="s">
        <v>807</v>
      </c>
      <c r="B8" s="519" t="s">
        <v>808</v>
      </c>
      <c r="C8" s="519" t="s">
        <v>809</v>
      </c>
      <c r="D8" s="519" t="s">
        <v>801</v>
      </c>
      <c r="E8" s="519" t="s">
        <v>802</v>
      </c>
      <c r="F8" s="519" t="s">
        <v>803</v>
      </c>
      <c r="G8" s="520">
        <v>4.5</v>
      </c>
      <c r="H8" s="520">
        <v>3</v>
      </c>
      <c r="I8" s="520">
        <v>3</v>
      </c>
      <c r="J8" s="520">
        <v>4</v>
      </c>
      <c r="K8" s="519" t="s">
        <v>804</v>
      </c>
      <c r="L8" s="519" t="s">
        <v>810</v>
      </c>
      <c r="M8" s="519" t="s">
        <v>804</v>
      </c>
      <c r="N8" s="519" t="s">
        <v>811</v>
      </c>
    </row>
    <row r="9" spans="1:14" ht="22.8" x14ac:dyDescent="0.3">
      <c r="A9" s="519" t="s">
        <v>812</v>
      </c>
      <c r="B9" s="519" t="s">
        <v>813</v>
      </c>
      <c r="C9" s="519" t="s">
        <v>800</v>
      </c>
      <c r="D9" s="519" t="s">
        <v>814</v>
      </c>
      <c r="E9" s="519" t="s">
        <v>815</v>
      </c>
      <c r="F9" s="519" t="s">
        <v>816</v>
      </c>
      <c r="G9" s="520">
        <v>9</v>
      </c>
      <c r="H9" s="520">
        <v>3</v>
      </c>
      <c r="I9" s="520">
        <v>3</v>
      </c>
      <c r="J9" s="520">
        <v>4</v>
      </c>
      <c r="K9" s="519" t="s">
        <v>804</v>
      </c>
      <c r="L9" s="519" t="s">
        <v>805</v>
      </c>
      <c r="M9" s="519" t="s">
        <v>804</v>
      </c>
      <c r="N9" s="519" t="s">
        <v>817</v>
      </c>
    </row>
    <row r="10" spans="1:14" ht="57" x14ac:dyDescent="0.3">
      <c r="A10" s="519" t="s">
        <v>818</v>
      </c>
      <c r="B10" s="519" t="s">
        <v>819</v>
      </c>
      <c r="C10" s="519" t="s">
        <v>820</v>
      </c>
      <c r="D10" s="519" t="s">
        <v>821</v>
      </c>
      <c r="E10" s="519" t="s">
        <v>822</v>
      </c>
      <c r="F10" s="519" t="s">
        <v>820</v>
      </c>
      <c r="G10" s="520">
        <v>9</v>
      </c>
      <c r="H10" s="520">
        <v>3</v>
      </c>
      <c r="I10" s="520">
        <v>3</v>
      </c>
      <c r="J10" s="520">
        <v>4</v>
      </c>
      <c r="K10" s="519" t="s">
        <v>804</v>
      </c>
      <c r="L10" s="519" t="s">
        <v>515</v>
      </c>
      <c r="M10" s="519" t="s">
        <v>823</v>
      </c>
      <c r="N10" s="519" t="s">
        <v>824</v>
      </c>
    </row>
    <row r="11" spans="1:14" ht="22.8" x14ac:dyDescent="0.3">
      <c r="A11" s="519" t="s">
        <v>825</v>
      </c>
      <c r="B11" s="519" t="s">
        <v>826</v>
      </c>
      <c r="C11" s="519" t="s">
        <v>827</v>
      </c>
      <c r="D11" s="519" t="s">
        <v>828</v>
      </c>
      <c r="E11" s="519" t="s">
        <v>802</v>
      </c>
      <c r="F11" s="519" t="s">
        <v>829</v>
      </c>
      <c r="G11" s="520">
        <v>2.5</v>
      </c>
      <c r="H11" s="520">
        <v>2.5</v>
      </c>
      <c r="I11" s="520">
        <v>3</v>
      </c>
      <c r="J11" s="520">
        <v>3.5</v>
      </c>
      <c r="K11" s="519" t="s">
        <v>804</v>
      </c>
      <c r="L11" s="519" t="s">
        <v>830</v>
      </c>
      <c r="M11" s="519" t="s">
        <v>804</v>
      </c>
      <c r="N11" s="519" t="s">
        <v>831</v>
      </c>
    </row>
    <row r="12" spans="1:14" ht="22.8" x14ac:dyDescent="0.3">
      <c r="A12" s="519" t="s">
        <v>832</v>
      </c>
      <c r="B12" s="519" t="s">
        <v>833</v>
      </c>
      <c r="C12" s="519" t="s">
        <v>827</v>
      </c>
      <c r="D12" s="519" t="s">
        <v>834</v>
      </c>
      <c r="E12" s="519" t="s">
        <v>802</v>
      </c>
      <c r="F12" s="519" t="s">
        <v>835</v>
      </c>
      <c r="G12" s="520">
        <v>4</v>
      </c>
      <c r="H12" s="520">
        <v>3</v>
      </c>
      <c r="I12" s="520">
        <v>3</v>
      </c>
      <c r="J12" s="520">
        <v>4</v>
      </c>
      <c r="K12" s="519" t="s">
        <v>836</v>
      </c>
      <c r="L12" s="519" t="s">
        <v>830</v>
      </c>
      <c r="M12" s="519" t="s">
        <v>804</v>
      </c>
      <c r="N12" s="519" t="s">
        <v>837</v>
      </c>
    </row>
    <row r="13" spans="1:14" ht="22.8" x14ac:dyDescent="0.3">
      <c r="A13" s="519" t="s">
        <v>838</v>
      </c>
      <c r="B13" s="519" t="s">
        <v>839</v>
      </c>
      <c r="C13" s="519" t="s">
        <v>800</v>
      </c>
      <c r="D13" s="519" t="s">
        <v>840</v>
      </c>
      <c r="E13" s="519" t="s">
        <v>802</v>
      </c>
      <c r="F13" s="519" t="s">
        <v>841</v>
      </c>
      <c r="G13" s="520">
        <v>9</v>
      </c>
      <c r="H13" s="520">
        <v>3.5</v>
      </c>
      <c r="I13" s="520">
        <v>3</v>
      </c>
      <c r="J13" s="520">
        <v>4</v>
      </c>
      <c r="K13" s="519" t="s">
        <v>842</v>
      </c>
      <c r="L13" s="519" t="s">
        <v>843</v>
      </c>
      <c r="M13" s="519" t="s">
        <v>804</v>
      </c>
      <c r="N13" s="519" t="s">
        <v>844</v>
      </c>
    </row>
    <row r="14" spans="1:14" ht="22.8" x14ac:dyDescent="0.3">
      <c r="A14" s="519" t="s">
        <v>845</v>
      </c>
      <c r="B14" s="519" t="s">
        <v>846</v>
      </c>
      <c r="C14" s="519" t="s">
        <v>847</v>
      </c>
      <c r="D14" s="519" t="s">
        <v>848</v>
      </c>
      <c r="E14" s="519" t="s">
        <v>802</v>
      </c>
      <c r="F14" s="519" t="s">
        <v>849</v>
      </c>
      <c r="G14" s="520">
        <v>8</v>
      </c>
      <c r="H14" s="520" t="s">
        <v>515</v>
      </c>
      <c r="I14" s="520" t="s">
        <v>515</v>
      </c>
      <c r="J14" s="520" t="s">
        <v>515</v>
      </c>
      <c r="K14" s="519" t="s">
        <v>842</v>
      </c>
      <c r="L14" s="519" t="s">
        <v>850</v>
      </c>
      <c r="M14" s="519" t="s">
        <v>804</v>
      </c>
      <c r="N14" s="519" t="s">
        <v>851</v>
      </c>
    </row>
    <row r="15" spans="1:14" x14ac:dyDescent="0.3">
      <c r="A15" s="519" t="s">
        <v>852</v>
      </c>
      <c r="B15" s="519" t="s">
        <v>853</v>
      </c>
      <c r="C15" s="519" t="s">
        <v>847</v>
      </c>
      <c r="D15" s="519" t="s">
        <v>848</v>
      </c>
      <c r="E15" s="519" t="s">
        <v>802</v>
      </c>
      <c r="F15" s="519" t="s">
        <v>849</v>
      </c>
      <c r="G15" s="520">
        <v>20</v>
      </c>
      <c r="H15" s="520" t="s">
        <v>515</v>
      </c>
      <c r="I15" s="520" t="s">
        <v>515</v>
      </c>
      <c r="J15" s="520" t="s">
        <v>515</v>
      </c>
      <c r="K15" s="519" t="s">
        <v>842</v>
      </c>
      <c r="L15" s="519" t="s">
        <v>854</v>
      </c>
      <c r="M15" s="519" t="s">
        <v>804</v>
      </c>
      <c r="N15" s="519" t="s">
        <v>855</v>
      </c>
    </row>
    <row r="16" spans="1:14" ht="22.8" x14ac:dyDescent="0.3">
      <c r="A16" s="519" t="s">
        <v>856</v>
      </c>
      <c r="B16" s="519" t="s">
        <v>857</v>
      </c>
      <c r="C16" s="519" t="s">
        <v>847</v>
      </c>
      <c r="D16" s="519" t="s">
        <v>858</v>
      </c>
      <c r="E16" s="519" t="s">
        <v>802</v>
      </c>
      <c r="F16" s="519" t="s">
        <v>859</v>
      </c>
      <c r="G16" s="520">
        <v>5</v>
      </c>
      <c r="H16" s="520" t="s">
        <v>515</v>
      </c>
      <c r="I16" s="520" t="s">
        <v>515</v>
      </c>
      <c r="J16" s="520" t="s">
        <v>515</v>
      </c>
      <c r="K16" s="519" t="s">
        <v>842</v>
      </c>
      <c r="L16" s="519" t="s">
        <v>850</v>
      </c>
      <c r="M16" s="519" t="s">
        <v>804</v>
      </c>
      <c r="N16" s="519" t="s">
        <v>860</v>
      </c>
    </row>
    <row r="17" spans="1:14" x14ac:dyDescent="0.3">
      <c r="A17" s="519" t="s">
        <v>861</v>
      </c>
      <c r="B17" s="519" t="s">
        <v>862</v>
      </c>
      <c r="C17" s="519" t="s">
        <v>847</v>
      </c>
      <c r="D17" s="519" t="s">
        <v>858</v>
      </c>
      <c r="E17" s="519" t="s">
        <v>802</v>
      </c>
      <c r="F17" s="519" t="s">
        <v>859</v>
      </c>
      <c r="G17" s="520">
        <v>15</v>
      </c>
      <c r="H17" s="520" t="s">
        <v>515</v>
      </c>
      <c r="I17" s="520" t="s">
        <v>515</v>
      </c>
      <c r="J17" s="520" t="s">
        <v>515</v>
      </c>
      <c r="K17" s="519" t="s">
        <v>842</v>
      </c>
      <c r="L17" s="519" t="s">
        <v>854</v>
      </c>
      <c r="M17" s="519" t="s">
        <v>804</v>
      </c>
      <c r="N17" s="519" t="s">
        <v>863</v>
      </c>
    </row>
    <row r="18" spans="1:14" ht="22.8" x14ac:dyDescent="0.3">
      <c r="A18" s="519" t="s">
        <v>864</v>
      </c>
      <c r="B18" s="519" t="s">
        <v>865</v>
      </c>
      <c r="C18" s="519" t="s">
        <v>800</v>
      </c>
      <c r="D18" s="519" t="s">
        <v>866</v>
      </c>
      <c r="E18" s="519" t="s">
        <v>867</v>
      </c>
      <c r="F18" s="519" t="s">
        <v>868</v>
      </c>
      <c r="G18" s="520"/>
      <c r="H18" s="520" t="s">
        <v>515</v>
      </c>
      <c r="I18" s="520">
        <v>3</v>
      </c>
      <c r="J18" s="520" t="s">
        <v>515</v>
      </c>
      <c r="K18" s="519" t="s">
        <v>842</v>
      </c>
      <c r="L18" s="519" t="s">
        <v>843</v>
      </c>
      <c r="M18" s="519" t="s">
        <v>804</v>
      </c>
      <c r="N18" s="519" t="s">
        <v>869</v>
      </c>
    </row>
    <row r="19" spans="1:14" ht="22.8" x14ac:dyDescent="0.3">
      <c r="A19" s="519" t="s">
        <v>870</v>
      </c>
      <c r="B19" s="519" t="s">
        <v>871</v>
      </c>
      <c r="C19" s="519" t="s">
        <v>800</v>
      </c>
      <c r="D19" s="519" t="s">
        <v>872</v>
      </c>
      <c r="E19" s="519" t="s">
        <v>802</v>
      </c>
      <c r="F19" s="519" t="s">
        <v>873</v>
      </c>
      <c r="G19" s="520">
        <v>8</v>
      </c>
      <c r="H19" s="520">
        <v>3</v>
      </c>
      <c r="I19" s="520">
        <v>3</v>
      </c>
      <c r="J19" s="520" t="s">
        <v>515</v>
      </c>
      <c r="K19" s="519" t="s">
        <v>842</v>
      </c>
      <c r="L19" s="519" t="s">
        <v>843</v>
      </c>
      <c r="M19" s="519" t="s">
        <v>804</v>
      </c>
      <c r="N19" s="519" t="s">
        <v>869</v>
      </c>
    </row>
    <row r="20" spans="1:14" x14ac:dyDescent="0.3">
      <c r="A20" s="519" t="s">
        <v>874</v>
      </c>
      <c r="B20" s="519" t="s">
        <v>875</v>
      </c>
      <c r="C20" s="519" t="s">
        <v>876</v>
      </c>
      <c r="D20" s="519" t="s">
        <v>866</v>
      </c>
      <c r="E20" s="519" t="s">
        <v>867</v>
      </c>
      <c r="F20" s="519" t="s">
        <v>877</v>
      </c>
      <c r="G20" s="520"/>
      <c r="H20" s="520" t="s">
        <v>515</v>
      </c>
      <c r="I20" s="520" t="s">
        <v>515</v>
      </c>
      <c r="J20" s="520" t="s">
        <v>515</v>
      </c>
      <c r="K20" s="519" t="s">
        <v>842</v>
      </c>
      <c r="L20" s="519" t="s">
        <v>878</v>
      </c>
      <c r="M20" s="519" t="s">
        <v>804</v>
      </c>
      <c r="N20" s="519" t="s">
        <v>879</v>
      </c>
    </row>
    <row r="21" spans="1:14" ht="22.8" x14ac:dyDescent="0.3">
      <c r="A21" s="519" t="s">
        <v>880</v>
      </c>
      <c r="B21" s="519" t="s">
        <v>881</v>
      </c>
      <c r="C21" s="519" t="s">
        <v>882</v>
      </c>
      <c r="D21" s="519" t="s">
        <v>515</v>
      </c>
      <c r="E21" s="519" t="s">
        <v>883</v>
      </c>
      <c r="F21" s="519" t="s">
        <v>884</v>
      </c>
      <c r="G21" s="520"/>
      <c r="H21" s="520" t="s">
        <v>515</v>
      </c>
      <c r="I21" s="520" t="s">
        <v>515</v>
      </c>
      <c r="J21" s="520" t="s">
        <v>515</v>
      </c>
      <c r="K21" s="519" t="s">
        <v>842</v>
      </c>
      <c r="L21" s="519" t="s">
        <v>810</v>
      </c>
      <c r="M21" s="519" t="s">
        <v>804</v>
      </c>
      <c r="N21" s="519" t="s">
        <v>885</v>
      </c>
    </row>
    <row r="22" spans="1:14" x14ac:dyDescent="0.3">
      <c r="A22" s="519" t="s">
        <v>886</v>
      </c>
      <c r="B22" s="519" t="s">
        <v>887</v>
      </c>
      <c r="C22" s="519" t="s">
        <v>876</v>
      </c>
      <c r="D22" s="519" t="s">
        <v>515</v>
      </c>
      <c r="E22" s="519" t="s">
        <v>888</v>
      </c>
      <c r="F22" s="519" t="s">
        <v>889</v>
      </c>
      <c r="G22" s="520"/>
      <c r="H22" s="520" t="s">
        <v>515</v>
      </c>
      <c r="I22" s="520" t="s">
        <v>515</v>
      </c>
      <c r="J22" s="520" t="s">
        <v>515</v>
      </c>
      <c r="K22" s="519" t="s">
        <v>842</v>
      </c>
      <c r="L22" s="519" t="s">
        <v>890</v>
      </c>
      <c r="M22" s="519" t="s">
        <v>804</v>
      </c>
      <c r="N22" s="519" t="s">
        <v>891</v>
      </c>
    </row>
    <row r="23" spans="1:14" x14ac:dyDescent="0.3">
      <c r="A23" s="519" t="s">
        <v>892</v>
      </c>
      <c r="B23" s="519" t="s">
        <v>893</v>
      </c>
      <c r="C23" s="519" t="s">
        <v>894</v>
      </c>
      <c r="D23" s="519" t="s">
        <v>866</v>
      </c>
      <c r="E23" s="519" t="s">
        <v>895</v>
      </c>
      <c r="F23" s="519" t="s">
        <v>896</v>
      </c>
      <c r="G23" s="520"/>
      <c r="H23" s="520" t="s">
        <v>515</v>
      </c>
      <c r="I23" s="520" t="s">
        <v>515</v>
      </c>
      <c r="J23" s="520" t="s">
        <v>515</v>
      </c>
      <c r="K23" s="519" t="s">
        <v>842</v>
      </c>
      <c r="L23" s="519" t="s">
        <v>515</v>
      </c>
      <c r="M23" s="519" t="s">
        <v>804</v>
      </c>
      <c r="N23" s="519" t="s">
        <v>897</v>
      </c>
    </row>
    <row r="24" spans="1:14" ht="22.8" x14ac:dyDescent="0.3">
      <c r="A24" s="519" t="s">
        <v>898</v>
      </c>
      <c r="B24" s="519" t="s">
        <v>899</v>
      </c>
      <c r="C24" s="519" t="s">
        <v>876</v>
      </c>
      <c r="D24" s="519" t="s">
        <v>515</v>
      </c>
      <c r="E24" s="519" t="s">
        <v>900</v>
      </c>
      <c r="F24" s="519" t="s">
        <v>901</v>
      </c>
      <c r="G24" s="520"/>
      <c r="H24" s="520" t="s">
        <v>515</v>
      </c>
      <c r="I24" s="520" t="s">
        <v>515</v>
      </c>
      <c r="J24" s="520" t="s">
        <v>515</v>
      </c>
      <c r="K24" s="519" t="s">
        <v>842</v>
      </c>
      <c r="L24" s="519" t="s">
        <v>902</v>
      </c>
      <c r="M24" s="519" t="s">
        <v>804</v>
      </c>
      <c r="N24" s="519" t="s">
        <v>903</v>
      </c>
    </row>
    <row r="25" spans="1:14" x14ac:dyDescent="0.3">
      <c r="A25" s="519" t="s">
        <v>904</v>
      </c>
      <c r="B25" s="519" t="s">
        <v>905</v>
      </c>
      <c r="C25" s="519" t="s">
        <v>906</v>
      </c>
      <c r="D25" s="519" t="s">
        <v>515</v>
      </c>
      <c r="E25" s="519" t="s">
        <v>895</v>
      </c>
      <c r="F25" s="519" t="s">
        <v>907</v>
      </c>
      <c r="G25" s="520"/>
      <c r="H25" s="520" t="s">
        <v>515</v>
      </c>
      <c r="I25" s="520" t="s">
        <v>515</v>
      </c>
      <c r="J25" s="520" t="s">
        <v>515</v>
      </c>
      <c r="K25" s="519" t="s">
        <v>842</v>
      </c>
      <c r="L25" s="519" t="s">
        <v>515</v>
      </c>
      <c r="M25" s="519" t="s">
        <v>804</v>
      </c>
      <c r="N25" s="519" t="s">
        <v>869</v>
      </c>
    </row>
    <row r="26" spans="1:14" x14ac:dyDescent="0.3">
      <c r="A26" s="519" t="s">
        <v>908</v>
      </c>
      <c r="B26" s="519" t="s">
        <v>909</v>
      </c>
      <c r="C26" s="519" t="s">
        <v>906</v>
      </c>
      <c r="D26" s="519" t="s">
        <v>515</v>
      </c>
      <c r="E26" s="519" t="s">
        <v>910</v>
      </c>
      <c r="F26" s="519" t="s">
        <v>911</v>
      </c>
      <c r="G26" s="520"/>
      <c r="H26" s="520" t="s">
        <v>515</v>
      </c>
      <c r="I26" s="520" t="s">
        <v>515</v>
      </c>
      <c r="J26" s="520" t="s">
        <v>515</v>
      </c>
      <c r="K26" s="519" t="s">
        <v>842</v>
      </c>
      <c r="L26" s="519" t="s">
        <v>878</v>
      </c>
      <c r="M26" s="519" t="s">
        <v>804</v>
      </c>
      <c r="N26" s="519" t="s">
        <v>912</v>
      </c>
    </row>
    <row r="28" spans="1:14" x14ac:dyDescent="0.3">
      <c r="A28" s="516" t="s">
        <v>913</v>
      </c>
      <c r="B28" s="516"/>
      <c r="C28" s="516"/>
      <c r="D28" s="516"/>
      <c r="E28" s="516"/>
      <c r="F28" s="516"/>
      <c r="G28" s="516"/>
      <c r="H28" s="516"/>
      <c r="I28" s="516"/>
      <c r="J28" s="516"/>
      <c r="K28" s="516"/>
      <c r="L28" s="516"/>
      <c r="M28" s="516"/>
      <c r="N28" s="516"/>
    </row>
    <row r="29" spans="1:14" x14ac:dyDescent="0.3">
      <c r="A29" s="518" t="s">
        <v>785</v>
      </c>
      <c r="B29" s="518" t="s">
        <v>787</v>
      </c>
      <c r="C29" s="518" t="s">
        <v>914</v>
      </c>
      <c r="D29" s="518" t="s">
        <v>915</v>
      </c>
      <c r="E29" s="518" t="s">
        <v>916</v>
      </c>
      <c r="F29" s="518" t="s">
        <v>917</v>
      </c>
      <c r="G29" s="518" t="s">
        <v>918</v>
      </c>
      <c r="H29" s="518" t="s">
        <v>919</v>
      </c>
      <c r="I29" s="518"/>
      <c r="J29" s="518"/>
      <c r="K29" s="518"/>
      <c r="L29" s="518"/>
      <c r="M29" s="518"/>
      <c r="N29" s="518" t="s">
        <v>797</v>
      </c>
    </row>
    <row r="30" spans="1:14" x14ac:dyDescent="0.3">
      <c r="A30" s="519" t="s">
        <v>920</v>
      </c>
      <c r="B30" s="519" t="s">
        <v>921</v>
      </c>
      <c r="C30" s="519" t="s">
        <v>922</v>
      </c>
      <c r="D30" s="520">
        <v>20</v>
      </c>
      <c r="E30" s="520">
        <v>6</v>
      </c>
      <c r="F30" s="520">
        <v>10</v>
      </c>
      <c r="G30" s="519" t="s">
        <v>923</v>
      </c>
      <c r="H30" s="519" t="s">
        <v>804</v>
      </c>
      <c r="I30" s="519"/>
      <c r="J30" s="519"/>
      <c r="K30" s="519"/>
      <c r="L30" s="519"/>
      <c r="M30" s="519"/>
      <c r="N30" s="519" t="s">
        <v>924</v>
      </c>
    </row>
    <row r="31" spans="1:14" x14ac:dyDescent="0.3">
      <c r="A31" s="519" t="s">
        <v>925</v>
      </c>
      <c r="B31" s="519" t="s">
        <v>921</v>
      </c>
      <c r="C31" s="519" t="s">
        <v>926</v>
      </c>
      <c r="D31" s="520">
        <v>22.5</v>
      </c>
      <c r="E31" s="520">
        <v>20</v>
      </c>
      <c r="F31" s="520">
        <v>25</v>
      </c>
      <c r="G31" s="519" t="s">
        <v>923</v>
      </c>
      <c r="H31" s="519" t="s">
        <v>804</v>
      </c>
      <c r="I31" s="519"/>
      <c r="J31" s="519"/>
      <c r="K31" s="519"/>
      <c r="L31" s="519"/>
      <c r="M31" s="519"/>
      <c r="N31" s="519" t="s">
        <v>927</v>
      </c>
    </row>
    <row r="32" spans="1:14" x14ac:dyDescent="0.3">
      <c r="A32" s="519" t="s">
        <v>928</v>
      </c>
      <c r="B32" s="519" t="s">
        <v>929</v>
      </c>
      <c r="C32" s="519" t="s">
        <v>922</v>
      </c>
      <c r="D32" s="520">
        <v>5</v>
      </c>
      <c r="E32" s="520">
        <v>4</v>
      </c>
      <c r="F32" s="520">
        <v>6</v>
      </c>
      <c r="G32" s="519" t="s">
        <v>923</v>
      </c>
      <c r="H32" s="519" t="s">
        <v>804</v>
      </c>
      <c r="I32" s="519"/>
      <c r="J32" s="519"/>
      <c r="K32" s="519"/>
      <c r="L32" s="519"/>
      <c r="M32" s="519"/>
      <c r="N32" s="519"/>
    </row>
    <row r="33" spans="1:14" x14ac:dyDescent="0.3">
      <c r="A33" s="519" t="s">
        <v>930</v>
      </c>
      <c r="B33" s="519" t="s">
        <v>929</v>
      </c>
      <c r="C33" s="519" t="s">
        <v>926</v>
      </c>
      <c r="D33" s="520">
        <v>15</v>
      </c>
      <c r="E33" s="520">
        <v>12</v>
      </c>
      <c r="F33" s="520">
        <v>18</v>
      </c>
      <c r="G33" s="519" t="s">
        <v>923</v>
      </c>
      <c r="H33" s="519" t="s">
        <v>804</v>
      </c>
      <c r="I33" s="519"/>
      <c r="J33" s="519"/>
      <c r="K33" s="519"/>
      <c r="L33" s="519"/>
      <c r="M33" s="519"/>
      <c r="N33" s="519"/>
    </row>
    <row r="34" spans="1:14" x14ac:dyDescent="0.3">
      <c r="A34" s="519" t="s">
        <v>931</v>
      </c>
      <c r="B34" s="519" t="s">
        <v>932</v>
      </c>
      <c r="C34" s="519" t="s">
        <v>922</v>
      </c>
      <c r="D34" s="520">
        <v>5</v>
      </c>
      <c r="E34" s="520">
        <v>4</v>
      </c>
      <c r="F34" s="520">
        <v>7</v>
      </c>
      <c r="G34" s="519" t="s">
        <v>933</v>
      </c>
      <c r="H34" s="519" t="s">
        <v>804</v>
      </c>
      <c r="I34" s="519"/>
      <c r="J34" s="519"/>
      <c r="K34" s="519"/>
      <c r="L34" s="519"/>
      <c r="M34" s="519"/>
      <c r="N34" s="519"/>
    </row>
    <row r="35" spans="1:14" x14ac:dyDescent="0.3">
      <c r="A35" s="519" t="s">
        <v>934</v>
      </c>
      <c r="B35" s="519" t="s">
        <v>932</v>
      </c>
      <c r="C35" s="519" t="s">
        <v>926</v>
      </c>
      <c r="D35" s="520">
        <v>15</v>
      </c>
      <c r="E35" s="520">
        <v>12</v>
      </c>
      <c r="F35" s="520">
        <v>20</v>
      </c>
      <c r="G35" s="519" t="s">
        <v>933</v>
      </c>
      <c r="H35" s="519" t="s">
        <v>804</v>
      </c>
      <c r="I35" s="519"/>
      <c r="J35" s="519"/>
      <c r="K35" s="519"/>
      <c r="L35" s="519"/>
      <c r="M35" s="519"/>
      <c r="N35" s="519"/>
    </row>
    <row r="36" spans="1:14" x14ac:dyDescent="0.3">
      <c r="A36" s="519" t="s">
        <v>935</v>
      </c>
      <c r="B36" s="519" t="s">
        <v>57</v>
      </c>
      <c r="C36" s="519" t="s">
        <v>922</v>
      </c>
      <c r="D36" s="520">
        <v>25</v>
      </c>
      <c r="E36" s="520">
        <v>8</v>
      </c>
      <c r="F36" s="520">
        <v>12</v>
      </c>
      <c r="G36" s="519" t="s">
        <v>933</v>
      </c>
      <c r="H36" s="519" t="s">
        <v>804</v>
      </c>
      <c r="I36" s="519"/>
      <c r="J36" s="519"/>
      <c r="K36" s="519"/>
      <c r="L36" s="519"/>
      <c r="M36" s="519"/>
      <c r="N36" s="519" t="s">
        <v>936</v>
      </c>
    </row>
    <row r="37" spans="1:14" x14ac:dyDescent="0.3">
      <c r="A37" s="519" t="s">
        <v>937</v>
      </c>
      <c r="B37" s="519" t="s">
        <v>938</v>
      </c>
      <c r="C37" s="519" t="s">
        <v>926</v>
      </c>
      <c r="D37" s="520">
        <v>8</v>
      </c>
      <c r="E37" s="520">
        <v>5</v>
      </c>
      <c r="F37" s="520">
        <v>10</v>
      </c>
      <c r="G37" s="519" t="s">
        <v>933</v>
      </c>
      <c r="H37" s="519" t="s">
        <v>804</v>
      </c>
      <c r="I37" s="519"/>
      <c r="J37" s="519"/>
      <c r="K37" s="519"/>
      <c r="L37" s="519"/>
      <c r="M37" s="519"/>
      <c r="N37" s="519"/>
    </row>
    <row r="39" spans="1:14" x14ac:dyDescent="0.3">
      <c r="A39" s="516" t="s">
        <v>939</v>
      </c>
      <c r="B39" s="516"/>
      <c r="C39" s="516"/>
      <c r="D39" s="516"/>
      <c r="E39" s="516"/>
      <c r="F39" s="516"/>
      <c r="G39" s="516"/>
      <c r="H39" s="516"/>
      <c r="I39" s="516"/>
      <c r="J39" s="516"/>
      <c r="K39" s="516"/>
      <c r="L39" s="516"/>
      <c r="M39" s="516"/>
      <c r="N39" s="516"/>
    </row>
    <row r="40" spans="1:14" x14ac:dyDescent="0.3">
      <c r="A40" s="518" t="s">
        <v>785</v>
      </c>
      <c r="B40" s="518" t="s">
        <v>761</v>
      </c>
      <c r="C40" s="518" t="s">
        <v>940</v>
      </c>
      <c r="D40" s="518" t="s">
        <v>941</v>
      </c>
      <c r="E40" s="518" t="s">
        <v>942</v>
      </c>
      <c r="F40" s="518" t="s">
        <v>943</v>
      </c>
      <c r="G40" s="518" t="s">
        <v>944</v>
      </c>
      <c r="H40" s="518" t="s">
        <v>945</v>
      </c>
      <c r="I40" s="518" t="s">
        <v>946</v>
      </c>
      <c r="J40" s="518" t="s">
        <v>947</v>
      </c>
      <c r="K40" s="518" t="s">
        <v>948</v>
      </c>
      <c r="L40" s="518" t="s">
        <v>919</v>
      </c>
      <c r="M40" s="518"/>
      <c r="N40" s="518" t="s">
        <v>797</v>
      </c>
    </row>
    <row r="41" spans="1:14" ht="22.8" x14ac:dyDescent="0.3">
      <c r="A41" s="519" t="s">
        <v>949</v>
      </c>
      <c r="B41" s="519" t="s">
        <v>768</v>
      </c>
      <c r="C41" s="519" t="s">
        <v>950</v>
      </c>
      <c r="D41" s="520">
        <v>25</v>
      </c>
      <c r="E41" s="520">
        <v>30</v>
      </c>
      <c r="F41" s="520">
        <v>1</v>
      </c>
      <c r="G41" s="520">
        <v>1</v>
      </c>
      <c r="H41" s="520">
        <v>1</v>
      </c>
      <c r="I41" s="519" t="s">
        <v>804</v>
      </c>
      <c r="J41" s="519" t="s">
        <v>842</v>
      </c>
      <c r="K41" s="519" t="s">
        <v>842</v>
      </c>
      <c r="L41" s="519" t="s">
        <v>804</v>
      </c>
      <c r="M41" s="519"/>
      <c r="N41" s="519" t="s">
        <v>951</v>
      </c>
    </row>
    <row r="42" spans="1:14" ht="22.8" x14ac:dyDescent="0.3">
      <c r="A42" s="519" t="s">
        <v>878</v>
      </c>
      <c r="B42" s="519" t="s">
        <v>770</v>
      </c>
      <c r="C42" s="519" t="s">
        <v>952</v>
      </c>
      <c r="D42" s="520">
        <v>15</v>
      </c>
      <c r="E42" s="520">
        <v>20</v>
      </c>
      <c r="F42" s="520">
        <v>0</v>
      </c>
      <c r="G42" s="520">
        <v>0.5</v>
      </c>
      <c r="H42" s="520">
        <v>0.7</v>
      </c>
      <c r="I42" s="519" t="s">
        <v>842</v>
      </c>
      <c r="J42" s="519" t="s">
        <v>804</v>
      </c>
      <c r="K42" s="519" t="s">
        <v>804</v>
      </c>
      <c r="L42" s="519" t="s">
        <v>804</v>
      </c>
      <c r="M42" s="519"/>
      <c r="N42" s="519" t="s">
        <v>953</v>
      </c>
    </row>
    <row r="43" spans="1:14" ht="22.8" x14ac:dyDescent="0.3">
      <c r="A43" s="519" t="s">
        <v>954</v>
      </c>
      <c r="B43" s="519" t="s">
        <v>774</v>
      </c>
      <c r="C43" s="519" t="s">
        <v>955</v>
      </c>
      <c r="D43" s="520">
        <v>35</v>
      </c>
      <c r="E43" s="520">
        <v>25</v>
      </c>
      <c r="F43" s="520">
        <v>0.5</v>
      </c>
      <c r="G43" s="520">
        <v>0.8</v>
      </c>
      <c r="H43" s="520">
        <v>0.9</v>
      </c>
      <c r="I43" s="519" t="s">
        <v>956</v>
      </c>
      <c r="J43" s="519" t="s">
        <v>804</v>
      </c>
      <c r="K43" s="519" t="s">
        <v>842</v>
      </c>
      <c r="L43" s="519" t="s">
        <v>804</v>
      </c>
      <c r="M43" s="519"/>
      <c r="N43" s="519" t="s">
        <v>957</v>
      </c>
    </row>
    <row r="44" spans="1:14" ht="22.8" x14ac:dyDescent="0.3">
      <c r="A44" s="519" t="s">
        <v>958</v>
      </c>
      <c r="B44" s="519" t="s">
        <v>775</v>
      </c>
      <c r="C44" s="519" t="s">
        <v>959</v>
      </c>
      <c r="D44" s="520">
        <v>50</v>
      </c>
      <c r="E44" s="520">
        <v>50</v>
      </c>
      <c r="F44" s="520">
        <v>1</v>
      </c>
      <c r="G44" s="520">
        <v>1</v>
      </c>
      <c r="H44" s="520">
        <v>1.2</v>
      </c>
      <c r="I44" s="519" t="s">
        <v>804</v>
      </c>
      <c r="J44" s="519" t="s">
        <v>842</v>
      </c>
      <c r="K44" s="519" t="s">
        <v>842</v>
      </c>
      <c r="L44" s="519" t="s">
        <v>804</v>
      </c>
      <c r="M44" s="519"/>
      <c r="N44" s="519" t="s">
        <v>960</v>
      </c>
    </row>
    <row r="45" spans="1:14" ht="22.8" x14ac:dyDescent="0.3">
      <c r="A45" s="519" t="s">
        <v>961</v>
      </c>
      <c r="B45" s="519" t="s">
        <v>962</v>
      </c>
      <c r="C45" s="519" t="s">
        <v>963</v>
      </c>
      <c r="D45" s="520">
        <v>12</v>
      </c>
      <c r="E45" s="520">
        <v>30</v>
      </c>
      <c r="F45" s="520">
        <v>0</v>
      </c>
      <c r="G45" s="520">
        <v>1</v>
      </c>
      <c r="H45" s="520">
        <v>1</v>
      </c>
      <c r="I45" s="519" t="s">
        <v>842</v>
      </c>
      <c r="J45" s="519" t="s">
        <v>842</v>
      </c>
      <c r="K45" s="519" t="s">
        <v>804</v>
      </c>
      <c r="L45" s="519" t="s">
        <v>804</v>
      </c>
      <c r="M45" s="519"/>
      <c r="N45" s="519" t="s">
        <v>964</v>
      </c>
    </row>
    <row r="46" spans="1:14" x14ac:dyDescent="0.3">
      <c r="A46" s="519" t="s">
        <v>965</v>
      </c>
      <c r="B46" s="519" t="s">
        <v>966</v>
      </c>
      <c r="C46" s="519" t="s">
        <v>967</v>
      </c>
      <c r="D46" s="520">
        <v>5</v>
      </c>
      <c r="E46" s="520">
        <v>10</v>
      </c>
      <c r="F46" s="520">
        <v>0</v>
      </c>
      <c r="G46" s="520">
        <v>1</v>
      </c>
      <c r="H46" s="520">
        <v>0.8</v>
      </c>
      <c r="I46" s="519" t="s">
        <v>842</v>
      </c>
      <c r="J46" s="519" t="s">
        <v>842</v>
      </c>
      <c r="K46" s="519" t="s">
        <v>804</v>
      </c>
      <c r="L46" s="519" t="s">
        <v>804</v>
      </c>
      <c r="M46" s="519"/>
      <c r="N46" s="519" t="s">
        <v>968</v>
      </c>
    </row>
    <row r="47" spans="1:14" x14ac:dyDescent="0.3">
      <c r="A47" s="519" t="s">
        <v>854</v>
      </c>
      <c r="B47" s="519" t="s">
        <v>969</v>
      </c>
      <c r="C47" s="519" t="s">
        <v>970</v>
      </c>
      <c r="D47" s="520">
        <v>2</v>
      </c>
      <c r="E47" s="520">
        <v>5</v>
      </c>
      <c r="F47" s="520">
        <v>0</v>
      </c>
      <c r="G47" s="520">
        <v>0.6</v>
      </c>
      <c r="H47" s="520">
        <v>0.5</v>
      </c>
      <c r="I47" s="519" t="s">
        <v>842</v>
      </c>
      <c r="J47" s="519" t="s">
        <v>842</v>
      </c>
      <c r="K47" s="519" t="s">
        <v>804</v>
      </c>
      <c r="L47" s="519" t="s">
        <v>804</v>
      </c>
      <c r="M47" s="519"/>
      <c r="N47" s="519" t="s">
        <v>971</v>
      </c>
    </row>
    <row r="48" spans="1:14" x14ac:dyDescent="0.3">
      <c r="A48" s="519" t="s">
        <v>890</v>
      </c>
      <c r="B48" s="519" t="s">
        <v>972</v>
      </c>
      <c r="C48" s="519" t="s">
        <v>973</v>
      </c>
      <c r="D48" s="520">
        <v>18</v>
      </c>
      <c r="E48" s="520">
        <v>30</v>
      </c>
      <c r="F48" s="520">
        <v>0</v>
      </c>
      <c r="G48" s="520">
        <v>1</v>
      </c>
      <c r="H48" s="520">
        <v>1.1000000000000001</v>
      </c>
      <c r="I48" s="519" t="s">
        <v>842</v>
      </c>
      <c r="J48" s="519" t="s">
        <v>842</v>
      </c>
      <c r="K48" s="519" t="s">
        <v>804</v>
      </c>
      <c r="L48" s="519" t="s">
        <v>804</v>
      </c>
      <c r="M48" s="519"/>
      <c r="N48" s="519" t="s">
        <v>974</v>
      </c>
    </row>
    <row r="49" spans="1:14" x14ac:dyDescent="0.3">
      <c r="A49" s="521"/>
      <c r="B49" s="521"/>
      <c r="C49" s="521"/>
      <c r="D49" s="521"/>
      <c r="E49" s="521"/>
      <c r="F49" s="521"/>
      <c r="G49" s="521"/>
      <c r="H49" s="521"/>
      <c r="I49" s="521"/>
      <c r="J49" s="521"/>
      <c r="K49" s="521"/>
      <c r="L49" s="521"/>
      <c r="M49" s="521"/>
      <c r="N49" s="521"/>
    </row>
    <row r="50" spans="1:14" x14ac:dyDescent="0.3">
      <c r="A50" s="521"/>
      <c r="B50" s="521"/>
      <c r="C50" s="521"/>
      <c r="D50" s="521"/>
      <c r="E50" s="521"/>
      <c r="F50" s="521"/>
      <c r="G50" s="521"/>
      <c r="H50" s="521"/>
      <c r="I50" s="521"/>
      <c r="J50" s="521"/>
      <c r="K50" s="521"/>
      <c r="L50" s="521"/>
      <c r="M50" s="521"/>
      <c r="N50" s="521"/>
    </row>
    <row r="52" spans="1:14" x14ac:dyDescent="0.3">
      <c r="A52" s="516" t="s">
        <v>975</v>
      </c>
      <c r="B52" s="516"/>
      <c r="C52" s="516"/>
      <c r="D52" s="516"/>
      <c r="E52" s="516"/>
      <c r="F52" s="516"/>
      <c r="G52" s="516"/>
      <c r="H52" s="516"/>
      <c r="I52" s="516"/>
      <c r="J52" s="516"/>
      <c r="K52" s="516"/>
      <c r="L52" s="516"/>
      <c r="M52" s="516"/>
      <c r="N52" s="516"/>
    </row>
    <row r="53" spans="1:14" ht="24" x14ac:dyDescent="0.3">
      <c r="A53" s="518" t="s">
        <v>785</v>
      </c>
      <c r="B53" s="518" t="s">
        <v>761</v>
      </c>
      <c r="C53" s="518" t="s">
        <v>976</v>
      </c>
      <c r="D53" s="518" t="s">
        <v>977</v>
      </c>
      <c r="E53" s="518" t="s">
        <v>978</v>
      </c>
      <c r="F53" s="518" t="s">
        <v>979</v>
      </c>
      <c r="G53" s="518" t="s">
        <v>980</v>
      </c>
      <c r="H53" s="518" t="s">
        <v>981</v>
      </c>
      <c r="I53" s="518" t="s">
        <v>982</v>
      </c>
      <c r="J53" s="518" t="s">
        <v>983</v>
      </c>
      <c r="K53" s="518"/>
      <c r="L53" s="518"/>
      <c r="M53" s="518"/>
      <c r="N53" s="518" t="s">
        <v>797</v>
      </c>
    </row>
    <row r="54" spans="1:14" ht="34.200000000000003" x14ac:dyDescent="0.3">
      <c r="A54" s="519" t="s">
        <v>984</v>
      </c>
      <c r="B54" s="519" t="s">
        <v>985</v>
      </c>
      <c r="C54" s="519" t="s">
        <v>986</v>
      </c>
      <c r="D54" s="519" t="s">
        <v>987</v>
      </c>
      <c r="E54" s="520" t="s">
        <v>988</v>
      </c>
      <c r="F54" s="520" t="s">
        <v>989</v>
      </c>
      <c r="G54" s="520" t="s">
        <v>989</v>
      </c>
      <c r="H54" s="519" t="s">
        <v>990</v>
      </c>
      <c r="I54" s="519" t="s">
        <v>991</v>
      </c>
      <c r="J54" s="519" t="s">
        <v>992</v>
      </c>
      <c r="K54" s="519"/>
      <c r="L54" s="519"/>
      <c r="M54" s="519"/>
      <c r="N54" s="519" t="s">
        <v>993</v>
      </c>
    </row>
    <row r="55" spans="1:14" ht="22.8" x14ac:dyDescent="0.3">
      <c r="A55" s="519" t="s">
        <v>994</v>
      </c>
      <c r="B55" s="519" t="s">
        <v>995</v>
      </c>
      <c r="C55" s="519" t="s">
        <v>996</v>
      </c>
      <c r="D55" s="519" t="s">
        <v>997</v>
      </c>
      <c r="E55" s="520" t="s">
        <v>998</v>
      </c>
      <c r="F55" s="520" t="s">
        <v>999</v>
      </c>
      <c r="G55" s="520" t="s">
        <v>999</v>
      </c>
      <c r="H55" s="519" t="s">
        <v>1000</v>
      </c>
      <c r="I55" s="519" t="s">
        <v>1001</v>
      </c>
      <c r="J55" s="519" t="s">
        <v>1002</v>
      </c>
      <c r="K55" s="519"/>
      <c r="L55" s="519"/>
      <c r="M55" s="519"/>
      <c r="N55" s="519" t="s">
        <v>1003</v>
      </c>
    </row>
    <row r="57" spans="1:14" x14ac:dyDescent="0.3">
      <c r="A57" s="516" t="s">
        <v>1004</v>
      </c>
      <c r="B57" s="516"/>
      <c r="C57" s="516"/>
      <c r="D57" s="516"/>
      <c r="E57" s="516"/>
      <c r="F57" s="516"/>
      <c r="G57" s="516"/>
      <c r="H57" s="516"/>
      <c r="I57" s="516"/>
      <c r="J57" s="516"/>
      <c r="K57" s="516"/>
      <c r="L57" s="516"/>
      <c r="M57" s="516"/>
      <c r="N57" s="516"/>
    </row>
    <row r="58" spans="1:14" ht="24" x14ac:dyDescent="0.3">
      <c r="A58" s="518" t="s">
        <v>1005</v>
      </c>
      <c r="B58" s="518" t="s">
        <v>1006</v>
      </c>
      <c r="C58" s="518" t="s">
        <v>1007</v>
      </c>
      <c r="D58" s="518" t="s">
        <v>1008</v>
      </c>
      <c r="E58" s="518" t="s">
        <v>1009</v>
      </c>
      <c r="F58" s="518" t="s">
        <v>1010</v>
      </c>
      <c r="G58" s="518" t="s">
        <v>1011</v>
      </c>
      <c r="H58" s="518" t="s">
        <v>1012</v>
      </c>
      <c r="I58" s="518" t="s">
        <v>1013</v>
      </c>
      <c r="J58" s="518" t="s">
        <v>1014</v>
      </c>
      <c r="K58" s="518" t="s">
        <v>1015</v>
      </c>
      <c r="L58" s="518" t="s">
        <v>1016</v>
      </c>
      <c r="M58" s="518"/>
      <c r="N58" s="518" t="s">
        <v>797</v>
      </c>
    </row>
    <row r="59" spans="1:14" x14ac:dyDescent="0.3">
      <c r="A59" s="519" t="s">
        <v>1017</v>
      </c>
      <c r="B59" s="519" t="s">
        <v>1018</v>
      </c>
      <c r="C59" s="519" t="s">
        <v>1019</v>
      </c>
      <c r="D59" s="519">
        <v>3.5</v>
      </c>
      <c r="E59" s="520"/>
      <c r="F59" s="522">
        <f t="shared" ref="F59:F75" si="0">IF(E59&lt;&gt;"",E59,D59)</f>
        <v>3.5</v>
      </c>
      <c r="G59" s="519" t="s">
        <v>1020</v>
      </c>
      <c r="H59" s="520"/>
      <c r="I59" s="520"/>
      <c r="J59" s="522" t="str">
        <f t="shared" ref="J59:J75" si="1">IF(AND(F59&lt;&gt;"",I59&lt;&gt;""),F59*I59,"")</f>
        <v/>
      </c>
      <c r="K59" s="522" t="str">
        <f t="shared" ref="K59:K75" si="2">IF(AND(H59&lt;&gt;"",J59&lt;&gt;""),H59-J59,"")</f>
        <v/>
      </c>
      <c r="L59" s="519" t="s">
        <v>804</v>
      </c>
      <c r="M59" s="519"/>
      <c r="N59" s="519" t="s">
        <v>1021</v>
      </c>
    </row>
    <row r="60" spans="1:14" x14ac:dyDescent="0.3">
      <c r="A60" s="519" t="s">
        <v>1022</v>
      </c>
      <c r="B60" s="519" t="s">
        <v>1023</v>
      </c>
      <c r="C60" s="519" t="s">
        <v>1024</v>
      </c>
      <c r="D60" s="519">
        <v>5.5</v>
      </c>
      <c r="E60" s="520"/>
      <c r="F60" s="522">
        <f t="shared" si="0"/>
        <v>5.5</v>
      </c>
      <c r="G60" s="519" t="s">
        <v>1025</v>
      </c>
      <c r="H60" s="520"/>
      <c r="I60" s="520"/>
      <c r="J60" s="522" t="str">
        <f t="shared" si="1"/>
        <v/>
      </c>
      <c r="K60" s="522" t="str">
        <f t="shared" si="2"/>
        <v/>
      </c>
      <c r="L60" s="519" t="s">
        <v>804</v>
      </c>
      <c r="M60" s="519"/>
      <c r="N60" s="519" t="s">
        <v>1026</v>
      </c>
    </row>
    <row r="61" spans="1:14" x14ac:dyDescent="0.3">
      <c r="A61" s="519" t="s">
        <v>1027</v>
      </c>
      <c r="B61" s="519" t="s">
        <v>1028</v>
      </c>
      <c r="C61" s="519" t="s">
        <v>1029</v>
      </c>
      <c r="D61" s="519">
        <v>4.5</v>
      </c>
      <c r="E61" s="520"/>
      <c r="F61" s="522">
        <f t="shared" si="0"/>
        <v>4.5</v>
      </c>
      <c r="G61" s="519" t="s">
        <v>1020</v>
      </c>
      <c r="H61" s="520"/>
      <c r="I61" s="520"/>
      <c r="J61" s="522" t="str">
        <f t="shared" si="1"/>
        <v/>
      </c>
      <c r="K61" s="522" t="str">
        <f t="shared" si="2"/>
        <v/>
      </c>
      <c r="L61" s="519" t="s">
        <v>804</v>
      </c>
      <c r="M61" s="519"/>
      <c r="N61" s="519" t="s">
        <v>1030</v>
      </c>
    </row>
    <row r="62" spans="1:14" x14ac:dyDescent="0.3">
      <c r="A62" s="519" t="s">
        <v>1031</v>
      </c>
      <c r="B62" s="519" t="s">
        <v>1032</v>
      </c>
      <c r="C62" s="519" t="s">
        <v>1033</v>
      </c>
      <c r="D62" s="519">
        <v>6</v>
      </c>
      <c r="E62" s="520"/>
      <c r="F62" s="522">
        <f t="shared" si="0"/>
        <v>6</v>
      </c>
      <c r="G62" s="519" t="s">
        <v>1020</v>
      </c>
      <c r="H62" s="520"/>
      <c r="I62" s="520"/>
      <c r="J62" s="522" t="str">
        <f t="shared" si="1"/>
        <v/>
      </c>
      <c r="K62" s="522" t="str">
        <f t="shared" si="2"/>
        <v/>
      </c>
      <c r="L62" s="519" t="s">
        <v>804</v>
      </c>
      <c r="M62" s="519"/>
      <c r="N62" s="519"/>
    </row>
    <row r="63" spans="1:14" x14ac:dyDescent="0.3">
      <c r="A63" s="519" t="s">
        <v>1034</v>
      </c>
      <c r="B63" s="519" t="s">
        <v>1035</v>
      </c>
      <c r="C63" s="519" t="s">
        <v>1024</v>
      </c>
      <c r="D63" s="519">
        <v>5.5</v>
      </c>
      <c r="E63" s="520"/>
      <c r="F63" s="522">
        <f t="shared" si="0"/>
        <v>5.5</v>
      </c>
      <c r="G63" s="519" t="s">
        <v>1020</v>
      </c>
      <c r="H63" s="520"/>
      <c r="I63" s="520"/>
      <c r="J63" s="522" t="str">
        <f t="shared" si="1"/>
        <v/>
      </c>
      <c r="K63" s="522" t="str">
        <f t="shared" si="2"/>
        <v/>
      </c>
      <c r="L63" s="519" t="s">
        <v>804</v>
      </c>
      <c r="M63" s="519"/>
      <c r="N63" s="519" t="s">
        <v>1036</v>
      </c>
    </row>
    <row r="64" spans="1:14" x14ac:dyDescent="0.3">
      <c r="A64" s="519" t="s">
        <v>1037</v>
      </c>
      <c r="B64" s="519" t="s">
        <v>1038</v>
      </c>
      <c r="C64" s="519" t="s">
        <v>1039</v>
      </c>
      <c r="D64" s="519">
        <v>3.5</v>
      </c>
      <c r="E64" s="520"/>
      <c r="F64" s="522">
        <f t="shared" si="0"/>
        <v>3.5</v>
      </c>
      <c r="G64" s="519" t="s">
        <v>1025</v>
      </c>
      <c r="H64" s="520"/>
      <c r="I64" s="520"/>
      <c r="J64" s="522" t="str">
        <f t="shared" si="1"/>
        <v/>
      </c>
      <c r="K64" s="522" t="str">
        <f t="shared" si="2"/>
        <v/>
      </c>
      <c r="L64" s="519" t="s">
        <v>804</v>
      </c>
      <c r="M64" s="519"/>
      <c r="N64" s="519" t="s">
        <v>1040</v>
      </c>
    </row>
    <row r="65" spans="1:14" x14ac:dyDescent="0.3">
      <c r="A65" s="519" t="s">
        <v>1041</v>
      </c>
      <c r="B65" s="519" t="s">
        <v>1042</v>
      </c>
      <c r="C65" s="519" t="s">
        <v>1033</v>
      </c>
      <c r="D65" s="519">
        <v>6</v>
      </c>
      <c r="E65" s="520"/>
      <c r="F65" s="522">
        <f t="shared" si="0"/>
        <v>6</v>
      </c>
      <c r="G65" s="519" t="s">
        <v>1020</v>
      </c>
      <c r="H65" s="520"/>
      <c r="I65" s="520"/>
      <c r="J65" s="522" t="str">
        <f t="shared" si="1"/>
        <v/>
      </c>
      <c r="K65" s="522" t="str">
        <f t="shared" si="2"/>
        <v/>
      </c>
      <c r="L65" s="519" t="s">
        <v>804</v>
      </c>
      <c r="M65" s="519"/>
      <c r="N65" s="519"/>
    </row>
    <row r="66" spans="1:14" x14ac:dyDescent="0.3">
      <c r="A66" s="519" t="s">
        <v>1043</v>
      </c>
      <c r="B66" s="519" t="s">
        <v>1044</v>
      </c>
      <c r="C66" s="519" t="s">
        <v>1045</v>
      </c>
      <c r="D66" s="519">
        <v>8</v>
      </c>
      <c r="E66" s="520"/>
      <c r="F66" s="522">
        <f t="shared" si="0"/>
        <v>8</v>
      </c>
      <c r="G66" s="519" t="s">
        <v>1020</v>
      </c>
      <c r="H66" s="520"/>
      <c r="I66" s="520"/>
      <c r="J66" s="522" t="str">
        <f t="shared" si="1"/>
        <v/>
      </c>
      <c r="K66" s="522" t="str">
        <f t="shared" si="2"/>
        <v/>
      </c>
      <c r="L66" s="519" t="s">
        <v>804</v>
      </c>
      <c r="M66" s="519"/>
      <c r="N66" s="519" t="s">
        <v>1036</v>
      </c>
    </row>
    <row r="67" spans="1:14" x14ac:dyDescent="0.3">
      <c r="A67" s="519" t="s">
        <v>1046</v>
      </c>
      <c r="B67" s="519" t="s">
        <v>1047</v>
      </c>
      <c r="C67" s="519" t="s">
        <v>1048</v>
      </c>
      <c r="D67" s="519">
        <v>7</v>
      </c>
      <c r="E67" s="520"/>
      <c r="F67" s="522">
        <f t="shared" si="0"/>
        <v>7</v>
      </c>
      <c r="G67" s="519" t="s">
        <v>1025</v>
      </c>
      <c r="H67" s="520"/>
      <c r="I67" s="520"/>
      <c r="J67" s="522" t="str">
        <f t="shared" si="1"/>
        <v/>
      </c>
      <c r="K67" s="522" t="str">
        <f t="shared" si="2"/>
        <v/>
      </c>
      <c r="L67" s="519" t="s">
        <v>804</v>
      </c>
      <c r="M67" s="519"/>
      <c r="N67" s="519" t="s">
        <v>1049</v>
      </c>
    </row>
    <row r="68" spans="1:14" x14ac:dyDescent="0.3">
      <c r="A68" s="519" t="s">
        <v>1050</v>
      </c>
      <c r="B68" s="519" t="s">
        <v>1051</v>
      </c>
      <c r="C68" s="519" t="s">
        <v>1024</v>
      </c>
      <c r="D68" s="519">
        <v>5</v>
      </c>
      <c r="E68" s="520"/>
      <c r="F68" s="522">
        <f t="shared" si="0"/>
        <v>5</v>
      </c>
      <c r="G68" s="519" t="s">
        <v>1025</v>
      </c>
      <c r="H68" s="520"/>
      <c r="I68" s="520"/>
      <c r="J68" s="522" t="str">
        <f t="shared" si="1"/>
        <v/>
      </c>
      <c r="K68" s="522" t="str">
        <f t="shared" si="2"/>
        <v/>
      </c>
      <c r="L68" s="519" t="s">
        <v>804</v>
      </c>
      <c r="M68" s="519"/>
      <c r="N68" s="519"/>
    </row>
    <row r="69" spans="1:14" x14ac:dyDescent="0.3">
      <c r="A69" s="519" t="s">
        <v>1052</v>
      </c>
      <c r="B69" s="519" t="s">
        <v>1053</v>
      </c>
      <c r="C69" s="519" t="s">
        <v>1054</v>
      </c>
      <c r="D69" s="519">
        <v>10</v>
      </c>
      <c r="E69" s="520"/>
      <c r="F69" s="522">
        <f t="shared" si="0"/>
        <v>10</v>
      </c>
      <c r="G69" s="519" t="s">
        <v>1055</v>
      </c>
      <c r="H69" s="520"/>
      <c r="I69" s="520"/>
      <c r="J69" s="522" t="str">
        <f t="shared" si="1"/>
        <v/>
      </c>
      <c r="K69" s="522" t="str">
        <f t="shared" si="2"/>
        <v/>
      </c>
      <c r="L69" s="519" t="s">
        <v>804</v>
      </c>
      <c r="M69" s="519"/>
      <c r="N69" s="519"/>
    </row>
    <row r="70" spans="1:14" x14ac:dyDescent="0.3">
      <c r="A70" s="519" t="s">
        <v>1056</v>
      </c>
      <c r="B70" s="519" t="s">
        <v>1057</v>
      </c>
      <c r="C70" s="519" t="s">
        <v>1058</v>
      </c>
      <c r="D70" s="519">
        <v>15</v>
      </c>
      <c r="E70" s="520"/>
      <c r="F70" s="522">
        <f t="shared" si="0"/>
        <v>15</v>
      </c>
      <c r="G70" s="519" t="s">
        <v>1059</v>
      </c>
      <c r="H70" s="520"/>
      <c r="I70" s="520"/>
      <c r="J70" s="522" t="str">
        <f t="shared" si="1"/>
        <v/>
      </c>
      <c r="K70" s="522" t="str">
        <f t="shared" si="2"/>
        <v/>
      </c>
      <c r="L70" s="519" t="s">
        <v>804</v>
      </c>
      <c r="M70" s="519"/>
      <c r="N70" s="519" t="s">
        <v>1060</v>
      </c>
    </row>
    <row r="71" spans="1:14" x14ac:dyDescent="0.3">
      <c r="A71" s="519" t="s">
        <v>1061</v>
      </c>
      <c r="B71" s="519" t="s">
        <v>1062</v>
      </c>
      <c r="C71" s="519" t="s">
        <v>1063</v>
      </c>
      <c r="D71" s="519">
        <v>6</v>
      </c>
      <c r="E71" s="520"/>
      <c r="F71" s="522">
        <f t="shared" si="0"/>
        <v>6</v>
      </c>
      <c r="G71" s="519" t="s">
        <v>1055</v>
      </c>
      <c r="H71" s="520"/>
      <c r="I71" s="520"/>
      <c r="J71" s="522" t="str">
        <f t="shared" si="1"/>
        <v/>
      </c>
      <c r="K71" s="522" t="str">
        <f t="shared" si="2"/>
        <v/>
      </c>
      <c r="L71" s="519" t="s">
        <v>804</v>
      </c>
      <c r="M71" s="519"/>
      <c r="N71" s="519"/>
    </row>
    <row r="72" spans="1:14" x14ac:dyDescent="0.3">
      <c r="A72" s="519" t="s">
        <v>1064</v>
      </c>
      <c r="B72" s="519" t="s">
        <v>1065</v>
      </c>
      <c r="C72" s="519" t="s">
        <v>1066</v>
      </c>
      <c r="D72" s="519">
        <v>10</v>
      </c>
      <c r="E72" s="520"/>
      <c r="F72" s="522">
        <f t="shared" si="0"/>
        <v>10</v>
      </c>
      <c r="G72" s="519" t="s">
        <v>1067</v>
      </c>
      <c r="H72" s="520"/>
      <c r="I72" s="520"/>
      <c r="J72" s="522" t="str">
        <f t="shared" si="1"/>
        <v/>
      </c>
      <c r="K72" s="522" t="str">
        <f t="shared" si="2"/>
        <v/>
      </c>
      <c r="L72" s="519" t="s">
        <v>804</v>
      </c>
      <c r="M72" s="519"/>
      <c r="N72" s="519" t="s">
        <v>1068</v>
      </c>
    </row>
    <row r="73" spans="1:14" x14ac:dyDescent="0.3">
      <c r="A73" s="519" t="s">
        <v>1069</v>
      </c>
      <c r="B73" s="519" t="s">
        <v>1070</v>
      </c>
      <c r="C73" s="519" t="s">
        <v>1058</v>
      </c>
      <c r="D73" s="519">
        <v>12</v>
      </c>
      <c r="E73" s="520"/>
      <c r="F73" s="522">
        <f t="shared" si="0"/>
        <v>12</v>
      </c>
      <c r="G73" s="519" t="s">
        <v>1067</v>
      </c>
      <c r="H73" s="520"/>
      <c r="I73" s="520"/>
      <c r="J73" s="522" t="str">
        <f t="shared" si="1"/>
        <v/>
      </c>
      <c r="K73" s="522" t="str">
        <f t="shared" si="2"/>
        <v/>
      </c>
      <c r="L73" s="519" t="s">
        <v>804</v>
      </c>
      <c r="M73" s="519"/>
      <c r="N73" s="519"/>
    </row>
    <row r="74" spans="1:14" x14ac:dyDescent="0.3">
      <c r="A74" s="519" t="s">
        <v>1071</v>
      </c>
      <c r="B74" s="519" t="s">
        <v>1072</v>
      </c>
      <c r="C74" s="519" t="s">
        <v>1073</v>
      </c>
      <c r="D74" s="519">
        <v>3</v>
      </c>
      <c r="E74" s="520"/>
      <c r="F74" s="522">
        <f t="shared" si="0"/>
        <v>3</v>
      </c>
      <c r="G74" s="519" t="s">
        <v>1055</v>
      </c>
      <c r="H74" s="520"/>
      <c r="I74" s="520"/>
      <c r="J74" s="522" t="str">
        <f t="shared" si="1"/>
        <v/>
      </c>
      <c r="K74" s="522" t="str">
        <f t="shared" si="2"/>
        <v/>
      </c>
      <c r="L74" s="519" t="s">
        <v>804</v>
      </c>
      <c r="M74" s="519"/>
      <c r="N74" s="519" t="s">
        <v>1074</v>
      </c>
    </row>
    <row r="75" spans="1:14" x14ac:dyDescent="0.3">
      <c r="A75" s="519" t="s">
        <v>1075</v>
      </c>
      <c r="B75" s="519" t="s">
        <v>1076</v>
      </c>
      <c r="C75" s="519" t="s">
        <v>1077</v>
      </c>
      <c r="D75" s="519">
        <v>4</v>
      </c>
      <c r="E75" s="520"/>
      <c r="F75" s="522">
        <f t="shared" si="0"/>
        <v>4</v>
      </c>
      <c r="G75" s="519" t="s">
        <v>1078</v>
      </c>
      <c r="H75" s="520"/>
      <c r="I75" s="520"/>
      <c r="J75" s="522" t="str">
        <f t="shared" si="1"/>
        <v/>
      </c>
      <c r="K75" s="522" t="str">
        <f t="shared" si="2"/>
        <v/>
      </c>
      <c r="L75" s="519" t="s">
        <v>804</v>
      </c>
      <c r="M75" s="519"/>
      <c r="N75" s="519" t="s">
        <v>1036</v>
      </c>
    </row>
    <row r="77" spans="1:14" x14ac:dyDescent="0.3">
      <c r="A77" s="516" t="s">
        <v>1079</v>
      </c>
      <c r="B77" s="516"/>
      <c r="C77" s="516"/>
      <c r="D77" s="516"/>
      <c r="E77" s="516"/>
      <c r="F77" s="516"/>
      <c r="G77" s="516"/>
      <c r="H77" s="516"/>
      <c r="I77" s="516"/>
      <c r="J77" s="516"/>
      <c r="K77" s="516"/>
      <c r="L77" s="516"/>
      <c r="M77" s="516"/>
      <c r="N77" s="516"/>
    </row>
    <row r="78" spans="1:14" ht="24" x14ac:dyDescent="0.3">
      <c r="A78" s="518" t="s">
        <v>785</v>
      </c>
      <c r="B78" s="518" t="s">
        <v>761</v>
      </c>
      <c r="C78" s="518" t="s">
        <v>573</v>
      </c>
      <c r="D78" s="518" t="s">
        <v>1080</v>
      </c>
      <c r="E78" s="518" t="s">
        <v>916</v>
      </c>
      <c r="F78" s="518" t="s">
        <v>917</v>
      </c>
      <c r="G78" s="518" t="s">
        <v>1081</v>
      </c>
      <c r="H78" s="518" t="s">
        <v>1082</v>
      </c>
      <c r="I78" s="518"/>
      <c r="J78" s="518"/>
      <c r="K78" s="518"/>
      <c r="L78" s="518"/>
      <c r="M78" s="518"/>
      <c r="N78" s="518" t="s">
        <v>797</v>
      </c>
    </row>
    <row r="79" spans="1:14" ht="22.8" x14ac:dyDescent="0.3">
      <c r="A79" s="519" t="s">
        <v>1083</v>
      </c>
      <c r="B79" s="519" t="s">
        <v>1084</v>
      </c>
      <c r="C79" s="519" t="s">
        <v>1085</v>
      </c>
      <c r="D79" s="520">
        <v>1.3</v>
      </c>
      <c r="E79" s="520">
        <v>1</v>
      </c>
      <c r="F79" s="520">
        <v>1.8</v>
      </c>
      <c r="G79" s="519" t="s">
        <v>1086</v>
      </c>
      <c r="H79" s="519" t="s">
        <v>1087</v>
      </c>
      <c r="I79" s="519"/>
      <c r="J79" s="519"/>
      <c r="K79" s="519"/>
      <c r="L79" s="519"/>
      <c r="M79" s="519"/>
      <c r="N79" s="519" t="s">
        <v>1088</v>
      </c>
    </row>
    <row r="80" spans="1:14" ht="34.200000000000003" x14ac:dyDescent="0.3">
      <c r="A80" s="519" t="s">
        <v>1089</v>
      </c>
      <c r="B80" s="519" t="s">
        <v>1090</v>
      </c>
      <c r="C80" s="519" t="s">
        <v>1091</v>
      </c>
      <c r="D80" s="520">
        <v>1</v>
      </c>
      <c r="E80" s="520">
        <v>0.8</v>
      </c>
      <c r="F80" s="520">
        <v>1.2</v>
      </c>
      <c r="G80" s="519" t="s">
        <v>1086</v>
      </c>
      <c r="H80" s="519" t="s">
        <v>1092</v>
      </c>
      <c r="I80" s="519"/>
      <c r="J80" s="519"/>
      <c r="K80" s="519"/>
      <c r="L80" s="519"/>
      <c r="M80" s="519"/>
      <c r="N80" s="519"/>
    </row>
    <row r="81" spans="1:14" ht="22.8" x14ac:dyDescent="0.3">
      <c r="A81" s="519" t="s">
        <v>1093</v>
      </c>
      <c r="B81" s="519" t="s">
        <v>1094</v>
      </c>
      <c r="C81" s="519" t="s">
        <v>1095</v>
      </c>
      <c r="D81" s="520">
        <v>1</v>
      </c>
      <c r="E81" s="520">
        <v>0.8</v>
      </c>
      <c r="F81" s="520">
        <v>1.5</v>
      </c>
      <c r="G81" s="519" t="s">
        <v>1086</v>
      </c>
      <c r="H81" s="519" t="s">
        <v>1096</v>
      </c>
      <c r="I81" s="519"/>
      <c r="J81" s="519"/>
      <c r="K81" s="519"/>
      <c r="L81" s="519"/>
      <c r="M81" s="519"/>
      <c r="N81" s="519" t="s">
        <v>1097</v>
      </c>
    </row>
    <row r="82" spans="1:14" x14ac:dyDescent="0.3">
      <c r="A82" s="519" t="s">
        <v>1098</v>
      </c>
      <c r="B82" s="519" t="s">
        <v>1099</v>
      </c>
      <c r="C82" s="519" t="s">
        <v>1100</v>
      </c>
      <c r="D82" s="520">
        <v>1</v>
      </c>
      <c r="E82" s="520">
        <v>0.9</v>
      </c>
      <c r="F82" s="520">
        <v>1.4</v>
      </c>
      <c r="G82" s="519" t="s">
        <v>1086</v>
      </c>
      <c r="H82" s="519" t="s">
        <v>1101</v>
      </c>
      <c r="I82" s="519"/>
      <c r="J82" s="519"/>
      <c r="K82" s="519"/>
      <c r="L82" s="519"/>
      <c r="M82" s="519"/>
      <c r="N82" s="519" t="s">
        <v>1102</v>
      </c>
    </row>
    <row r="83" spans="1:14" ht="22.8" x14ac:dyDescent="0.3">
      <c r="A83" s="519" t="s">
        <v>1103</v>
      </c>
      <c r="B83" s="519" t="s">
        <v>1104</v>
      </c>
      <c r="C83" s="519" t="s">
        <v>1105</v>
      </c>
      <c r="D83" s="520">
        <v>1.08</v>
      </c>
      <c r="E83" s="520">
        <v>1</v>
      </c>
      <c r="F83" s="520">
        <v>1.2</v>
      </c>
      <c r="G83" s="519" t="s">
        <v>1106</v>
      </c>
      <c r="H83" s="519" t="s">
        <v>1107</v>
      </c>
      <c r="I83" s="519"/>
      <c r="J83" s="519"/>
      <c r="K83" s="519"/>
      <c r="L83" s="519"/>
      <c r="M83" s="519"/>
      <c r="N83" s="519" t="s">
        <v>1108</v>
      </c>
    </row>
    <row r="84" spans="1:14" x14ac:dyDescent="0.3">
      <c r="A84" s="519" t="s">
        <v>1109</v>
      </c>
      <c r="B84" s="519" t="s">
        <v>1110</v>
      </c>
      <c r="C84" s="519" t="s">
        <v>1111</v>
      </c>
      <c r="D84" s="520">
        <v>1.1000000000000001</v>
      </c>
      <c r="E84" s="520">
        <v>1.05</v>
      </c>
      <c r="F84" s="520">
        <v>1.2</v>
      </c>
      <c r="G84" s="519" t="s">
        <v>1086</v>
      </c>
      <c r="H84" s="519" t="s">
        <v>1112</v>
      </c>
      <c r="I84" s="519"/>
      <c r="J84" s="519"/>
      <c r="K84" s="519"/>
      <c r="L84" s="519"/>
      <c r="M84" s="519"/>
      <c r="N84" s="519" t="s">
        <v>1113</v>
      </c>
    </row>
    <row r="85" spans="1:14" x14ac:dyDescent="0.3">
      <c r="A85" s="519" t="s">
        <v>1114</v>
      </c>
      <c r="B85" s="519" t="s">
        <v>1115</v>
      </c>
      <c r="C85" s="519" t="s">
        <v>1116</v>
      </c>
      <c r="D85" s="520">
        <v>0.05</v>
      </c>
      <c r="E85" s="520">
        <v>0.03</v>
      </c>
      <c r="F85" s="520">
        <v>0.1</v>
      </c>
      <c r="G85" s="519" t="s">
        <v>1117</v>
      </c>
      <c r="H85" s="519" t="s">
        <v>1112</v>
      </c>
      <c r="I85" s="519"/>
      <c r="J85" s="519"/>
      <c r="K85" s="519"/>
      <c r="L85" s="519"/>
      <c r="M85" s="519"/>
      <c r="N85" s="519" t="s">
        <v>1118</v>
      </c>
    </row>
    <row r="86" spans="1:14" x14ac:dyDescent="0.3">
      <c r="A86" s="519" t="s">
        <v>1119</v>
      </c>
      <c r="B86" s="519" t="s">
        <v>1120</v>
      </c>
      <c r="C86" s="519" t="s">
        <v>1121</v>
      </c>
      <c r="D86" s="520">
        <v>0.03</v>
      </c>
      <c r="E86" s="520">
        <v>0.02</v>
      </c>
      <c r="F86" s="520">
        <v>0.05</v>
      </c>
      <c r="G86" s="519" t="s">
        <v>1117</v>
      </c>
      <c r="H86" s="519" t="s">
        <v>1122</v>
      </c>
      <c r="I86" s="519"/>
      <c r="J86" s="519"/>
      <c r="K86" s="519"/>
      <c r="L86" s="519"/>
      <c r="M86" s="519"/>
      <c r="N86" s="519" t="s">
        <v>1123</v>
      </c>
    </row>
    <row r="88" spans="1:14" x14ac:dyDescent="0.3">
      <c r="A88" s="516" t="s">
        <v>1124</v>
      </c>
      <c r="B88" s="516"/>
      <c r="C88" s="516"/>
      <c r="D88" s="516"/>
      <c r="E88" s="516"/>
      <c r="F88" s="516"/>
      <c r="G88" s="516"/>
      <c r="H88" s="516"/>
      <c r="I88" s="516"/>
      <c r="J88" s="516"/>
      <c r="K88" s="516"/>
      <c r="L88" s="516"/>
      <c r="M88" s="516"/>
      <c r="N88" s="516"/>
    </row>
    <row r="89" spans="1:14" x14ac:dyDescent="0.3">
      <c r="A89" s="523" t="s">
        <v>1125</v>
      </c>
      <c r="B89" s="523"/>
      <c r="C89" s="523"/>
      <c r="D89" s="523"/>
      <c r="E89" s="523"/>
      <c r="F89" s="523"/>
      <c r="G89" s="523"/>
      <c r="H89" s="523"/>
      <c r="I89" s="523"/>
      <c r="J89" s="523"/>
      <c r="K89" s="523"/>
      <c r="L89" s="523"/>
      <c r="M89" s="523"/>
      <c r="N89" s="523"/>
    </row>
    <row r="90" spans="1:14" x14ac:dyDescent="0.3">
      <c r="A90" s="523" t="s">
        <v>1126</v>
      </c>
      <c r="B90" s="523"/>
      <c r="C90" s="523"/>
      <c r="D90" s="523"/>
      <c r="E90" s="523"/>
      <c r="F90" s="523"/>
      <c r="G90" s="523"/>
      <c r="H90" s="523"/>
      <c r="I90" s="523"/>
      <c r="J90" s="523"/>
      <c r="K90" s="523"/>
      <c r="L90" s="523"/>
      <c r="M90" s="523"/>
      <c r="N90" s="523"/>
    </row>
    <row r="91" spans="1:14" x14ac:dyDescent="0.3">
      <c r="A91" s="523" t="s">
        <v>1127</v>
      </c>
      <c r="B91" s="523"/>
      <c r="C91" s="523"/>
      <c r="D91" s="523"/>
      <c r="E91" s="523"/>
      <c r="F91" s="523"/>
      <c r="G91" s="523"/>
      <c r="H91" s="523"/>
      <c r="I91" s="523"/>
      <c r="J91" s="523"/>
      <c r="K91" s="523"/>
      <c r="L91" s="523"/>
      <c r="M91" s="523"/>
      <c r="N91" s="523"/>
    </row>
    <row r="92" spans="1:14" x14ac:dyDescent="0.3">
      <c r="A92" s="523" t="s">
        <v>1128</v>
      </c>
      <c r="B92" s="523"/>
      <c r="C92" s="523"/>
      <c r="D92" s="523"/>
      <c r="E92" s="523"/>
      <c r="F92" s="523"/>
      <c r="G92" s="523"/>
      <c r="H92" s="523"/>
      <c r="I92" s="523"/>
      <c r="J92" s="523"/>
      <c r="K92" s="523"/>
      <c r="L92" s="523"/>
      <c r="M92" s="523"/>
      <c r="N92" s="523"/>
    </row>
    <row r="93" spans="1:14" x14ac:dyDescent="0.3">
      <c r="A93" s="523" t="s">
        <v>1129</v>
      </c>
      <c r="B93" s="523"/>
      <c r="C93" s="523"/>
      <c r="D93" s="523"/>
      <c r="E93" s="523"/>
      <c r="F93" s="523"/>
      <c r="G93" s="523"/>
      <c r="H93" s="523"/>
      <c r="I93" s="523"/>
      <c r="J93" s="523"/>
      <c r="K93" s="523"/>
      <c r="L93" s="523"/>
      <c r="M93" s="523"/>
      <c r="N93" s="523"/>
    </row>
    <row r="94" spans="1:14" x14ac:dyDescent="0.3">
      <c r="A94" s="523" t="s">
        <v>1130</v>
      </c>
      <c r="B94" s="523"/>
      <c r="C94" s="523"/>
      <c r="D94" s="523"/>
      <c r="E94" s="523"/>
      <c r="F94" s="523"/>
      <c r="G94" s="523"/>
      <c r="H94" s="523"/>
      <c r="I94" s="523"/>
      <c r="J94" s="523"/>
      <c r="K94" s="523"/>
      <c r="L94" s="523"/>
      <c r="M94" s="523"/>
      <c r="N94" s="523"/>
    </row>
    <row r="95" spans="1:14" x14ac:dyDescent="0.3">
      <c r="A95" s="523" t="s">
        <v>1131</v>
      </c>
      <c r="B95" s="523"/>
      <c r="C95" s="523"/>
      <c r="D95" s="523"/>
      <c r="E95" s="523"/>
      <c r="F95" s="523"/>
      <c r="G95" s="523"/>
      <c r="H95" s="523"/>
      <c r="I95" s="523"/>
      <c r="J95" s="523"/>
      <c r="K95" s="523"/>
      <c r="L95" s="523"/>
      <c r="M95" s="523"/>
      <c r="N95" s="523"/>
    </row>
    <row r="96" spans="1:14" x14ac:dyDescent="0.3">
      <c r="A96" s="523" t="s">
        <v>1132</v>
      </c>
      <c r="B96" s="523"/>
      <c r="C96" s="523"/>
      <c r="D96" s="523"/>
      <c r="E96" s="523"/>
      <c r="F96" s="523"/>
      <c r="G96" s="523"/>
      <c r="H96" s="523"/>
      <c r="I96" s="523"/>
      <c r="J96" s="523"/>
      <c r="K96" s="523"/>
      <c r="L96" s="523"/>
      <c r="M96" s="523"/>
      <c r="N96" s="523"/>
    </row>
    <row r="97" spans="1:14" x14ac:dyDescent="0.3">
      <c r="A97" s="524"/>
      <c r="B97" s="524"/>
      <c r="C97" s="524"/>
      <c r="D97" s="524"/>
      <c r="E97" s="524"/>
      <c r="F97" s="524"/>
      <c r="G97" s="524"/>
      <c r="H97" s="524"/>
      <c r="I97" s="524"/>
      <c r="J97" s="524"/>
      <c r="K97" s="524"/>
      <c r="L97" s="524"/>
      <c r="M97" s="524"/>
      <c r="N97" s="524"/>
    </row>
    <row r="98" spans="1:14" x14ac:dyDescent="0.3">
      <c r="A98" s="523" t="s">
        <v>1133</v>
      </c>
      <c r="B98" s="523"/>
      <c r="C98" s="523"/>
      <c r="D98" s="523"/>
      <c r="E98" s="523"/>
      <c r="F98" s="523"/>
      <c r="G98" s="523"/>
      <c r="H98" s="523"/>
      <c r="I98" s="523"/>
      <c r="J98" s="523"/>
      <c r="K98" s="523"/>
      <c r="L98" s="523"/>
      <c r="M98" s="523"/>
      <c r="N98" s="523"/>
    </row>
    <row r="99" spans="1:14" x14ac:dyDescent="0.3">
      <c r="A99" s="524" t="s">
        <v>1134</v>
      </c>
      <c r="B99" s="524"/>
      <c r="C99" s="524"/>
      <c r="D99" s="524"/>
      <c r="E99" s="524"/>
      <c r="F99" s="524"/>
      <c r="G99" s="524"/>
      <c r="H99" s="524"/>
      <c r="I99" s="524"/>
      <c r="J99" s="524"/>
      <c r="K99" s="524"/>
      <c r="L99" s="524"/>
      <c r="M99" s="524"/>
      <c r="N99" s="524"/>
    </row>
    <row r="100" spans="1:14" x14ac:dyDescent="0.3">
      <c r="A100" s="524" t="s">
        <v>1135</v>
      </c>
      <c r="B100" s="524"/>
      <c r="C100" s="524"/>
      <c r="D100" s="524"/>
      <c r="E100" s="524"/>
      <c r="F100" s="524"/>
      <c r="G100" s="524"/>
      <c r="H100" s="524"/>
      <c r="I100" s="524"/>
      <c r="J100" s="524"/>
      <c r="K100" s="524"/>
      <c r="L100" s="524"/>
      <c r="M100" s="524"/>
      <c r="N100" s="524"/>
    </row>
    <row r="101" spans="1:14" x14ac:dyDescent="0.3">
      <c r="A101" s="524" t="s">
        <v>1136</v>
      </c>
      <c r="B101" s="524"/>
      <c r="C101" s="524"/>
      <c r="D101" s="524"/>
      <c r="E101" s="524"/>
      <c r="F101" s="524"/>
      <c r="G101" s="524"/>
      <c r="H101" s="524"/>
      <c r="I101" s="524"/>
      <c r="J101" s="524"/>
      <c r="K101" s="524"/>
      <c r="L101" s="524"/>
      <c r="M101" s="524"/>
      <c r="N101" s="524"/>
    </row>
    <row r="102" spans="1:14" x14ac:dyDescent="0.3">
      <c r="A102" s="524" t="s">
        <v>1137</v>
      </c>
      <c r="B102" s="524"/>
      <c r="C102" s="524"/>
      <c r="D102" s="524"/>
      <c r="E102" s="524"/>
      <c r="F102" s="524"/>
      <c r="G102" s="524"/>
      <c r="H102" s="524"/>
      <c r="I102" s="524"/>
      <c r="J102" s="524"/>
      <c r="K102" s="524"/>
      <c r="L102" s="524"/>
      <c r="M102" s="524"/>
      <c r="N102" s="524"/>
    </row>
    <row r="103" spans="1:14" x14ac:dyDescent="0.3">
      <c r="A103" s="524" t="s">
        <v>1138</v>
      </c>
      <c r="B103" s="524"/>
      <c r="C103" s="524"/>
      <c r="D103" s="524"/>
      <c r="E103" s="524"/>
      <c r="F103" s="524"/>
      <c r="G103" s="524"/>
      <c r="H103" s="524"/>
      <c r="I103" s="524"/>
      <c r="J103" s="524"/>
      <c r="K103" s="524"/>
      <c r="L103" s="524"/>
      <c r="M103" s="524"/>
      <c r="N103" s="524"/>
    </row>
    <row r="104" spans="1:14" x14ac:dyDescent="0.3">
      <c r="A104" s="524"/>
      <c r="B104" s="524"/>
      <c r="C104" s="524"/>
      <c r="D104" s="524"/>
      <c r="E104" s="524"/>
      <c r="F104" s="524"/>
      <c r="G104" s="524"/>
      <c r="H104" s="524"/>
      <c r="I104" s="524"/>
      <c r="J104" s="524"/>
      <c r="K104" s="524"/>
      <c r="L104" s="524"/>
      <c r="M104" s="524"/>
      <c r="N104" s="524"/>
    </row>
    <row r="105" spans="1:14" x14ac:dyDescent="0.3">
      <c r="A105" s="523" t="s">
        <v>1139</v>
      </c>
      <c r="B105" s="523"/>
      <c r="C105" s="523"/>
      <c r="D105" s="523"/>
      <c r="E105" s="523"/>
      <c r="F105" s="523"/>
      <c r="G105" s="523"/>
      <c r="H105" s="523"/>
      <c r="I105" s="523"/>
      <c r="J105" s="523"/>
      <c r="K105" s="523"/>
      <c r="L105" s="523"/>
      <c r="M105" s="523"/>
      <c r="N105" s="523"/>
    </row>
    <row r="106" spans="1:14" x14ac:dyDescent="0.3">
      <c r="A106" s="524" t="s">
        <v>1140</v>
      </c>
      <c r="B106" s="524"/>
      <c r="C106" s="524"/>
      <c r="D106" s="524"/>
      <c r="E106" s="524"/>
      <c r="F106" s="524"/>
      <c r="G106" s="524"/>
      <c r="H106" s="524"/>
      <c r="I106" s="524"/>
      <c r="J106" s="524"/>
      <c r="K106" s="524"/>
      <c r="L106" s="524"/>
      <c r="M106" s="524"/>
      <c r="N106" s="524"/>
    </row>
    <row r="107" spans="1:14" x14ac:dyDescent="0.3">
      <c r="A107" s="524" t="s">
        <v>1141</v>
      </c>
      <c r="B107" s="524"/>
      <c r="C107" s="524"/>
      <c r="D107" s="524"/>
      <c r="E107" s="524"/>
      <c r="F107" s="524"/>
      <c r="G107" s="524"/>
      <c r="H107" s="524"/>
      <c r="I107" s="524"/>
      <c r="J107" s="524"/>
      <c r="K107" s="524"/>
      <c r="L107" s="524"/>
      <c r="M107" s="524"/>
      <c r="N107" s="524"/>
    </row>
    <row r="108" spans="1:14" x14ac:dyDescent="0.3">
      <c r="A108" s="524" t="s">
        <v>1142</v>
      </c>
      <c r="B108" s="524"/>
      <c r="C108" s="524"/>
      <c r="D108" s="524"/>
      <c r="E108" s="524"/>
      <c r="F108" s="524"/>
      <c r="G108" s="524"/>
      <c r="H108" s="524"/>
      <c r="I108" s="524"/>
      <c r="J108" s="524"/>
      <c r="K108" s="524"/>
      <c r="L108" s="524"/>
      <c r="M108" s="524"/>
      <c r="N108" s="524"/>
    </row>
    <row r="109" spans="1:14" x14ac:dyDescent="0.3">
      <c r="A109" s="524" t="s">
        <v>1143</v>
      </c>
      <c r="B109" s="524"/>
      <c r="C109" s="524"/>
      <c r="D109" s="524"/>
      <c r="E109" s="524"/>
      <c r="F109" s="524"/>
      <c r="G109" s="524"/>
      <c r="H109" s="524"/>
      <c r="I109" s="524"/>
      <c r="J109" s="524"/>
      <c r="K109" s="524"/>
      <c r="L109" s="524"/>
      <c r="M109" s="524"/>
      <c r="N109" s="524"/>
    </row>
    <row r="110" spans="1:14" x14ac:dyDescent="0.3">
      <c r="A110" s="524" t="s">
        <v>1144</v>
      </c>
      <c r="B110" s="524"/>
      <c r="C110" s="524"/>
      <c r="D110" s="524"/>
      <c r="E110" s="524"/>
      <c r="F110" s="524"/>
      <c r="G110" s="524"/>
      <c r="H110" s="524"/>
      <c r="I110" s="524"/>
      <c r="J110" s="524"/>
      <c r="K110" s="524"/>
      <c r="L110" s="524"/>
      <c r="M110" s="524"/>
      <c r="N110" s="524"/>
    </row>
    <row r="111" spans="1:14" x14ac:dyDescent="0.3">
      <c r="A111" s="524" t="s">
        <v>1145</v>
      </c>
      <c r="B111" s="524"/>
      <c r="C111" s="524"/>
      <c r="D111" s="524"/>
      <c r="E111" s="524"/>
      <c r="F111" s="524"/>
      <c r="G111" s="524"/>
      <c r="H111" s="524"/>
      <c r="I111" s="524"/>
      <c r="J111" s="524"/>
      <c r="K111" s="524"/>
      <c r="L111" s="524"/>
      <c r="M111" s="524"/>
      <c r="N111" s="524"/>
    </row>
    <row r="112" spans="1:14" x14ac:dyDescent="0.3">
      <c r="A112" s="524" t="s">
        <v>1146</v>
      </c>
      <c r="B112" s="524"/>
      <c r="C112" s="524"/>
      <c r="D112" s="524"/>
      <c r="E112" s="524"/>
      <c r="F112" s="524"/>
      <c r="G112" s="524"/>
      <c r="H112" s="524"/>
      <c r="I112" s="524"/>
      <c r="J112" s="524"/>
      <c r="K112" s="524"/>
      <c r="L112" s="524"/>
      <c r="M112" s="524"/>
      <c r="N112" s="524"/>
    </row>
    <row r="113" spans="1:14" x14ac:dyDescent="0.3">
      <c r="A113" s="524" t="s">
        <v>1147</v>
      </c>
      <c r="B113" s="524"/>
      <c r="C113" s="524"/>
      <c r="D113" s="524"/>
      <c r="E113" s="524"/>
      <c r="F113" s="524"/>
      <c r="G113" s="524"/>
      <c r="H113" s="524"/>
      <c r="I113" s="524"/>
      <c r="J113" s="524"/>
      <c r="K113" s="524"/>
      <c r="L113" s="524"/>
      <c r="M113" s="524"/>
      <c r="N113" s="524"/>
    </row>
  </sheetData>
  <mergeCells count="35">
    <mergeCell ref="A109:N109"/>
    <mergeCell ref="A110:N110"/>
    <mergeCell ref="A111:N111"/>
    <mergeCell ref="A112:N112"/>
    <mergeCell ref="A113:N113"/>
    <mergeCell ref="A103:N103"/>
    <mergeCell ref="A104:N104"/>
    <mergeCell ref="A105:N105"/>
    <mergeCell ref="A106:N106"/>
    <mergeCell ref="A107:N107"/>
    <mergeCell ref="A108:N108"/>
    <mergeCell ref="A97:N97"/>
    <mergeCell ref="A98:N98"/>
    <mergeCell ref="A99:N99"/>
    <mergeCell ref="A100:N100"/>
    <mergeCell ref="A101:N101"/>
    <mergeCell ref="A102:N102"/>
    <mergeCell ref="A91:N91"/>
    <mergeCell ref="A92:N92"/>
    <mergeCell ref="A93:N93"/>
    <mergeCell ref="A94:N94"/>
    <mergeCell ref="A95:N95"/>
    <mergeCell ref="A96:N96"/>
    <mergeCell ref="A52:N52"/>
    <mergeCell ref="A57:N57"/>
    <mergeCell ref="A77:N77"/>
    <mergeCell ref="A88:N88"/>
    <mergeCell ref="A89:N89"/>
    <mergeCell ref="A90:N90"/>
    <mergeCell ref="A1:N1"/>
    <mergeCell ref="A2:N2"/>
    <mergeCell ref="A3:N3"/>
    <mergeCell ref="A5:N5"/>
    <mergeCell ref="A28:N28"/>
    <mergeCell ref="A39:N3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Output</vt:lpstr>
      <vt:lpstr>Input</vt:lpstr>
      <vt:lpstr>Feeding Rations</vt:lpstr>
      <vt:lpstr>Operating Model</vt:lpstr>
      <vt:lpstr>Cattle Feeding Cycle</vt:lpstr>
      <vt:lpstr>Loans</vt:lpstr>
      <vt:lpstr>Staff</vt:lpstr>
      <vt:lpstr>CAPEX</vt:lpstr>
      <vt:lpstr>OPEX </vt:lpstr>
      <vt:lpstr>WACC</vt:lpstr>
      <vt:lpstr>Справочник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Алихан Аймагамбетов</dc:creator>
  <cp:lastModifiedBy>Alikhan Aimagambetov</cp:lastModifiedBy>
  <dcterms:created xsi:type="dcterms:W3CDTF">2025-08-07T20:24:17Z</dcterms:created>
  <dcterms:modified xsi:type="dcterms:W3CDTF">2026-04-07T10:20:01Z</dcterms:modified>
</cp:coreProperties>
</file>